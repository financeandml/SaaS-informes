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ergi\Downloads\Warrants&amp;co\QUALCOM\"/>
    </mc:Choice>
  </mc:AlternateContent>
  <xr:revisionPtr revIDLastSave="0" documentId="13_ncr:1_{ACADEEF6-7D0C-4096-B68B-D721F972D9AD}" xr6:coauthVersionLast="47" xr6:coauthVersionMax="47" xr10:uidLastSave="{00000000-0000-0000-0000-000000000000}"/>
  <bookViews>
    <workbookView xWindow="-108" yWindow="-108" windowWidth="23256" windowHeight="12456" firstSheet="1" activeTab="1" xr2:uid="{E558962E-D905-4EAC-882F-65401AC56819}"/>
  </bookViews>
  <sheets>
    <sheet name="00 Panel del Analista" sheetId="27" r:id="rId1"/>
    <sheet name="01 Summary" sheetId="2" r:id="rId2"/>
    <sheet name="02 Assumptions" sheetId="3" r:id="rId3"/>
    <sheet name="03 Historical" sheetId="4" r:id="rId4"/>
    <sheet name="04 Operating Model" sheetId="5" r:id="rId5"/>
    <sheet name="05 Three Statement" sheetId="6" r:id="rId6"/>
    <sheet name="06 DCF" sheetId="7" r:id="rId7"/>
    <sheet name="07 WACC" sheetId="8" r:id="rId8"/>
    <sheet name="Sensibilidad" sheetId="9" r:id="rId9"/>
    <sheet name="09 Escenarios" sheetId="10" r:id="rId10"/>
    <sheet name="Escenario Pesimista" sheetId="24" r:id="rId11"/>
    <sheet name="Escenario Base" sheetId="25" r:id="rId12"/>
    <sheet name="Escenario Optimista" sheetId="26" r:id="rId13"/>
    <sheet name="10 Reverse DCF" sheetId="11" r:id="rId14"/>
    <sheet name="11 Cross Check" sheetId="12" r:id="rId15"/>
    <sheet name="12 SOTP" sheetId="13" r:id="rId16"/>
    <sheet name="13 Checks" sheetId="14" r:id="rId17"/>
    <sheet name="14 Sources" sheetId="15" r:id="rId18"/>
    <sheet name="M1 Manual Fundamentos" sheetId="16" r:id="rId19"/>
    <sheet name="M2 Manual Reglas" sheetId="17" r:id="rId20"/>
    <sheet name="M3 Manual Sectorial" sheetId="18" r:id="rId21"/>
    <sheet name="M4 Manual Errores" sheetId="19"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5" l="1"/>
  <c r="G14" i="15"/>
  <c r="G10" i="15"/>
  <c r="C69" i="3"/>
  <c r="F51" i="16"/>
  <c r="B7" i="13"/>
  <c r="B8" i="13"/>
  <c r="B9" i="13"/>
  <c r="B10" i="13"/>
  <c r="B21" i="5"/>
  <c r="B22" i="5"/>
  <c r="B23" i="5"/>
  <c r="B24" i="5"/>
  <c r="B25" i="5"/>
  <c r="B20" i="4"/>
  <c r="B21" i="4"/>
  <c r="B22" i="4"/>
  <c r="B23" i="4"/>
  <c r="B24" i="4"/>
  <c r="B13" i="4"/>
  <c r="B14" i="4"/>
  <c r="B15" i="4"/>
  <c r="B10" i="26"/>
  <c r="B9" i="26"/>
  <c r="B8" i="26"/>
  <c r="B7" i="26"/>
  <c r="B10" i="25"/>
  <c r="B9" i="25"/>
  <c r="B8" i="25"/>
  <c r="B7" i="25"/>
  <c r="B10" i="24"/>
  <c r="B9" i="24"/>
  <c r="B8" i="24"/>
  <c r="B7" i="24"/>
  <c r="B10" i="5"/>
  <c r="B9" i="5"/>
  <c r="B8" i="5"/>
  <c r="B7" i="5"/>
  <c r="B10" i="4"/>
  <c r="B9" i="4"/>
  <c r="B8" i="4"/>
  <c r="B7" i="4"/>
  <c r="D29" i="14"/>
  <c r="G20" i="13"/>
  <c r="D12" i="11"/>
  <c r="F50" i="7"/>
  <c r="C77" i="3"/>
  <c r="C73" i="3"/>
  <c r="F55" i="14"/>
  <c r="F54" i="14"/>
  <c r="F52" i="14"/>
  <c r="F18" i="14"/>
  <c r="D17" i="14"/>
  <c r="D12" i="14"/>
  <c r="F59" i="3"/>
  <c r="C11" i="27"/>
  <c r="D211" i="27"/>
  <c r="C13" i="8" s="1"/>
  <c r="F137" i="27"/>
  <c r="F71" i="25" s="1"/>
  <c r="D258" i="27" s="1"/>
  <c r="F115" i="27"/>
  <c r="F109" i="27"/>
  <c r="F108" i="27"/>
  <c r="F105" i="27"/>
  <c r="F102" i="27"/>
  <c r="F99" i="27"/>
  <c r="F98" i="27"/>
  <c r="F96" i="27"/>
  <c r="F85" i="4" s="1"/>
  <c r="C42" i="2" s="1"/>
  <c r="F94" i="27"/>
  <c r="F93" i="27"/>
  <c r="F90" i="27"/>
  <c r="F76" i="27"/>
  <c r="E76" i="27"/>
  <c r="F63" i="27"/>
  <c r="E63" i="27"/>
  <c r="F57" i="27"/>
  <c r="E57" i="27"/>
  <c r="F49" i="27"/>
  <c r="F48" i="27"/>
  <c r="F43" i="27"/>
  <c r="F41" i="27"/>
  <c r="F40" i="27"/>
  <c r="F35" i="27"/>
  <c r="F32" i="27"/>
  <c r="F31" i="27"/>
  <c r="F24" i="27"/>
  <c r="F21" i="27"/>
  <c r="F20" i="27"/>
  <c r="F19" i="27"/>
  <c r="F18" i="27"/>
  <c r="D287" i="27"/>
  <c r="D263" i="27"/>
  <c r="D4" i="3"/>
  <c r="E4" i="3"/>
  <c r="F4" i="3"/>
  <c r="G4" i="3"/>
  <c r="H4" i="3"/>
  <c r="I4" i="3"/>
  <c r="J4" i="3"/>
  <c r="K4" i="3"/>
  <c r="L4" i="3"/>
  <c r="M4" i="3"/>
  <c r="N4" i="3"/>
  <c r="O4" i="3"/>
  <c r="P4" i="3"/>
  <c r="D4" i="26"/>
  <c r="E4" i="26"/>
  <c r="F4" i="26"/>
  <c r="G4" i="26"/>
  <c r="H4" i="26"/>
  <c r="I4" i="26"/>
  <c r="J4" i="26"/>
  <c r="K4" i="26"/>
  <c r="L4" i="26"/>
  <c r="M4" i="26"/>
  <c r="N4" i="26"/>
  <c r="O4" i="26"/>
  <c r="P4" i="26"/>
  <c r="D4" i="25"/>
  <c r="E4" i="25"/>
  <c r="F4" i="25"/>
  <c r="G4" i="25"/>
  <c r="H4" i="25"/>
  <c r="I4" i="25"/>
  <c r="J4" i="25"/>
  <c r="K4" i="25"/>
  <c r="L4" i="25"/>
  <c r="M4" i="25"/>
  <c r="N4" i="25"/>
  <c r="O4" i="25"/>
  <c r="P4" i="25"/>
  <c r="D4" i="24"/>
  <c r="E4" i="24"/>
  <c r="F4" i="24"/>
  <c r="G4" i="24"/>
  <c r="H4" i="24"/>
  <c r="I4" i="24"/>
  <c r="J4" i="24"/>
  <c r="K4" i="24"/>
  <c r="L4" i="24"/>
  <c r="M4" i="24"/>
  <c r="N4" i="24"/>
  <c r="O4" i="24"/>
  <c r="P4" i="24"/>
  <c r="D4" i="7"/>
  <c r="E4" i="7"/>
  <c r="F4" i="7"/>
  <c r="G4" i="7"/>
  <c r="H4" i="7"/>
  <c r="I4" i="7"/>
  <c r="J4" i="7"/>
  <c r="K4" i="7"/>
  <c r="L4" i="7"/>
  <c r="M4" i="7"/>
  <c r="N4" i="7"/>
  <c r="O4" i="7"/>
  <c r="P4" i="7"/>
  <c r="D4" i="6"/>
  <c r="E4" i="6"/>
  <c r="F4" i="6"/>
  <c r="G4" i="6"/>
  <c r="H4" i="6"/>
  <c r="I4" i="6"/>
  <c r="J4" i="6"/>
  <c r="K4" i="6"/>
  <c r="L4" i="6"/>
  <c r="M4" i="6"/>
  <c r="N4" i="6"/>
  <c r="O4" i="6"/>
  <c r="P4" i="6"/>
  <c r="D4" i="5"/>
  <c r="E4" i="5"/>
  <c r="F4" i="5"/>
  <c r="G4" i="5"/>
  <c r="H4" i="5"/>
  <c r="I4" i="5"/>
  <c r="J4" i="5"/>
  <c r="K4" i="5"/>
  <c r="L4" i="5"/>
  <c r="M4" i="5"/>
  <c r="N4" i="5"/>
  <c r="O4" i="5"/>
  <c r="P4" i="5"/>
  <c r="D4" i="4"/>
  <c r="E4" i="4"/>
  <c r="F4" i="4"/>
  <c r="G4" i="4"/>
  <c r="H4" i="4"/>
  <c r="I4" i="4"/>
  <c r="J4" i="4"/>
  <c r="K4" i="4"/>
  <c r="L4" i="4"/>
  <c r="M4" i="4"/>
  <c r="N4" i="4"/>
  <c r="O4" i="4"/>
  <c r="P4" i="4"/>
  <c r="C16" i="3"/>
  <c r="C10" i="3"/>
  <c r="C9" i="3"/>
  <c r="C9" i="2"/>
  <c r="C8" i="2"/>
  <c r="C7" i="2"/>
  <c r="C6" i="2"/>
  <c r="C5" i="2"/>
  <c r="E13" i="13"/>
  <c r="F10" i="13"/>
  <c r="D10" i="13"/>
  <c r="F9" i="13"/>
  <c r="D9" i="13"/>
  <c r="F8" i="13"/>
  <c r="D8" i="13"/>
  <c r="F7" i="13"/>
  <c r="D7" i="13"/>
  <c r="C10" i="2"/>
  <c r="F73" i="24" s="1"/>
  <c r="D78" i="2"/>
  <c r="D77" i="2"/>
  <c r="D76" i="2"/>
  <c r="D75" i="2"/>
  <c r="D74" i="2"/>
  <c r="D246" i="27"/>
  <c r="E64" i="2"/>
  <c r="E63" i="2"/>
  <c r="E62" i="2"/>
  <c r="E61" i="2"/>
  <c r="E60" i="2"/>
  <c r="D87" i="14" s="1"/>
  <c r="E59" i="2"/>
  <c r="C4" i="10"/>
  <c r="D17" i="10"/>
  <c r="E17" i="10"/>
  <c r="G17" i="10" s="1"/>
  <c r="C37" i="8" s="1"/>
  <c r="F17" i="10"/>
  <c r="D16" i="10"/>
  <c r="L53" i="24" s="1"/>
  <c r="E16" i="10"/>
  <c r="N53" i="25" s="1"/>
  <c r="F16" i="10"/>
  <c r="K53" i="26" s="1"/>
  <c r="D15" i="10"/>
  <c r="E15" i="10"/>
  <c r="N43" i="25" s="1"/>
  <c r="F15" i="10"/>
  <c r="O43" i="26" s="1"/>
  <c r="D14" i="10"/>
  <c r="E14" i="10"/>
  <c r="F14" i="10"/>
  <c r="D13" i="10"/>
  <c r="E13" i="10"/>
  <c r="G13" i="10" s="1"/>
  <c r="F13" i="10"/>
  <c r="D12" i="10"/>
  <c r="E12" i="10"/>
  <c r="F12" i="10"/>
  <c r="D11" i="10"/>
  <c r="I14" i="24" s="1"/>
  <c r="E11" i="10"/>
  <c r="P14" i="25" s="1"/>
  <c r="F11" i="10"/>
  <c r="M14" i="26" s="1"/>
  <c r="D10" i="10"/>
  <c r="G10" i="24" s="1"/>
  <c r="E10" i="10"/>
  <c r="F10" i="10"/>
  <c r="D9" i="10"/>
  <c r="F64" i="14" s="1"/>
  <c r="E9" i="10"/>
  <c r="G9" i="10" s="1"/>
  <c r="J20" i="3" s="1"/>
  <c r="F9" i="10"/>
  <c r="C56" i="8"/>
  <c r="C31" i="8"/>
  <c r="C25" i="8"/>
  <c r="C12" i="8"/>
  <c r="C8" i="8"/>
  <c r="C6" i="8"/>
  <c r="C5" i="8"/>
  <c r="Q36" i="3"/>
  <c r="Q34" i="3"/>
  <c r="Q32" i="3"/>
  <c r="C104" i="3"/>
  <c r="C100" i="3"/>
  <c r="L84" i="6" s="1"/>
  <c r="C99" i="3"/>
  <c r="C98" i="3"/>
  <c r="C97" i="3"/>
  <c r="C96" i="3"/>
  <c r="C68" i="3"/>
  <c r="C66" i="3"/>
  <c r="P54" i="26" s="1"/>
  <c r="C65" i="3"/>
  <c r="D38" i="11" s="1"/>
  <c r="C64" i="3"/>
  <c r="C62" i="3"/>
  <c r="J53" i="26" s="1"/>
  <c r="C58" i="3"/>
  <c r="C43" i="3"/>
  <c r="C13" i="3"/>
  <c r="C12" i="3"/>
  <c r="C11" i="3"/>
  <c r="G95" i="3"/>
  <c r="H95" i="3"/>
  <c r="I95" i="3"/>
  <c r="J95" i="3"/>
  <c r="K95" i="3"/>
  <c r="L95" i="3"/>
  <c r="M95" i="3"/>
  <c r="N95" i="3"/>
  <c r="O95" i="3"/>
  <c r="P95" i="3"/>
  <c r="G56" i="3"/>
  <c r="G43" i="25" s="1"/>
  <c r="H56" i="3"/>
  <c r="I56" i="3"/>
  <c r="I43" i="24" s="1"/>
  <c r="J56" i="3"/>
  <c r="K56" i="3"/>
  <c r="L56" i="3"/>
  <c r="M56" i="3"/>
  <c r="N56" i="3"/>
  <c r="N43" i="24" s="1"/>
  <c r="O56" i="3"/>
  <c r="O43" i="25" s="1"/>
  <c r="P56" i="3"/>
  <c r="G53" i="3"/>
  <c r="H53" i="3"/>
  <c r="I53" i="3"/>
  <c r="J53" i="3"/>
  <c r="K53" i="3"/>
  <c r="L53" i="3"/>
  <c r="M53" i="3"/>
  <c r="N53" i="3"/>
  <c r="O53" i="3"/>
  <c r="P53" i="3"/>
  <c r="G52" i="3"/>
  <c r="H52" i="3"/>
  <c r="I52" i="3"/>
  <c r="J52" i="3"/>
  <c r="K52" i="3"/>
  <c r="L52" i="3"/>
  <c r="M52" i="3"/>
  <c r="N52" i="3"/>
  <c r="O52" i="3"/>
  <c r="P52" i="3"/>
  <c r="G51" i="3"/>
  <c r="H51" i="3"/>
  <c r="I51" i="3"/>
  <c r="J51" i="3"/>
  <c r="K51" i="3"/>
  <c r="L51" i="3"/>
  <c r="M51" i="3"/>
  <c r="N51" i="3"/>
  <c r="O51" i="3"/>
  <c r="P51" i="3"/>
  <c r="G50" i="3"/>
  <c r="H50" i="3"/>
  <c r="I50" i="3"/>
  <c r="J50" i="3"/>
  <c r="K50" i="3"/>
  <c r="L50" i="3"/>
  <c r="M50" i="3"/>
  <c r="N50" i="3"/>
  <c r="O50" i="3"/>
  <c r="P50" i="3"/>
  <c r="G49" i="3"/>
  <c r="H49" i="3"/>
  <c r="I49" i="3"/>
  <c r="J49" i="3"/>
  <c r="K49" i="3"/>
  <c r="L49" i="3"/>
  <c r="M49" i="3"/>
  <c r="N49" i="3"/>
  <c r="O49" i="3"/>
  <c r="P49" i="3"/>
  <c r="G47" i="3"/>
  <c r="H47" i="3"/>
  <c r="I47" i="3"/>
  <c r="J47" i="3"/>
  <c r="K47" i="3"/>
  <c r="L47" i="3"/>
  <c r="M47" i="3"/>
  <c r="N47" i="3"/>
  <c r="O47" i="3"/>
  <c r="P47" i="3"/>
  <c r="G41" i="3"/>
  <c r="H41" i="3"/>
  <c r="I41" i="3"/>
  <c r="J41" i="3"/>
  <c r="K41" i="3"/>
  <c r="L41" i="3"/>
  <c r="M41" i="3"/>
  <c r="N41" i="3"/>
  <c r="O41" i="3"/>
  <c r="P41" i="3"/>
  <c r="G38" i="3"/>
  <c r="G21" i="26" s="1"/>
  <c r="G49" i="26" s="1"/>
  <c r="H38" i="3"/>
  <c r="I38" i="3"/>
  <c r="J38" i="3"/>
  <c r="K38" i="3"/>
  <c r="L38" i="3"/>
  <c r="L21" i="25" s="1"/>
  <c r="L49" i="25" s="1"/>
  <c r="M38" i="3"/>
  <c r="M21" i="26" s="1"/>
  <c r="M49" i="26" s="1"/>
  <c r="N38" i="3"/>
  <c r="N21" i="26" s="1"/>
  <c r="N49" i="26" s="1"/>
  <c r="O38" i="3"/>
  <c r="O21" i="26" s="1"/>
  <c r="O49" i="26" s="1"/>
  <c r="P38" i="3"/>
  <c r="G37" i="3"/>
  <c r="H37" i="3"/>
  <c r="I37" i="3"/>
  <c r="J37" i="3"/>
  <c r="J20" i="25" s="1"/>
  <c r="K37" i="3"/>
  <c r="K20" i="26" s="1"/>
  <c r="L37" i="3"/>
  <c r="L24" i="5" s="1"/>
  <c r="M37" i="3"/>
  <c r="M20" i="26" s="1"/>
  <c r="N37" i="3"/>
  <c r="O37" i="3"/>
  <c r="P37" i="3"/>
  <c r="G35" i="3"/>
  <c r="H35" i="3"/>
  <c r="I35" i="3"/>
  <c r="J35" i="3"/>
  <c r="K35" i="3"/>
  <c r="L35" i="3"/>
  <c r="M35" i="3"/>
  <c r="N35" i="3"/>
  <c r="O35" i="3"/>
  <c r="P35" i="3"/>
  <c r="G33" i="3"/>
  <c r="H33" i="3"/>
  <c r="I33" i="3"/>
  <c r="J33" i="3"/>
  <c r="K33" i="3"/>
  <c r="L33" i="3"/>
  <c r="M33" i="3"/>
  <c r="N33" i="3"/>
  <c r="O33" i="3"/>
  <c r="P33" i="3"/>
  <c r="G31" i="3"/>
  <c r="H31" i="3"/>
  <c r="I31" i="3"/>
  <c r="J31" i="3"/>
  <c r="K31" i="3"/>
  <c r="L31" i="3"/>
  <c r="M31" i="3"/>
  <c r="N31" i="3"/>
  <c r="O31" i="3"/>
  <c r="P31" i="3"/>
  <c r="G29" i="3"/>
  <c r="H29" i="3"/>
  <c r="I29" i="3"/>
  <c r="J29" i="3"/>
  <c r="J14" i="26" s="1"/>
  <c r="K29" i="3"/>
  <c r="L29" i="3"/>
  <c r="M29" i="3"/>
  <c r="N29" i="3"/>
  <c r="O29" i="3"/>
  <c r="P29" i="3"/>
  <c r="G25" i="3"/>
  <c r="H25" i="3"/>
  <c r="I25" i="3"/>
  <c r="J25" i="3"/>
  <c r="K25" i="3"/>
  <c r="L25" i="3"/>
  <c r="M25" i="3"/>
  <c r="N25" i="3"/>
  <c r="O25" i="3"/>
  <c r="P25" i="3"/>
  <c r="G23" i="3"/>
  <c r="H23" i="3"/>
  <c r="I23" i="3"/>
  <c r="J23" i="3"/>
  <c r="K23" i="3"/>
  <c r="L23" i="3"/>
  <c r="M23" i="3"/>
  <c r="N23" i="3"/>
  <c r="O23" i="3"/>
  <c r="P23" i="3"/>
  <c r="G21" i="3"/>
  <c r="H21" i="3"/>
  <c r="I21" i="3"/>
  <c r="J21" i="3"/>
  <c r="K21" i="3"/>
  <c r="L21" i="3"/>
  <c r="M21" i="3"/>
  <c r="N21" i="3"/>
  <c r="O21" i="3"/>
  <c r="P21" i="3"/>
  <c r="G19" i="3"/>
  <c r="H19" i="3"/>
  <c r="I19" i="3"/>
  <c r="J19" i="3"/>
  <c r="K19" i="3"/>
  <c r="L19" i="3"/>
  <c r="M19" i="3"/>
  <c r="N19" i="3"/>
  <c r="O19" i="3"/>
  <c r="P19" i="3"/>
  <c r="C150" i="4"/>
  <c r="E119" i="4"/>
  <c r="F119" i="4"/>
  <c r="E118" i="4"/>
  <c r="F118" i="4"/>
  <c r="E117" i="4"/>
  <c r="F117" i="4"/>
  <c r="C46" i="2" s="1"/>
  <c r="D116" i="4"/>
  <c r="E116" i="4"/>
  <c r="F116" i="4"/>
  <c r="D115" i="4"/>
  <c r="E115" i="4"/>
  <c r="F115" i="4"/>
  <c r="E114" i="4"/>
  <c r="F114" i="4"/>
  <c r="E113" i="4"/>
  <c r="F113" i="4"/>
  <c r="C76" i="3" s="1"/>
  <c r="C18" i="12" s="1"/>
  <c r="E112" i="4"/>
  <c r="F112" i="4"/>
  <c r="J57" i="6" s="1"/>
  <c r="E110" i="4"/>
  <c r="F110" i="4"/>
  <c r="F111" i="4" s="1"/>
  <c r="D15" i="14" s="1"/>
  <c r="F15" i="14" s="1"/>
  <c r="E104" i="4"/>
  <c r="F104" i="4"/>
  <c r="D102" i="4"/>
  <c r="E102" i="4"/>
  <c r="F102" i="4"/>
  <c r="D101" i="4"/>
  <c r="E101" i="4"/>
  <c r="F101" i="4"/>
  <c r="D100" i="4"/>
  <c r="E100" i="4"/>
  <c r="F100" i="4"/>
  <c r="D99" i="4"/>
  <c r="E99" i="4"/>
  <c r="F99" i="4"/>
  <c r="D98" i="4"/>
  <c r="E98" i="4"/>
  <c r="F98" i="4"/>
  <c r="D97" i="4"/>
  <c r="E97" i="4"/>
  <c r="F97" i="4"/>
  <c r="D96" i="4"/>
  <c r="E96" i="4"/>
  <c r="F96" i="4"/>
  <c r="D95" i="4"/>
  <c r="E95" i="4"/>
  <c r="F95" i="4"/>
  <c r="D94" i="4"/>
  <c r="E94" i="4"/>
  <c r="F94" i="4"/>
  <c r="D93" i="4"/>
  <c r="E93" i="4"/>
  <c r="F93" i="4"/>
  <c r="D91" i="4"/>
  <c r="E91" i="4"/>
  <c r="E90" i="4" s="1"/>
  <c r="F91" i="4"/>
  <c r="D89" i="4"/>
  <c r="E89" i="4"/>
  <c r="F89" i="4"/>
  <c r="D88" i="4"/>
  <c r="E88" i="4"/>
  <c r="F88" i="4"/>
  <c r="D87" i="4"/>
  <c r="D129" i="4" s="1"/>
  <c r="E87" i="4"/>
  <c r="F87" i="4"/>
  <c r="F129" i="4" s="1"/>
  <c r="D85" i="4"/>
  <c r="E85" i="4"/>
  <c r="D83" i="4"/>
  <c r="E83" i="4"/>
  <c r="F83" i="4"/>
  <c r="D82" i="4"/>
  <c r="E82" i="4"/>
  <c r="F82" i="4"/>
  <c r="D81" i="4"/>
  <c r="E81" i="4"/>
  <c r="F81" i="4"/>
  <c r="D79" i="4"/>
  <c r="D36" i="5" s="1"/>
  <c r="E79" i="4"/>
  <c r="F79" i="4"/>
  <c r="E72" i="4"/>
  <c r="F72" i="4"/>
  <c r="C74" i="3" s="1"/>
  <c r="F51" i="7" s="1"/>
  <c r="D54" i="14" s="1"/>
  <c r="E70" i="4"/>
  <c r="F70" i="4"/>
  <c r="E69" i="4"/>
  <c r="F69" i="4"/>
  <c r="E68" i="4"/>
  <c r="F68" i="4"/>
  <c r="E67" i="4"/>
  <c r="F67" i="4"/>
  <c r="E65" i="4"/>
  <c r="F65" i="4"/>
  <c r="K57" i="6" s="1"/>
  <c r="E64" i="4"/>
  <c r="F64" i="4"/>
  <c r="I55" i="6" s="1"/>
  <c r="E63" i="4"/>
  <c r="E66" i="4" s="1"/>
  <c r="F63" i="4"/>
  <c r="K56" i="6" s="1"/>
  <c r="E62" i="4"/>
  <c r="F62" i="4"/>
  <c r="E60" i="4"/>
  <c r="E49" i="5" s="1"/>
  <c r="F60" i="4"/>
  <c r="E59" i="4"/>
  <c r="E48" i="5" s="1"/>
  <c r="F59" i="4"/>
  <c r="F48" i="5" s="1"/>
  <c r="E58" i="4"/>
  <c r="E61" i="4" s="1"/>
  <c r="F58" i="4"/>
  <c r="F47" i="5" s="1"/>
  <c r="E57" i="4"/>
  <c r="F57" i="4"/>
  <c r="E56" i="4"/>
  <c r="F56" i="4"/>
  <c r="E52" i="4"/>
  <c r="F52" i="4"/>
  <c r="E51" i="4"/>
  <c r="F51" i="4"/>
  <c r="I46" i="6" s="1"/>
  <c r="E50" i="4"/>
  <c r="F50" i="4"/>
  <c r="G44" i="6" s="1"/>
  <c r="E49" i="4"/>
  <c r="F49" i="4"/>
  <c r="E48" i="4"/>
  <c r="E37" i="5" s="1"/>
  <c r="F48" i="4"/>
  <c r="E46" i="4"/>
  <c r="F46" i="4"/>
  <c r="E45" i="4"/>
  <c r="F45" i="4"/>
  <c r="F44" i="5" s="1"/>
  <c r="E44" i="4"/>
  <c r="F44" i="4"/>
  <c r="E43" i="4"/>
  <c r="F43" i="4"/>
  <c r="D40" i="4"/>
  <c r="E40" i="4"/>
  <c r="F40" i="4"/>
  <c r="D39" i="4"/>
  <c r="E39" i="4"/>
  <c r="F39" i="4"/>
  <c r="D38" i="4"/>
  <c r="E38" i="4"/>
  <c r="F38" i="4"/>
  <c r="D37" i="4"/>
  <c r="E37" i="4"/>
  <c r="F37" i="4"/>
  <c r="D35" i="4"/>
  <c r="E35" i="4"/>
  <c r="F35" i="4"/>
  <c r="D32" i="4"/>
  <c r="E32" i="4"/>
  <c r="F32" i="4"/>
  <c r="D30" i="4"/>
  <c r="E30" i="4"/>
  <c r="F30" i="4"/>
  <c r="D29" i="4"/>
  <c r="E29" i="4"/>
  <c r="F29" i="4"/>
  <c r="D24" i="4"/>
  <c r="E24" i="4"/>
  <c r="E25" i="5" s="1"/>
  <c r="F24" i="4"/>
  <c r="C146" i="4" s="1"/>
  <c r="D23" i="4"/>
  <c r="D80" i="4" s="1"/>
  <c r="E23" i="4"/>
  <c r="F23" i="4"/>
  <c r="D22" i="4"/>
  <c r="E22" i="4"/>
  <c r="F22" i="4"/>
  <c r="F23" i="5" s="1"/>
  <c r="D21" i="4"/>
  <c r="D22" i="5" s="1"/>
  <c r="E21" i="4"/>
  <c r="F21" i="4"/>
  <c r="F22" i="5" s="1"/>
  <c r="D20" i="4"/>
  <c r="D21" i="5" s="1"/>
  <c r="E20" i="4"/>
  <c r="F20" i="4"/>
  <c r="D15" i="4"/>
  <c r="D16" i="4" s="1"/>
  <c r="E15" i="4"/>
  <c r="F15" i="4"/>
  <c r="D14" i="4"/>
  <c r="E14" i="4"/>
  <c r="F14" i="4"/>
  <c r="F16" i="4" s="1"/>
  <c r="D13" i="4"/>
  <c r="E13" i="4"/>
  <c r="F13" i="4"/>
  <c r="D10" i="4"/>
  <c r="E10" i="4"/>
  <c r="F10" i="4"/>
  <c r="F10" i="25" s="1"/>
  <c r="G10" i="25" s="1"/>
  <c r="D9" i="4"/>
  <c r="E9" i="4"/>
  <c r="E9" i="5" s="1"/>
  <c r="F9" i="4"/>
  <c r="F9" i="5" s="1"/>
  <c r="D8" i="4"/>
  <c r="D11" i="4" s="1"/>
  <c r="E8" i="4"/>
  <c r="F8" i="4"/>
  <c r="D7" i="4"/>
  <c r="E7" i="4"/>
  <c r="F122" i="4" s="1"/>
  <c r="F7" i="4"/>
  <c r="R1" i="7"/>
  <c r="F87" i="14"/>
  <c r="P53" i="26"/>
  <c r="H20" i="2" s="1"/>
  <c r="G55" i="26"/>
  <c r="H55" i="26"/>
  <c r="I55" i="26"/>
  <c r="J55" i="26"/>
  <c r="L55" i="26"/>
  <c r="M55" i="26"/>
  <c r="N55" i="26"/>
  <c r="O55" i="26"/>
  <c r="P55" i="26"/>
  <c r="I54" i="25"/>
  <c r="J54" i="25"/>
  <c r="L53" i="25"/>
  <c r="M53" i="25"/>
  <c r="H55" i="25"/>
  <c r="I55" i="25"/>
  <c r="J55" i="25"/>
  <c r="K55" i="25"/>
  <c r="L55" i="25"/>
  <c r="M55" i="25"/>
  <c r="N55" i="25"/>
  <c r="P55" i="25"/>
  <c r="I53" i="24"/>
  <c r="J53" i="24"/>
  <c r="K53" i="24"/>
  <c r="N53" i="24"/>
  <c r="G55" i="24"/>
  <c r="H55" i="24"/>
  <c r="I55" i="24"/>
  <c r="J55" i="24"/>
  <c r="L55" i="24"/>
  <c r="M55" i="24"/>
  <c r="N55" i="24"/>
  <c r="O55" i="24"/>
  <c r="P55" i="24"/>
  <c r="I49" i="26"/>
  <c r="I43" i="26"/>
  <c r="J43" i="26"/>
  <c r="H43" i="25"/>
  <c r="I43" i="25"/>
  <c r="K43" i="25"/>
  <c r="L43" i="25"/>
  <c r="M43" i="25"/>
  <c r="P43" i="25"/>
  <c r="H43" i="24"/>
  <c r="J43" i="24"/>
  <c r="K43" i="24"/>
  <c r="L43" i="24"/>
  <c r="M43" i="24"/>
  <c r="P43" i="24"/>
  <c r="H21" i="26"/>
  <c r="H49" i="26" s="1"/>
  <c r="I21" i="26"/>
  <c r="J21" i="26"/>
  <c r="J49" i="26" s="1"/>
  <c r="K21" i="26"/>
  <c r="K49" i="26" s="1"/>
  <c r="L21" i="26"/>
  <c r="L49" i="26" s="1"/>
  <c r="P21" i="26"/>
  <c r="P49" i="26" s="1"/>
  <c r="G20" i="26"/>
  <c r="H20" i="26"/>
  <c r="I20" i="26"/>
  <c r="J20" i="26"/>
  <c r="N20" i="26"/>
  <c r="O20" i="26"/>
  <c r="P20" i="26"/>
  <c r="H14" i="26"/>
  <c r="I14" i="26"/>
  <c r="O14" i="26"/>
  <c r="P14" i="26"/>
  <c r="F30" i="26"/>
  <c r="G27" i="26" s="1"/>
  <c r="F8" i="26"/>
  <c r="G8" i="26" s="1"/>
  <c r="H8" i="26" s="1"/>
  <c r="I8" i="26" s="1"/>
  <c r="J8" i="26" s="1"/>
  <c r="K8" i="26" s="1"/>
  <c r="L8" i="26" s="1"/>
  <c r="F7" i="26"/>
  <c r="H21" i="25"/>
  <c r="H49" i="25" s="1"/>
  <c r="I21" i="25"/>
  <c r="I49" i="25" s="1"/>
  <c r="J21" i="25"/>
  <c r="J49" i="25" s="1"/>
  <c r="K21" i="25"/>
  <c r="K49" i="25" s="1"/>
  <c r="P21" i="25"/>
  <c r="P49" i="25" s="1"/>
  <c r="G20" i="25"/>
  <c r="H20" i="25"/>
  <c r="I20" i="25"/>
  <c r="N20" i="25"/>
  <c r="O20" i="25"/>
  <c r="P20" i="25"/>
  <c r="G14" i="25"/>
  <c r="H14" i="25"/>
  <c r="M14" i="25"/>
  <c r="N14" i="25"/>
  <c r="O14" i="25"/>
  <c r="F30" i="25"/>
  <c r="G27" i="25" s="1"/>
  <c r="F9" i="25"/>
  <c r="F8" i="25"/>
  <c r="F7" i="25"/>
  <c r="G21" i="24"/>
  <c r="G49" i="24" s="1"/>
  <c r="H21" i="24"/>
  <c r="H49" i="24" s="1"/>
  <c r="I21" i="24"/>
  <c r="I49" i="24" s="1"/>
  <c r="J21" i="24"/>
  <c r="J49" i="24" s="1"/>
  <c r="K21" i="24"/>
  <c r="K49" i="24" s="1"/>
  <c r="O21" i="24"/>
  <c r="O49" i="24" s="1"/>
  <c r="P21" i="24"/>
  <c r="P49" i="24" s="1"/>
  <c r="G20" i="24"/>
  <c r="H20" i="24"/>
  <c r="I20" i="24"/>
  <c r="M20" i="24"/>
  <c r="N20" i="24"/>
  <c r="O20" i="24"/>
  <c r="P20" i="24"/>
  <c r="G14" i="24"/>
  <c r="H14" i="24"/>
  <c r="K14" i="24"/>
  <c r="L14" i="24"/>
  <c r="M14" i="24"/>
  <c r="N14" i="24"/>
  <c r="O14" i="24"/>
  <c r="P14" i="24"/>
  <c r="F30" i="24"/>
  <c r="G27" i="24" s="1"/>
  <c r="F10" i="24"/>
  <c r="F8" i="24"/>
  <c r="F7" i="24"/>
  <c r="F75" i="14"/>
  <c r="D75" i="14"/>
  <c r="D76" i="14"/>
  <c r="F76" i="14" s="1"/>
  <c r="D286" i="27" s="1"/>
  <c r="F68" i="14"/>
  <c r="F67" i="14"/>
  <c r="F66" i="14"/>
  <c r="D65" i="14"/>
  <c r="F65" i="14" s="1"/>
  <c r="F63" i="14"/>
  <c r="F59" i="14"/>
  <c r="F58" i="14"/>
  <c r="F47" i="14"/>
  <c r="F38" i="14"/>
  <c r="F36" i="14"/>
  <c r="D35" i="14"/>
  <c r="F35" i="14" s="1"/>
  <c r="G14" i="13"/>
  <c r="C17" i="12"/>
  <c r="K84" i="6"/>
  <c r="I69" i="6"/>
  <c r="G57" i="6"/>
  <c r="H57" i="6"/>
  <c r="I57" i="6"/>
  <c r="I56" i="6"/>
  <c r="J56" i="6"/>
  <c r="M55" i="6"/>
  <c r="M46" i="6"/>
  <c r="M44" i="6"/>
  <c r="G43" i="6"/>
  <c r="H43" i="6"/>
  <c r="I43" i="6"/>
  <c r="J43" i="6"/>
  <c r="K43" i="6"/>
  <c r="L43" i="6"/>
  <c r="M43" i="6"/>
  <c r="N43" i="6"/>
  <c r="O43" i="6"/>
  <c r="P43" i="6"/>
  <c r="G25" i="6"/>
  <c r="H25" i="6"/>
  <c r="I25" i="6"/>
  <c r="J25" i="6"/>
  <c r="K25" i="6"/>
  <c r="L25" i="6"/>
  <c r="M25" i="6"/>
  <c r="N25" i="6"/>
  <c r="O25" i="6"/>
  <c r="P25" i="6"/>
  <c r="G13" i="6"/>
  <c r="H13" i="6"/>
  <c r="I13" i="6"/>
  <c r="J13" i="6"/>
  <c r="K13" i="6"/>
  <c r="L13" i="6"/>
  <c r="M13" i="6"/>
  <c r="N13" i="6"/>
  <c r="O13" i="6"/>
  <c r="P13" i="6"/>
  <c r="F92" i="6"/>
  <c r="G92" i="6" s="1"/>
  <c r="C54" i="2"/>
  <c r="F33" i="7"/>
  <c r="G20" i="7"/>
  <c r="H20" i="7"/>
  <c r="I20" i="7"/>
  <c r="J20" i="7"/>
  <c r="K20" i="7"/>
  <c r="L20" i="7"/>
  <c r="M20" i="7"/>
  <c r="N20" i="7"/>
  <c r="O20" i="7"/>
  <c r="P20" i="7"/>
  <c r="H14" i="7"/>
  <c r="I14" i="7"/>
  <c r="J14" i="7"/>
  <c r="K14" i="7"/>
  <c r="P14" i="7"/>
  <c r="C53" i="8"/>
  <c r="C52" i="8"/>
  <c r="C51" i="8"/>
  <c r="C50" i="8"/>
  <c r="C49" i="8"/>
  <c r="C32" i="8"/>
  <c r="C16" i="8" s="1"/>
  <c r="C22" i="8"/>
  <c r="C14" i="8"/>
  <c r="F49" i="5"/>
  <c r="F46" i="5"/>
  <c r="E46" i="5"/>
  <c r="F45" i="5"/>
  <c r="E45" i="5"/>
  <c r="E44" i="5"/>
  <c r="F37" i="5"/>
  <c r="G33" i="5" s="1"/>
  <c r="F36" i="5"/>
  <c r="E36" i="5"/>
  <c r="G25" i="5"/>
  <c r="H25" i="5"/>
  <c r="I25" i="5"/>
  <c r="J25" i="5"/>
  <c r="K25" i="5"/>
  <c r="L25" i="5"/>
  <c r="M25" i="5"/>
  <c r="N25" i="5"/>
  <c r="O25" i="5"/>
  <c r="P25" i="5"/>
  <c r="D25" i="5"/>
  <c r="G24" i="5"/>
  <c r="H24" i="5"/>
  <c r="I24" i="5"/>
  <c r="J24" i="5"/>
  <c r="K24" i="5"/>
  <c r="M24" i="5"/>
  <c r="N24" i="5"/>
  <c r="O24" i="5"/>
  <c r="P24" i="5"/>
  <c r="F24" i="5"/>
  <c r="E24" i="5"/>
  <c r="E23" i="5"/>
  <c r="D23" i="5"/>
  <c r="E22" i="5"/>
  <c r="F21" i="5"/>
  <c r="E21" i="5"/>
  <c r="F10" i="5"/>
  <c r="E10" i="5"/>
  <c r="D10" i="5"/>
  <c r="D9" i="5"/>
  <c r="F8" i="5"/>
  <c r="E8" i="5"/>
  <c r="D8" i="5"/>
  <c r="F7" i="5"/>
  <c r="E7" i="5"/>
  <c r="D7" i="5"/>
  <c r="G16" i="10"/>
  <c r="C63" i="3" s="1"/>
  <c r="C41" i="8" s="1"/>
  <c r="G15" i="10"/>
  <c r="L57" i="3" s="1"/>
  <c r="L55" i="5" s="1"/>
  <c r="L8" i="7" s="1"/>
  <c r="G14" i="10"/>
  <c r="G12" i="10"/>
  <c r="M36" i="3" s="1"/>
  <c r="G11" i="10"/>
  <c r="H30" i="3" s="1"/>
  <c r="H16" i="5" s="1"/>
  <c r="G10" i="10"/>
  <c r="K26" i="3" s="1"/>
  <c r="C75" i="3"/>
  <c r="J93" i="6" s="1"/>
  <c r="J17" i="6" s="1"/>
  <c r="C72" i="3"/>
  <c r="D10" i="11" s="1"/>
  <c r="C71" i="3"/>
  <c r="D9" i="11" s="1"/>
  <c r="C70" i="3"/>
  <c r="G16" i="13" s="1"/>
  <c r="C7" i="3"/>
  <c r="C5" i="10"/>
  <c r="C8" i="3" s="1"/>
  <c r="C157" i="4"/>
  <c r="C154" i="4"/>
  <c r="C153" i="4"/>
  <c r="C151" i="4"/>
  <c r="C149" i="4"/>
  <c r="C148" i="4"/>
  <c r="C147" i="4"/>
  <c r="E129" i="4"/>
  <c r="E122" i="4"/>
  <c r="F80" i="4"/>
  <c r="F124" i="4" s="1"/>
  <c r="E80" i="4"/>
  <c r="E124" i="4" s="1"/>
  <c r="F71" i="4"/>
  <c r="F73" i="4" s="1"/>
  <c r="E71" i="4"/>
  <c r="E73" i="4" s="1"/>
  <c r="E47" i="4"/>
  <c r="E16" i="4"/>
  <c r="N54" i="25" l="1"/>
  <c r="M54" i="26"/>
  <c r="K54" i="24"/>
  <c r="H54" i="25"/>
  <c r="O54" i="26"/>
  <c r="M54" i="24"/>
  <c r="H54" i="24"/>
  <c r="N54" i="26"/>
  <c r="J14" i="24"/>
  <c r="G8" i="24"/>
  <c r="H8" i="24" s="1"/>
  <c r="I8" i="24" s="1"/>
  <c r="J8" i="24" s="1"/>
  <c r="K8" i="24" s="1"/>
  <c r="L8" i="24" s="1"/>
  <c r="M8" i="24" s="1"/>
  <c r="N8" i="24" s="1"/>
  <c r="O8" i="24" s="1"/>
  <c r="P8" i="24" s="1"/>
  <c r="F73" i="25"/>
  <c r="F56" i="7"/>
  <c r="F73" i="26"/>
  <c r="C29" i="8"/>
  <c r="D74" i="14"/>
  <c r="F74" i="14" s="1"/>
  <c r="C81" i="2"/>
  <c r="D5" i="11"/>
  <c r="C30" i="10"/>
  <c r="G14" i="26"/>
  <c r="H43" i="26"/>
  <c r="J53" i="25"/>
  <c r="L53" i="26"/>
  <c r="L14" i="26"/>
  <c r="G7" i="25"/>
  <c r="I14" i="25"/>
  <c r="J43" i="25"/>
  <c r="G43" i="26"/>
  <c r="G53" i="25"/>
  <c r="K14" i="26"/>
  <c r="M43" i="26"/>
  <c r="L43" i="26"/>
  <c r="K43" i="26"/>
  <c r="N14" i="26"/>
  <c r="P43" i="26"/>
  <c r="P53" i="25"/>
  <c r="C26" i="8"/>
  <c r="O69" i="6"/>
  <c r="I84" i="6"/>
  <c r="N69" i="6"/>
  <c r="P84" i="6"/>
  <c r="H84" i="6"/>
  <c r="H53" i="24"/>
  <c r="I53" i="25"/>
  <c r="G54" i="25"/>
  <c r="N53" i="26"/>
  <c r="K54" i="26"/>
  <c r="H69" i="6"/>
  <c r="G69" i="6"/>
  <c r="M69" i="6"/>
  <c r="O84" i="6"/>
  <c r="G84" i="6"/>
  <c r="P53" i="24"/>
  <c r="F20" i="2" s="1"/>
  <c r="N54" i="24"/>
  <c r="H53" i="25"/>
  <c r="M53" i="26"/>
  <c r="G54" i="26"/>
  <c r="F60" i="26"/>
  <c r="J84" i="6"/>
  <c r="L69" i="6"/>
  <c r="N84" i="6"/>
  <c r="P69" i="6"/>
  <c r="F27" i="7"/>
  <c r="C28" i="2" s="1"/>
  <c r="K69" i="6"/>
  <c r="M84" i="6"/>
  <c r="M53" i="24"/>
  <c r="L54" i="24"/>
  <c r="O53" i="25"/>
  <c r="P54" i="25"/>
  <c r="F60" i="25" s="1"/>
  <c r="J69" i="6"/>
  <c r="N43" i="26"/>
  <c r="N21" i="24"/>
  <c r="N49" i="24" s="1"/>
  <c r="L14" i="25"/>
  <c r="O14" i="7"/>
  <c r="G14" i="7"/>
  <c r="D19" i="14" s="1"/>
  <c r="F19" i="14" s="1"/>
  <c r="G7" i="24"/>
  <c r="H10" i="24"/>
  <c r="I10" i="24" s="1"/>
  <c r="J10" i="24" s="1"/>
  <c r="K10" i="24" s="1"/>
  <c r="L10" i="24" s="1"/>
  <c r="M10" i="24" s="1"/>
  <c r="N10" i="24" s="1"/>
  <c r="O10" i="24" s="1"/>
  <c r="P10" i="24" s="1"/>
  <c r="K20" i="24"/>
  <c r="M21" i="24"/>
  <c r="M49" i="24" s="1"/>
  <c r="K14" i="25"/>
  <c r="M20" i="25"/>
  <c r="O21" i="25"/>
  <c r="O49" i="25" s="1"/>
  <c r="G21" i="25"/>
  <c r="G49" i="25" s="1"/>
  <c r="C101" i="3"/>
  <c r="L20" i="24"/>
  <c r="N14" i="7"/>
  <c r="J20" i="24"/>
  <c r="L21" i="24"/>
  <c r="L49" i="24" s="1"/>
  <c r="G9" i="25"/>
  <c r="H9" i="25" s="1"/>
  <c r="I9" i="25" s="1"/>
  <c r="J9" i="25" s="1"/>
  <c r="K9" i="25" s="1"/>
  <c r="L9" i="25" s="1"/>
  <c r="M9" i="25" s="1"/>
  <c r="N9" i="25" s="1"/>
  <c r="O9" i="25" s="1"/>
  <c r="P9" i="25" s="1"/>
  <c r="J14" i="25"/>
  <c r="L20" i="25"/>
  <c r="N21" i="25"/>
  <c r="N49" i="25" s="1"/>
  <c r="G7" i="26"/>
  <c r="H7" i="26" s="1"/>
  <c r="H10" i="25"/>
  <c r="I10" i="25" s="1"/>
  <c r="J10" i="25" s="1"/>
  <c r="K10" i="25" s="1"/>
  <c r="L10" i="25" s="1"/>
  <c r="M10" i="25" s="1"/>
  <c r="N10" i="25" s="1"/>
  <c r="O10" i="25" s="1"/>
  <c r="P10" i="25" s="1"/>
  <c r="M14" i="7"/>
  <c r="K20" i="25"/>
  <c r="M21" i="25"/>
  <c r="M49" i="25" s="1"/>
  <c r="L20" i="26"/>
  <c r="H42" i="3"/>
  <c r="M8" i="26"/>
  <c r="N8" i="26" s="1"/>
  <c r="O8" i="26" s="1"/>
  <c r="P8" i="26" s="1"/>
  <c r="I48" i="3"/>
  <c r="L14" i="7"/>
  <c r="O43" i="24"/>
  <c r="G43" i="24"/>
  <c r="F61" i="5"/>
  <c r="C152" i="4"/>
  <c r="P57" i="6"/>
  <c r="O57" i="6"/>
  <c r="C23" i="8"/>
  <c r="E137" i="4"/>
  <c r="E111" i="4"/>
  <c r="D16" i="14" s="1"/>
  <c r="F16" i="14" s="1"/>
  <c r="F103" i="4"/>
  <c r="F105" i="4" s="1"/>
  <c r="D13" i="14" s="1"/>
  <c r="F13" i="14" s="1"/>
  <c r="E103" i="4"/>
  <c r="E105" i="4" s="1"/>
  <c r="D14" i="14" s="1"/>
  <c r="F14" i="14" s="1"/>
  <c r="D103" i="4"/>
  <c r="D106" i="4" s="1"/>
  <c r="D283" i="27"/>
  <c r="F90" i="4"/>
  <c r="D90" i="4"/>
  <c r="E106" i="4"/>
  <c r="E132" i="4"/>
  <c r="D132" i="4"/>
  <c r="D124" i="4"/>
  <c r="C155" i="4"/>
  <c r="N57" i="6"/>
  <c r="M57" i="6"/>
  <c r="L57" i="6"/>
  <c r="P55" i="6"/>
  <c r="H55" i="6"/>
  <c r="O55" i="6"/>
  <c r="G55" i="6"/>
  <c r="N55" i="6"/>
  <c r="L55" i="6"/>
  <c r="J55" i="6"/>
  <c r="K55" i="6"/>
  <c r="P56" i="6"/>
  <c r="O56" i="6"/>
  <c r="F66" i="4"/>
  <c r="F74" i="4" s="1"/>
  <c r="N56" i="6"/>
  <c r="H56" i="6"/>
  <c r="G56" i="6"/>
  <c r="M56" i="6"/>
  <c r="L56" i="6"/>
  <c r="F61" i="4"/>
  <c r="E47" i="5"/>
  <c r="C102" i="3"/>
  <c r="L47" i="6" s="1"/>
  <c r="E53" i="4"/>
  <c r="P46" i="6"/>
  <c r="H46" i="6"/>
  <c r="O46" i="6"/>
  <c r="G46" i="6"/>
  <c r="N46" i="6"/>
  <c r="K46" i="6"/>
  <c r="J46" i="6"/>
  <c r="L46" i="6"/>
  <c r="C156" i="4"/>
  <c r="N44" i="6"/>
  <c r="K44" i="6"/>
  <c r="I44" i="6"/>
  <c r="L44" i="6"/>
  <c r="P44" i="6"/>
  <c r="H44" i="6"/>
  <c r="F53" i="4"/>
  <c r="F54" i="4" s="1"/>
  <c r="J44" i="6"/>
  <c r="O44" i="6"/>
  <c r="F33" i="5"/>
  <c r="F47" i="4"/>
  <c r="F137" i="4"/>
  <c r="C44" i="2" s="1"/>
  <c r="F54" i="7"/>
  <c r="C17" i="2" s="1"/>
  <c r="F71" i="24"/>
  <c r="F71" i="26"/>
  <c r="F25" i="5"/>
  <c r="D24" i="5"/>
  <c r="F25" i="4"/>
  <c r="E25" i="4"/>
  <c r="E26" i="4" s="1"/>
  <c r="E127" i="4" s="1"/>
  <c r="D25" i="4"/>
  <c r="F10" i="26"/>
  <c r="G10" i="26" s="1"/>
  <c r="H10" i="26" s="1"/>
  <c r="I10" i="26" s="1"/>
  <c r="J10" i="26" s="1"/>
  <c r="K10" i="26" s="1"/>
  <c r="L10" i="26" s="1"/>
  <c r="M10" i="26" s="1"/>
  <c r="N10" i="26" s="1"/>
  <c r="O10" i="26" s="1"/>
  <c r="P10" i="26" s="1"/>
  <c r="E11" i="4"/>
  <c r="E134" i="4" s="1"/>
  <c r="F11" i="4"/>
  <c r="F134" i="4" s="1"/>
  <c r="F9" i="24"/>
  <c r="G9" i="24" s="1"/>
  <c r="H9" i="24" s="1"/>
  <c r="I9" i="24" s="1"/>
  <c r="J9" i="24" s="1"/>
  <c r="K9" i="24" s="1"/>
  <c r="L9" i="24" s="1"/>
  <c r="M9" i="24" s="1"/>
  <c r="N9" i="24" s="1"/>
  <c r="O9" i="24" s="1"/>
  <c r="P9" i="24" s="1"/>
  <c r="F9" i="26"/>
  <c r="G9" i="26" s="1"/>
  <c r="H9" i="26" s="1"/>
  <c r="I9" i="26" s="1"/>
  <c r="J9" i="26" s="1"/>
  <c r="K9" i="26" s="1"/>
  <c r="L9" i="26" s="1"/>
  <c r="M9" i="26" s="1"/>
  <c r="N9" i="26" s="1"/>
  <c r="O9" i="26" s="1"/>
  <c r="P9" i="26" s="1"/>
  <c r="F11" i="24"/>
  <c r="H7" i="24"/>
  <c r="H7" i="25"/>
  <c r="F11" i="25"/>
  <c r="G8" i="25"/>
  <c r="H8" i="25" s="1"/>
  <c r="I8" i="25" s="1"/>
  <c r="J8" i="25" s="1"/>
  <c r="K8" i="25" s="1"/>
  <c r="L8" i="25" s="1"/>
  <c r="M8" i="25" s="1"/>
  <c r="N8" i="25" s="1"/>
  <c r="O8" i="25" s="1"/>
  <c r="P8" i="25" s="1"/>
  <c r="F11" i="26"/>
  <c r="D267" i="27"/>
  <c r="G20" i="2"/>
  <c r="I54" i="26"/>
  <c r="M54" i="25"/>
  <c r="I54" i="24"/>
  <c r="P54" i="24"/>
  <c r="F60" i="24" s="1"/>
  <c r="G54" i="24"/>
  <c r="L54" i="25"/>
  <c r="I53" i="26"/>
  <c r="J54" i="26"/>
  <c r="K55" i="26"/>
  <c r="G55" i="25"/>
  <c r="O55" i="25"/>
  <c r="K55" i="24"/>
  <c r="O54" i="24"/>
  <c r="K54" i="25"/>
  <c r="H53" i="26"/>
  <c r="H54" i="26"/>
  <c r="G53" i="26"/>
  <c r="O53" i="26"/>
  <c r="K53" i="25"/>
  <c r="G53" i="24"/>
  <c r="O53" i="24"/>
  <c r="D79" i="2"/>
  <c r="J54" i="24"/>
  <c r="O54" i="25"/>
  <c r="L54" i="26"/>
  <c r="I20" i="3"/>
  <c r="P20" i="3"/>
  <c r="H20" i="3"/>
  <c r="O20" i="3"/>
  <c r="G20" i="3"/>
  <c r="G7" i="5" s="1"/>
  <c r="N20" i="3"/>
  <c r="M20" i="3"/>
  <c r="L20" i="3"/>
  <c r="K20" i="3"/>
  <c r="O26" i="3"/>
  <c r="G21" i="13"/>
  <c r="F29" i="14"/>
  <c r="G22" i="13"/>
  <c r="F12" i="14"/>
  <c r="I22" i="3"/>
  <c r="D8" i="11"/>
  <c r="F17" i="14"/>
  <c r="G17" i="13"/>
  <c r="J26" i="3"/>
  <c r="G18" i="13"/>
  <c r="G19" i="13"/>
  <c r="N22" i="3"/>
  <c r="M22" i="3"/>
  <c r="G26" i="3"/>
  <c r="G10" i="5" s="1"/>
  <c r="O24" i="3"/>
  <c r="N24" i="3"/>
  <c r="J24" i="3"/>
  <c r="P26" i="3"/>
  <c r="H22" i="3"/>
  <c r="H24" i="3"/>
  <c r="I26" i="3"/>
  <c r="D13" i="11"/>
  <c r="P22" i="3"/>
  <c r="P24" i="3"/>
  <c r="G24" i="3"/>
  <c r="G9" i="5" s="1"/>
  <c r="H26" i="3"/>
  <c r="D14" i="11"/>
  <c r="L22" i="3"/>
  <c r="M24" i="3"/>
  <c r="N26" i="3"/>
  <c r="K22" i="3"/>
  <c r="L24" i="3"/>
  <c r="M26" i="3"/>
  <c r="J22" i="3"/>
  <c r="K24" i="3"/>
  <c r="L26" i="3"/>
  <c r="D11" i="11"/>
  <c r="O22" i="3"/>
  <c r="G22" i="3"/>
  <c r="G8" i="5" s="1"/>
  <c r="I24" i="3"/>
  <c r="F45" i="6"/>
  <c r="G45" i="6" s="1"/>
  <c r="H45" i="6" s="1"/>
  <c r="I45" i="6" s="1"/>
  <c r="J45" i="6" s="1"/>
  <c r="K45" i="6" s="1"/>
  <c r="L45" i="6" s="1"/>
  <c r="M45" i="6" s="1"/>
  <c r="N45" i="6" s="1"/>
  <c r="O45" i="6" s="1"/>
  <c r="P45" i="6" s="1"/>
  <c r="D25" i="14" s="1"/>
  <c r="F25" i="14" s="1"/>
  <c r="F46" i="7"/>
  <c r="F24" i="6"/>
  <c r="G21" i="6" s="1"/>
  <c r="G82" i="6"/>
  <c r="G67" i="6"/>
  <c r="F47" i="7"/>
  <c r="D52" i="14" s="1"/>
  <c r="K54" i="6"/>
  <c r="L54" i="6"/>
  <c r="M54" i="6"/>
  <c r="N54" i="6"/>
  <c r="G54" i="6"/>
  <c r="O54" i="6"/>
  <c r="H54" i="6"/>
  <c r="P54" i="6"/>
  <c r="I54" i="6"/>
  <c r="J54" i="6"/>
  <c r="F48" i="7"/>
  <c r="F35" i="6"/>
  <c r="G29" i="6" s="1"/>
  <c r="J68" i="6"/>
  <c r="M39" i="6"/>
  <c r="N39" i="6"/>
  <c r="G39" i="6"/>
  <c r="O39" i="6"/>
  <c r="H39" i="6"/>
  <c r="P39" i="6"/>
  <c r="I39" i="6"/>
  <c r="J39" i="6"/>
  <c r="K39" i="6"/>
  <c r="L39" i="6"/>
  <c r="M47" i="6"/>
  <c r="N47" i="6"/>
  <c r="G47" i="6"/>
  <c r="O47" i="6"/>
  <c r="H47" i="6"/>
  <c r="P47" i="6"/>
  <c r="I47" i="6"/>
  <c r="J47" i="6"/>
  <c r="K47" i="6"/>
  <c r="F70" i="6"/>
  <c r="G64" i="6" s="1"/>
  <c r="F34" i="5"/>
  <c r="C40" i="2"/>
  <c r="F52" i="7"/>
  <c r="D55" i="14" s="1"/>
  <c r="K93" i="6"/>
  <c r="L93" i="6"/>
  <c r="M93" i="6"/>
  <c r="N93" i="6"/>
  <c r="G93" i="6"/>
  <c r="O93" i="6"/>
  <c r="H93" i="6"/>
  <c r="P93" i="6"/>
  <c r="I93" i="6"/>
  <c r="H92" i="6"/>
  <c r="J83" i="6"/>
  <c r="C13" i="2"/>
  <c r="C36" i="2"/>
  <c r="C30" i="8"/>
  <c r="F26" i="7"/>
  <c r="F38" i="5"/>
  <c r="D26" i="5"/>
  <c r="E26" i="5"/>
  <c r="C24" i="8"/>
  <c r="F49" i="7"/>
  <c r="F11" i="5"/>
  <c r="C15" i="8"/>
  <c r="C17" i="8" s="1"/>
  <c r="C19" i="8" s="1"/>
  <c r="E11" i="5"/>
  <c r="E13" i="5" s="1"/>
  <c r="F18" i="5"/>
  <c r="F50" i="5"/>
  <c r="F26" i="5"/>
  <c r="E38" i="5"/>
  <c r="D11" i="5"/>
  <c r="D13" i="5" s="1"/>
  <c r="D38" i="5"/>
  <c r="D18" i="5"/>
  <c r="D34" i="5"/>
  <c r="D26" i="4"/>
  <c r="D127" i="4" s="1"/>
  <c r="E54" i="4"/>
  <c r="E18" i="5"/>
  <c r="E34" i="5"/>
  <c r="E50" i="5"/>
  <c r="E136" i="4"/>
  <c r="F26" i="4"/>
  <c r="F127" i="4" s="1"/>
  <c r="F125" i="4" s="1"/>
  <c r="E121" i="4"/>
  <c r="E133" i="4"/>
  <c r="I57" i="3"/>
  <c r="I55" i="5" s="1"/>
  <c r="I8" i="7" s="1"/>
  <c r="K57" i="3"/>
  <c r="K55" i="5" s="1"/>
  <c r="K8" i="7" s="1"/>
  <c r="J57" i="3"/>
  <c r="J55" i="5" s="1"/>
  <c r="J8" i="7" s="1"/>
  <c r="M57" i="3"/>
  <c r="M55" i="5" s="1"/>
  <c r="M8" i="7" s="1"/>
  <c r="K48" i="3"/>
  <c r="J48" i="3"/>
  <c r="I32" i="3"/>
  <c r="N36" i="3"/>
  <c r="G42" i="3"/>
  <c r="N42" i="3"/>
  <c r="F106" i="4"/>
  <c r="F107" i="4" s="1"/>
  <c r="D133" i="4"/>
  <c r="P48" i="3"/>
  <c r="K34" i="3"/>
  <c r="H48" i="3"/>
  <c r="O42" i="3"/>
  <c r="O30" i="3"/>
  <c r="O16" i="5" s="1"/>
  <c r="F130" i="4"/>
  <c r="C41" i="2" s="1"/>
  <c r="O48" i="3"/>
  <c r="K30" i="3"/>
  <c r="K16" i="5" s="1"/>
  <c r="O34" i="3"/>
  <c r="G34" i="3"/>
  <c r="I36" i="3"/>
  <c r="H57" i="3"/>
  <c r="H55" i="5" s="1"/>
  <c r="H8" i="7" s="1"/>
  <c r="F44" i="3"/>
  <c r="E130" i="4"/>
  <c r="M30" i="3"/>
  <c r="M16" i="5" s="1"/>
  <c r="O32" i="3"/>
  <c r="I34" i="3"/>
  <c r="M42" i="3"/>
  <c r="P34" i="3"/>
  <c r="L42" i="3"/>
  <c r="D17" i="4"/>
  <c r="K42" i="3"/>
  <c r="F133" i="4"/>
  <c r="J30" i="3"/>
  <c r="J16" i="5" s="1"/>
  <c r="L32" i="3"/>
  <c r="N34" i="3"/>
  <c r="P36" i="3"/>
  <c r="H36" i="3"/>
  <c r="J42" i="3"/>
  <c r="M48" i="3"/>
  <c r="O57" i="3"/>
  <c r="O55" i="5" s="1"/>
  <c r="O8" i="7" s="1"/>
  <c r="G57" i="3"/>
  <c r="G55" i="5" s="1"/>
  <c r="G8" i="7" s="1"/>
  <c r="F136" i="4"/>
  <c r="P32" i="3"/>
  <c r="L36" i="3"/>
  <c r="G32" i="3"/>
  <c r="K36" i="3"/>
  <c r="L30" i="3"/>
  <c r="L16" i="5" s="1"/>
  <c r="J36" i="3"/>
  <c r="F121" i="4"/>
  <c r="C37" i="2" s="1"/>
  <c r="M32" i="3"/>
  <c r="N48" i="3"/>
  <c r="F17" i="4"/>
  <c r="I30" i="3"/>
  <c r="I16" i="5" s="1"/>
  <c r="K32" i="3"/>
  <c r="M34" i="3"/>
  <c r="O36" i="3"/>
  <c r="G36" i="3"/>
  <c r="I42" i="3"/>
  <c r="L48" i="3"/>
  <c r="N57" i="3"/>
  <c r="N55" i="5" s="1"/>
  <c r="N8" i="7" s="1"/>
  <c r="G30" i="3"/>
  <c r="G16" i="5" s="1"/>
  <c r="N30" i="3"/>
  <c r="N16" i="5" s="1"/>
  <c r="H32" i="3"/>
  <c r="J34" i="3"/>
  <c r="N32" i="3"/>
  <c r="H34" i="3"/>
  <c r="G48" i="3"/>
  <c r="E74" i="4"/>
  <c r="P57" i="3"/>
  <c r="E17" i="4"/>
  <c r="P30" i="3"/>
  <c r="D46" i="14" s="1"/>
  <c r="F46" i="14" s="1"/>
  <c r="J32" i="3"/>
  <c r="L34" i="3"/>
  <c r="P42" i="3"/>
  <c r="F131" i="4"/>
  <c r="D131" i="4"/>
  <c r="E131" i="4"/>
  <c r="E135" i="4"/>
  <c r="F135" i="4"/>
  <c r="D130" i="4"/>
  <c r="F132" i="4"/>
  <c r="C43" i="2" s="1"/>
  <c r="G60" i="5" l="1"/>
  <c r="C33" i="8"/>
  <c r="G11" i="26"/>
  <c r="H11" i="26"/>
  <c r="H35" i="26" s="1"/>
  <c r="I7" i="26"/>
  <c r="I11" i="26" s="1"/>
  <c r="G11" i="24"/>
  <c r="G28" i="24" s="1"/>
  <c r="H38" i="26"/>
  <c r="J7" i="26"/>
  <c r="J11" i="26" s="1"/>
  <c r="G24" i="13"/>
  <c r="C19" i="12"/>
  <c r="D6" i="11"/>
  <c r="D7" i="11" s="1"/>
  <c r="D57" i="14"/>
  <c r="F57" i="14" s="1"/>
  <c r="F63" i="5"/>
  <c r="F139" i="4" s="1"/>
  <c r="F40" i="26"/>
  <c r="F40" i="25"/>
  <c r="F40" i="24"/>
  <c r="D49" i="14"/>
  <c r="F49" i="14" s="1"/>
  <c r="H28" i="26"/>
  <c r="H47" i="26" s="1"/>
  <c r="H15" i="26"/>
  <c r="H16" i="26" s="1"/>
  <c r="H34" i="26"/>
  <c r="D56" i="14"/>
  <c r="F56" i="14" s="1"/>
  <c r="F69" i="25"/>
  <c r="F69" i="26"/>
  <c r="F69" i="24"/>
  <c r="G39" i="26"/>
  <c r="G28" i="26"/>
  <c r="G17" i="26"/>
  <c r="G12" i="26"/>
  <c r="G37" i="26"/>
  <c r="G38" i="26"/>
  <c r="G18" i="26"/>
  <c r="G35" i="26"/>
  <c r="G34" i="26"/>
  <c r="G19" i="26"/>
  <c r="G15" i="26"/>
  <c r="G16" i="26" s="1"/>
  <c r="H11" i="25"/>
  <c r="I7" i="25"/>
  <c r="K7" i="26"/>
  <c r="G11" i="25"/>
  <c r="H11" i="24"/>
  <c r="I7" i="24"/>
  <c r="E79" i="2"/>
  <c r="D280" i="27" s="1"/>
  <c r="D85" i="14"/>
  <c r="F85" i="14" s="1"/>
  <c r="G34" i="24"/>
  <c r="G17" i="24"/>
  <c r="G37" i="24"/>
  <c r="I37" i="26"/>
  <c r="I28" i="26"/>
  <c r="I47" i="26" s="1"/>
  <c r="I35" i="26"/>
  <c r="I34" i="26"/>
  <c r="I39" i="26"/>
  <c r="I18" i="26"/>
  <c r="I38" i="26"/>
  <c r="I19" i="26"/>
  <c r="I15" i="26"/>
  <c r="I16" i="26"/>
  <c r="I17" i="26"/>
  <c r="I12" i="26"/>
  <c r="D53" i="14"/>
  <c r="F53" i="14" s="1"/>
  <c r="E128" i="4"/>
  <c r="E125" i="4"/>
  <c r="E126" i="4" s="1"/>
  <c r="D128" i="4"/>
  <c r="D125" i="4"/>
  <c r="D126" i="4" s="1"/>
  <c r="P55" i="5"/>
  <c r="P8" i="7" s="1"/>
  <c r="D18" i="14"/>
  <c r="C7" i="8"/>
  <c r="C9" i="8" s="1"/>
  <c r="D32" i="14" s="1"/>
  <c r="F32" i="14" s="1"/>
  <c r="D34" i="14"/>
  <c r="F34" i="14" s="1"/>
  <c r="F31" i="4"/>
  <c r="F33" i="4" s="1"/>
  <c r="F55" i="5" s="1"/>
  <c r="C44" i="8"/>
  <c r="D33" i="14"/>
  <c r="F33" i="14" s="1"/>
  <c r="D37" i="11"/>
  <c r="D37" i="14"/>
  <c r="F37" i="14" s="1"/>
  <c r="E75" i="4"/>
  <c r="D10" i="14" s="1"/>
  <c r="F10" i="14" s="1"/>
  <c r="D51" i="14"/>
  <c r="F51" i="14" s="1"/>
  <c r="P16" i="5"/>
  <c r="D15" i="11"/>
  <c r="C27" i="2"/>
  <c r="F5" i="9"/>
  <c r="E5" i="9"/>
  <c r="H5" i="9"/>
  <c r="G5" i="9"/>
  <c r="D5" i="9"/>
  <c r="F35" i="5"/>
  <c r="D142" i="4"/>
  <c r="N17" i="6"/>
  <c r="N83" i="6"/>
  <c r="N68" i="6"/>
  <c r="F41" i="5"/>
  <c r="I92" i="6"/>
  <c r="H82" i="6"/>
  <c r="H67" i="6"/>
  <c r="M17" i="6"/>
  <c r="M83" i="6"/>
  <c r="M68" i="6"/>
  <c r="H10" i="5"/>
  <c r="I10" i="5" s="1"/>
  <c r="L83" i="6"/>
  <c r="L68" i="6"/>
  <c r="L17" i="6"/>
  <c r="I17" i="6"/>
  <c r="I83" i="6"/>
  <c r="I68" i="6"/>
  <c r="K83" i="6"/>
  <c r="K68" i="6"/>
  <c r="K17" i="6"/>
  <c r="P17" i="6"/>
  <c r="P83" i="6"/>
  <c r="P68" i="6"/>
  <c r="H17" i="6"/>
  <c r="H83" i="6"/>
  <c r="H68" i="6"/>
  <c r="O17" i="6"/>
  <c r="O83" i="6"/>
  <c r="O68" i="6"/>
  <c r="G87" i="6"/>
  <c r="G26" i="6"/>
  <c r="G12" i="6" s="1"/>
  <c r="G17" i="6"/>
  <c r="G83" i="6"/>
  <c r="G68" i="6"/>
  <c r="F13" i="5"/>
  <c r="F75" i="4"/>
  <c r="D282" i="27" s="1"/>
  <c r="F142" i="4"/>
  <c r="C38" i="2"/>
  <c r="F12" i="5"/>
  <c r="H8" i="5"/>
  <c r="I8" i="5" s="1"/>
  <c r="F128" i="4"/>
  <c r="C39" i="2" s="1"/>
  <c r="E52" i="5"/>
  <c r="F28" i="7"/>
  <c r="D39" i="14" s="1"/>
  <c r="F39" i="14" s="1"/>
  <c r="F68" i="7"/>
  <c r="F27" i="4"/>
  <c r="F126" i="4"/>
  <c r="E35" i="5"/>
  <c r="H9" i="5"/>
  <c r="I9" i="5" s="1"/>
  <c r="F52" i="5"/>
  <c r="E27" i="4"/>
  <c r="E12" i="5"/>
  <c r="D35" i="5"/>
  <c r="G62" i="5"/>
  <c r="H7" i="5"/>
  <c r="H60" i="5" s="1"/>
  <c r="G11" i="5"/>
  <c r="D59" i="2" s="1"/>
  <c r="F59" i="2" s="1"/>
  <c r="G59" i="2" s="1"/>
  <c r="H59" i="2" s="1"/>
  <c r="D41" i="5"/>
  <c r="D18" i="4"/>
  <c r="D17" i="5"/>
  <c r="D27" i="5" s="1"/>
  <c r="D28" i="5" s="1"/>
  <c r="E63" i="5"/>
  <c r="E139" i="4" s="1"/>
  <c r="E142" i="4"/>
  <c r="F51" i="5"/>
  <c r="E18" i="4"/>
  <c r="E17" i="5"/>
  <c r="E27" i="5" s="1"/>
  <c r="E29" i="5" s="1"/>
  <c r="E7" i="7" s="1"/>
  <c r="D27" i="4"/>
  <c r="D31" i="4"/>
  <c r="D34" i="4" s="1"/>
  <c r="E31" i="4"/>
  <c r="E33" i="4" s="1"/>
  <c r="F18" i="4"/>
  <c r="F17" i="5"/>
  <c r="F27" i="5" s="1"/>
  <c r="F29" i="5" s="1"/>
  <c r="F7" i="7" s="1"/>
  <c r="E41" i="5"/>
  <c r="G38" i="24" l="1"/>
  <c r="G39" i="24"/>
  <c r="G18" i="24"/>
  <c r="G19" i="24"/>
  <c r="G12" i="24"/>
  <c r="H18" i="26"/>
  <c r="H12" i="26"/>
  <c r="H39" i="26"/>
  <c r="H37" i="26"/>
  <c r="H17" i="26"/>
  <c r="G15" i="24"/>
  <c r="G16" i="24" s="1"/>
  <c r="G36" i="24" s="1"/>
  <c r="G35" i="24"/>
  <c r="H19" i="26"/>
  <c r="H22" i="26"/>
  <c r="H23" i="26" s="1"/>
  <c r="H24" i="26" s="1"/>
  <c r="H25" i="26" s="1"/>
  <c r="H36" i="26"/>
  <c r="H40" i="26" s="1"/>
  <c r="I36" i="26"/>
  <c r="I40" i="26" s="1"/>
  <c r="G22" i="24"/>
  <c r="G36" i="26"/>
  <c r="G40" i="26" s="1"/>
  <c r="G41" i="26" s="1"/>
  <c r="G48" i="26" s="1"/>
  <c r="K11" i="26"/>
  <c r="L7" i="26"/>
  <c r="J35" i="26"/>
  <c r="J38" i="26"/>
  <c r="J28" i="26"/>
  <c r="J47" i="26" s="1"/>
  <c r="J39" i="26"/>
  <c r="J18" i="26"/>
  <c r="J37" i="26"/>
  <c r="J34" i="26"/>
  <c r="J15" i="26"/>
  <c r="J16" i="26" s="1"/>
  <c r="J12" i="26"/>
  <c r="J17" i="26"/>
  <c r="J19" i="26"/>
  <c r="J7" i="24"/>
  <c r="I11" i="24"/>
  <c r="H37" i="25"/>
  <c r="H28" i="25"/>
  <c r="H47" i="25" s="1"/>
  <c r="H38" i="25"/>
  <c r="H34" i="25"/>
  <c r="H39" i="25"/>
  <c r="H35" i="25"/>
  <c r="H19" i="25"/>
  <c r="H15" i="25"/>
  <c r="H16" i="25" s="1"/>
  <c r="H12" i="25"/>
  <c r="H18" i="25"/>
  <c r="H17" i="25"/>
  <c r="I22" i="26"/>
  <c r="I23" i="26" s="1"/>
  <c r="I24" i="26" s="1"/>
  <c r="H39" i="24"/>
  <c r="H35" i="24"/>
  <c r="H18" i="24"/>
  <c r="H34" i="24"/>
  <c r="H17" i="24"/>
  <c r="H12" i="24"/>
  <c r="H37" i="24"/>
  <c r="H28" i="24"/>
  <c r="H47" i="24" s="1"/>
  <c r="H38" i="24"/>
  <c r="H19" i="24"/>
  <c r="H15" i="24"/>
  <c r="H16" i="24" s="1"/>
  <c r="G22" i="26"/>
  <c r="G23" i="26" s="1"/>
  <c r="G24" i="26" s="1"/>
  <c r="H44" i="26"/>
  <c r="H45" i="26" s="1"/>
  <c r="G47" i="26"/>
  <c r="G29" i="26"/>
  <c r="G31" i="26" s="1"/>
  <c r="G46" i="26" s="1"/>
  <c r="I11" i="25"/>
  <c r="J7" i="25"/>
  <c r="G47" i="24"/>
  <c r="G29" i="24"/>
  <c r="G31" i="24" s="1"/>
  <c r="G46" i="24" s="1"/>
  <c r="G35" i="25"/>
  <c r="G37" i="25"/>
  <c r="G38" i="25"/>
  <c r="G34" i="25"/>
  <c r="G28" i="25"/>
  <c r="G39" i="25"/>
  <c r="G19" i="25"/>
  <c r="G15" i="25"/>
  <c r="G16" i="25" s="1"/>
  <c r="G36" i="25" s="1"/>
  <c r="G18" i="25"/>
  <c r="G17" i="25"/>
  <c r="G12" i="25"/>
  <c r="C49" i="2"/>
  <c r="D11" i="14"/>
  <c r="F11" i="14" s="1"/>
  <c r="F34" i="4"/>
  <c r="F36" i="4" s="1"/>
  <c r="C36" i="8"/>
  <c r="C45" i="8"/>
  <c r="J10" i="5"/>
  <c r="K10" i="5" s="1"/>
  <c r="L10" i="5" s="1"/>
  <c r="M10" i="5" s="1"/>
  <c r="N10" i="5" s="1"/>
  <c r="O10" i="5" s="1"/>
  <c r="P10" i="5" s="1"/>
  <c r="C10" i="13"/>
  <c r="E10" i="13" s="1"/>
  <c r="G10" i="13" s="1"/>
  <c r="J9" i="5"/>
  <c r="K9" i="5" s="1"/>
  <c r="L9" i="5" s="1"/>
  <c r="M9" i="5" s="1"/>
  <c r="N9" i="5" s="1"/>
  <c r="O9" i="5" s="1"/>
  <c r="P9" i="5" s="1"/>
  <c r="C9" i="13"/>
  <c r="E9" i="13" s="1"/>
  <c r="G9" i="13" s="1"/>
  <c r="J8" i="5"/>
  <c r="K8" i="5" s="1"/>
  <c r="L8" i="5" s="1"/>
  <c r="M8" i="5" s="1"/>
  <c r="N8" i="5" s="1"/>
  <c r="O8" i="5" s="1"/>
  <c r="P8" i="5" s="1"/>
  <c r="C8" i="13"/>
  <c r="E8" i="13" s="1"/>
  <c r="G8" i="13" s="1"/>
  <c r="D26" i="11"/>
  <c r="D33" i="4"/>
  <c r="D140" i="4" s="1"/>
  <c r="G22" i="5"/>
  <c r="G7" i="6"/>
  <c r="I82" i="6"/>
  <c r="I67" i="6"/>
  <c r="J92" i="6"/>
  <c r="G34" i="5"/>
  <c r="E34" i="4"/>
  <c r="E78" i="4" s="1"/>
  <c r="E84" i="4" s="1"/>
  <c r="D29" i="5"/>
  <c r="D7" i="7" s="1"/>
  <c r="H11" i="5"/>
  <c r="H48" i="5" s="1"/>
  <c r="H51" i="6" s="1"/>
  <c r="F138" i="4"/>
  <c r="C45" i="2" s="1"/>
  <c r="I7" i="5"/>
  <c r="I60" i="5" s="1"/>
  <c r="G12" i="5"/>
  <c r="G68" i="5" s="1"/>
  <c r="G44" i="5"/>
  <c r="G40" i="6" s="1"/>
  <c r="G13" i="5"/>
  <c r="E138" i="4"/>
  <c r="F28" i="5"/>
  <c r="E28" i="5"/>
  <c r="H62" i="5"/>
  <c r="G23" i="5"/>
  <c r="E123" i="4"/>
  <c r="E16" i="5"/>
  <c r="F56" i="5"/>
  <c r="F57" i="5" s="1"/>
  <c r="F64" i="5" s="1"/>
  <c r="F123" i="4"/>
  <c r="F16" i="5"/>
  <c r="E140" i="4"/>
  <c r="E55" i="5"/>
  <c r="E56" i="5" s="1"/>
  <c r="E57" i="5" s="1"/>
  <c r="G49" i="5"/>
  <c r="G52" i="6" s="1"/>
  <c r="G47" i="5"/>
  <c r="G50" i="6" s="1"/>
  <c r="G45" i="5"/>
  <c r="G41" i="6" s="1"/>
  <c r="G48" i="5"/>
  <c r="G51" i="6" s="1"/>
  <c r="G21" i="5"/>
  <c r="G17" i="5"/>
  <c r="G18" i="5" s="1"/>
  <c r="D123" i="4"/>
  <c r="D16" i="5"/>
  <c r="F39" i="5"/>
  <c r="F40" i="5" s="1"/>
  <c r="F30" i="5"/>
  <c r="E39" i="5"/>
  <c r="E40" i="5" s="1"/>
  <c r="E30" i="5"/>
  <c r="F140" i="4"/>
  <c r="F141" i="4" s="1"/>
  <c r="D36" i="4"/>
  <c r="D78" i="4"/>
  <c r="D84" i="4" s="1"/>
  <c r="G40" i="24" l="1"/>
  <c r="G41" i="24" s="1"/>
  <c r="G48" i="24" s="1"/>
  <c r="I41" i="26"/>
  <c r="I48" i="26" s="1"/>
  <c r="G23" i="24"/>
  <c r="G24" i="24" s="1"/>
  <c r="G32" i="24" s="1"/>
  <c r="C38" i="8"/>
  <c r="C10" i="9" s="1"/>
  <c r="I52" i="26"/>
  <c r="I56" i="26" s="1"/>
  <c r="M52" i="25"/>
  <c r="M56" i="25" s="1"/>
  <c r="K52" i="24"/>
  <c r="K56" i="24" s="1"/>
  <c r="J52" i="26"/>
  <c r="J56" i="26" s="1"/>
  <c r="N52" i="25"/>
  <c r="N56" i="25" s="1"/>
  <c r="L52" i="24"/>
  <c r="L56" i="24" s="1"/>
  <c r="P52" i="26"/>
  <c r="K52" i="26"/>
  <c r="K56" i="26" s="1"/>
  <c r="O52" i="25"/>
  <c r="O56" i="25" s="1"/>
  <c r="N52" i="24"/>
  <c r="N56" i="24" s="1"/>
  <c r="I52" i="24"/>
  <c r="I56" i="24" s="1"/>
  <c r="L52" i="26"/>
  <c r="L56" i="26" s="1"/>
  <c r="G52" i="25"/>
  <c r="G56" i="25" s="1"/>
  <c r="P52" i="25"/>
  <c r="O52" i="24"/>
  <c r="O56" i="24" s="1"/>
  <c r="G52" i="26"/>
  <c r="G56" i="26" s="1"/>
  <c r="M52" i="26"/>
  <c r="M56" i="26" s="1"/>
  <c r="H52" i="25"/>
  <c r="H56" i="25" s="1"/>
  <c r="G52" i="24"/>
  <c r="G56" i="24" s="1"/>
  <c r="P52" i="24"/>
  <c r="N52" i="26"/>
  <c r="N56" i="26" s="1"/>
  <c r="J52" i="25"/>
  <c r="J56" i="25" s="1"/>
  <c r="H52" i="24"/>
  <c r="H56" i="24" s="1"/>
  <c r="O52" i="26"/>
  <c r="O56" i="26" s="1"/>
  <c r="K52" i="25"/>
  <c r="K56" i="25" s="1"/>
  <c r="H52" i="26"/>
  <c r="H56" i="26" s="1"/>
  <c r="L52" i="25"/>
  <c r="L56" i="25" s="1"/>
  <c r="J52" i="24"/>
  <c r="J56" i="24" s="1"/>
  <c r="M52" i="24"/>
  <c r="M56" i="24" s="1"/>
  <c r="I52" i="25"/>
  <c r="I56" i="25" s="1"/>
  <c r="H22" i="25"/>
  <c r="H23" i="25" s="1"/>
  <c r="H24" i="25" s="1"/>
  <c r="J36" i="26"/>
  <c r="J40" i="26" s="1"/>
  <c r="J41" i="26" s="1"/>
  <c r="J48" i="26" s="1"/>
  <c r="G30" i="24"/>
  <c r="H27" i="24" s="1"/>
  <c r="H22" i="24"/>
  <c r="H23" i="24" s="1"/>
  <c r="H24" i="24" s="1"/>
  <c r="H25" i="24" s="1"/>
  <c r="H36" i="25"/>
  <c r="H40" i="25" s="1"/>
  <c r="H36" i="24"/>
  <c r="H40" i="24" s="1"/>
  <c r="H41" i="24" s="1"/>
  <c r="H48" i="24" s="1"/>
  <c r="I25" i="26"/>
  <c r="I44" i="26"/>
  <c r="I45" i="26" s="1"/>
  <c r="G44" i="26"/>
  <c r="G45" i="26" s="1"/>
  <c r="G50" i="26" s="1"/>
  <c r="G32" i="26"/>
  <c r="G25" i="26"/>
  <c r="H29" i="24"/>
  <c r="H31" i="24" s="1"/>
  <c r="H46" i="24" s="1"/>
  <c r="G44" i="24"/>
  <c r="G45" i="24" s="1"/>
  <c r="G50" i="24" s="1"/>
  <c r="G25" i="24"/>
  <c r="G30" i="26"/>
  <c r="H27" i="26" s="1"/>
  <c r="J22" i="26"/>
  <c r="J23" i="26" s="1"/>
  <c r="J24" i="26" s="1"/>
  <c r="I39" i="25"/>
  <c r="I37" i="25"/>
  <c r="I28" i="25"/>
  <c r="I47" i="25" s="1"/>
  <c r="I38" i="25"/>
  <c r="I17" i="25"/>
  <c r="I12" i="25"/>
  <c r="I35" i="25"/>
  <c r="I19" i="25"/>
  <c r="I15" i="25"/>
  <c r="I34" i="25"/>
  <c r="I18" i="25"/>
  <c r="G47" i="25"/>
  <c r="G29" i="25"/>
  <c r="G31" i="25" s="1"/>
  <c r="G46" i="25" s="1"/>
  <c r="H41" i="26"/>
  <c r="H48" i="26" s="1"/>
  <c r="G40" i="25"/>
  <c r="G41" i="25" s="1"/>
  <c r="G48" i="25" s="1"/>
  <c r="G22" i="25"/>
  <c r="G23" i="25" s="1"/>
  <c r="G24" i="25" s="1"/>
  <c r="I39" i="24"/>
  <c r="I35" i="24"/>
  <c r="I37" i="24"/>
  <c r="I28" i="24"/>
  <c r="I47" i="24" s="1"/>
  <c r="I18" i="24"/>
  <c r="I34" i="24"/>
  <c r="I17" i="24"/>
  <c r="I12" i="24"/>
  <c r="I38" i="24"/>
  <c r="I19" i="24"/>
  <c r="I15" i="24"/>
  <c r="I16" i="24" s="1"/>
  <c r="M7" i="26"/>
  <c r="L11" i="26"/>
  <c r="J11" i="25"/>
  <c r="K7" i="25"/>
  <c r="J11" i="24"/>
  <c r="K7" i="24"/>
  <c r="K38" i="26"/>
  <c r="K37" i="26"/>
  <c r="K35" i="26"/>
  <c r="K28" i="26"/>
  <c r="K47" i="26" s="1"/>
  <c r="K19" i="26"/>
  <c r="K15" i="26"/>
  <c r="K16" i="26" s="1"/>
  <c r="K36" i="26" s="1"/>
  <c r="K39" i="26"/>
  <c r="K12" i="26"/>
  <c r="K17" i="26"/>
  <c r="K18" i="26"/>
  <c r="K34" i="26"/>
  <c r="F78" i="4"/>
  <c r="F84" i="4" s="1"/>
  <c r="G35" i="5"/>
  <c r="G71" i="5"/>
  <c r="D55" i="5"/>
  <c r="D56" i="5" s="1"/>
  <c r="D57" i="5" s="1"/>
  <c r="I11" i="5"/>
  <c r="I7" i="6" s="1"/>
  <c r="I31" i="6" s="1"/>
  <c r="C7" i="13"/>
  <c r="D39" i="5"/>
  <c r="D40" i="5" s="1"/>
  <c r="D30" i="5"/>
  <c r="H23" i="5"/>
  <c r="H22" i="5"/>
  <c r="H47" i="5"/>
  <c r="H50" i="6" s="1"/>
  <c r="H34" i="5"/>
  <c r="G36" i="5"/>
  <c r="G38" i="5" s="1"/>
  <c r="G74" i="6" s="1"/>
  <c r="H21" i="5"/>
  <c r="E36" i="4"/>
  <c r="J7" i="5"/>
  <c r="G12" i="7"/>
  <c r="G78" i="6"/>
  <c r="G79" i="6" s="1"/>
  <c r="H44" i="5"/>
  <c r="H40" i="6" s="1"/>
  <c r="H7" i="6"/>
  <c r="G75" i="6"/>
  <c r="G66" i="6" s="1"/>
  <c r="G31" i="6"/>
  <c r="J82" i="6"/>
  <c r="J67" i="6"/>
  <c r="K92" i="6"/>
  <c r="G46" i="5"/>
  <c r="G49" i="6" s="1"/>
  <c r="G8" i="6"/>
  <c r="G9" i="6" s="1"/>
  <c r="H49" i="5"/>
  <c r="H52" i="6" s="1"/>
  <c r="H17" i="5"/>
  <c r="H18" i="5" s="1"/>
  <c r="H12" i="5"/>
  <c r="H68" i="5" s="1"/>
  <c r="H45" i="5"/>
  <c r="H13" i="5"/>
  <c r="G26" i="5"/>
  <c r="G10" i="6" s="1"/>
  <c r="I62" i="5"/>
  <c r="D60" i="14" s="1"/>
  <c r="F60" i="14" s="1"/>
  <c r="C24" i="9" l="1"/>
  <c r="K7" i="5"/>
  <c r="L7" i="5" s="1"/>
  <c r="L60" i="5" s="1"/>
  <c r="J60" i="5"/>
  <c r="C15" i="9"/>
  <c r="C6" i="9"/>
  <c r="C25" i="9"/>
  <c r="C26" i="9"/>
  <c r="C28" i="9"/>
  <c r="C43" i="9"/>
  <c r="C8" i="9"/>
  <c r="C46" i="9"/>
  <c r="C44" i="9"/>
  <c r="G21" i="7"/>
  <c r="G22" i="7" s="1"/>
  <c r="C36" i="9"/>
  <c r="I21" i="7"/>
  <c r="I22" i="7" s="1"/>
  <c r="G57" i="24"/>
  <c r="G57" i="26"/>
  <c r="C18" i="9"/>
  <c r="C33" i="9"/>
  <c r="C45" i="9"/>
  <c r="C34" i="9"/>
  <c r="J21" i="7"/>
  <c r="J22" i="7" s="1"/>
  <c r="N21" i="7"/>
  <c r="N22" i="7" s="1"/>
  <c r="C42" i="9"/>
  <c r="K21" i="7"/>
  <c r="K22" i="7" s="1"/>
  <c r="P21" i="7"/>
  <c r="F35" i="7" s="1"/>
  <c r="C26" i="2"/>
  <c r="C9" i="9"/>
  <c r="H21" i="7"/>
  <c r="H22" i="7" s="1"/>
  <c r="M21" i="7"/>
  <c r="M22" i="7" s="1"/>
  <c r="C35" i="9"/>
  <c r="C27" i="9"/>
  <c r="C19" i="9"/>
  <c r="C37" i="9"/>
  <c r="L21" i="7"/>
  <c r="L22" i="7" s="1"/>
  <c r="C7" i="9"/>
  <c r="C43" i="8"/>
  <c r="D30" i="14" s="1"/>
  <c r="F30" i="14" s="1"/>
  <c r="C17" i="9"/>
  <c r="C42" i="8"/>
  <c r="O21" i="7"/>
  <c r="O22" i="7" s="1"/>
  <c r="C16" i="9"/>
  <c r="F64" i="25"/>
  <c r="G19" i="2"/>
  <c r="F78" i="25"/>
  <c r="P56" i="25"/>
  <c r="D266" i="27"/>
  <c r="F78" i="24"/>
  <c r="F19" i="2"/>
  <c r="D84" i="14"/>
  <c r="F84" i="14" s="1"/>
  <c r="F64" i="24"/>
  <c r="P56" i="24"/>
  <c r="H19" i="2"/>
  <c r="F78" i="26"/>
  <c r="F64" i="26"/>
  <c r="P56" i="26"/>
  <c r="I36" i="24"/>
  <c r="I40" i="24" s="1"/>
  <c r="I41" i="24" s="1"/>
  <c r="I48" i="24" s="1"/>
  <c r="H44" i="24"/>
  <c r="H45" i="24" s="1"/>
  <c r="H50" i="24" s="1"/>
  <c r="H57" i="24" s="1"/>
  <c r="H32" i="24"/>
  <c r="I22" i="25"/>
  <c r="I23" i="25" s="1"/>
  <c r="I24" i="25" s="1"/>
  <c r="G44" i="25"/>
  <c r="G45" i="25" s="1"/>
  <c r="G50" i="25" s="1"/>
  <c r="G57" i="25" s="1"/>
  <c r="G32" i="25"/>
  <c r="G25" i="25"/>
  <c r="H29" i="26"/>
  <c r="H31" i="26" s="1"/>
  <c r="J19" i="24"/>
  <c r="J15" i="24"/>
  <c r="J16" i="24" s="1"/>
  <c r="J39" i="24"/>
  <c r="J18" i="24"/>
  <c r="J34" i="24"/>
  <c r="J37" i="24"/>
  <c r="J28" i="24"/>
  <c r="J47" i="24" s="1"/>
  <c r="J17" i="24"/>
  <c r="J12" i="24"/>
  <c r="J35" i="24"/>
  <c r="J38" i="24"/>
  <c r="K11" i="25"/>
  <c r="L7" i="25"/>
  <c r="K40" i="26"/>
  <c r="K41" i="26" s="1"/>
  <c r="K48" i="26" s="1"/>
  <c r="J38" i="25"/>
  <c r="J34" i="25"/>
  <c r="J37" i="25"/>
  <c r="J28" i="25"/>
  <c r="J47" i="25" s="1"/>
  <c r="J39" i="25"/>
  <c r="J17" i="25"/>
  <c r="J12" i="25"/>
  <c r="J35" i="25"/>
  <c r="J19" i="25"/>
  <c r="J15" i="25"/>
  <c r="J16" i="25" s="1"/>
  <c r="J18" i="25"/>
  <c r="L35" i="26"/>
  <c r="L34" i="26"/>
  <c r="L39" i="26"/>
  <c r="L38" i="26"/>
  <c r="L37" i="26"/>
  <c r="L28" i="26"/>
  <c r="L47" i="26" s="1"/>
  <c r="L19" i="26"/>
  <c r="L15" i="26"/>
  <c r="L16" i="26" s="1"/>
  <c r="L12" i="26"/>
  <c r="L17" i="26"/>
  <c r="L18" i="26"/>
  <c r="J44" i="26"/>
  <c r="J45" i="26" s="1"/>
  <c r="J25" i="26"/>
  <c r="H44" i="25"/>
  <c r="H45" i="25" s="1"/>
  <c r="H25" i="25"/>
  <c r="H30" i="24"/>
  <c r="I27" i="24" s="1"/>
  <c r="L7" i="24"/>
  <c r="K11" i="24"/>
  <c r="I22" i="24"/>
  <c r="I23" i="24" s="1"/>
  <c r="I24" i="24" s="1"/>
  <c r="K22" i="26"/>
  <c r="K23" i="26" s="1"/>
  <c r="K24" i="26" s="1"/>
  <c r="M11" i="26"/>
  <c r="N7" i="26"/>
  <c r="G30" i="25"/>
  <c r="H27" i="25" s="1"/>
  <c r="I16" i="25"/>
  <c r="I36" i="25" s="1"/>
  <c r="I40" i="25" s="1"/>
  <c r="I41" i="25" s="1"/>
  <c r="I48" i="25" s="1"/>
  <c r="H41" i="25"/>
  <c r="H48" i="25" s="1"/>
  <c r="I44" i="5"/>
  <c r="I40" i="6" s="1"/>
  <c r="H12" i="7"/>
  <c r="H71" i="5"/>
  <c r="I22" i="5"/>
  <c r="I48" i="5"/>
  <c r="I51" i="6" s="1"/>
  <c r="I75" i="6"/>
  <c r="I66" i="6" s="1"/>
  <c r="I49" i="5"/>
  <c r="I52" i="6" s="1"/>
  <c r="I13" i="5"/>
  <c r="I12" i="5"/>
  <c r="I68" i="5" s="1"/>
  <c r="I23" i="5"/>
  <c r="G13" i="13" s="1"/>
  <c r="H26" i="5"/>
  <c r="H27" i="5" s="1"/>
  <c r="H29" i="5" s="1"/>
  <c r="I21" i="5"/>
  <c r="I34" i="5"/>
  <c r="I12" i="7" s="1"/>
  <c r="I45" i="5"/>
  <c r="I41" i="6" s="1"/>
  <c r="G11" i="7"/>
  <c r="I17" i="5"/>
  <c r="I18" i="5" s="1"/>
  <c r="I47" i="5"/>
  <c r="I50" i="6" s="1"/>
  <c r="G41" i="5"/>
  <c r="D45" i="14" s="1"/>
  <c r="F45" i="14" s="1"/>
  <c r="H35" i="5"/>
  <c r="E7" i="13"/>
  <c r="C11" i="13"/>
  <c r="G50" i="5"/>
  <c r="G52" i="5" s="1"/>
  <c r="G37" i="5"/>
  <c r="H33" i="5" s="1"/>
  <c r="H36" i="5" s="1"/>
  <c r="H38" i="5" s="1"/>
  <c r="H74" i="6" s="1"/>
  <c r="J11" i="5"/>
  <c r="J17" i="5" s="1"/>
  <c r="J18" i="5" s="1"/>
  <c r="J8" i="6" s="1"/>
  <c r="H78" i="6"/>
  <c r="H79" i="6" s="1"/>
  <c r="G11" i="6"/>
  <c r="G14" i="6" s="1"/>
  <c r="G15" i="6" s="1"/>
  <c r="G16" i="6" s="1"/>
  <c r="J62" i="5"/>
  <c r="H41" i="6"/>
  <c r="K82" i="6"/>
  <c r="K67" i="6"/>
  <c r="L92" i="6"/>
  <c r="H75" i="6"/>
  <c r="H66" i="6" s="1"/>
  <c r="H31" i="6"/>
  <c r="H46" i="5"/>
  <c r="H49" i="6" s="1"/>
  <c r="H8" i="6"/>
  <c r="H9" i="6" s="1"/>
  <c r="G27" i="5"/>
  <c r="G29" i="5" s="1"/>
  <c r="G7" i="7" s="1"/>
  <c r="K62" i="5" l="1"/>
  <c r="K60" i="5"/>
  <c r="K11" i="5"/>
  <c r="K7" i="6" s="1"/>
  <c r="P22" i="7"/>
  <c r="F67" i="7"/>
  <c r="C50" i="2" s="1"/>
  <c r="D31" i="14"/>
  <c r="F31" i="14" s="1"/>
  <c r="C29" i="2"/>
  <c r="H30" i="26"/>
  <c r="I27" i="26" s="1"/>
  <c r="I29" i="26" s="1"/>
  <c r="I31" i="26" s="1"/>
  <c r="J36" i="24"/>
  <c r="J40" i="24" s="1"/>
  <c r="J41" i="24" s="1"/>
  <c r="J48" i="24" s="1"/>
  <c r="I44" i="24"/>
  <c r="I45" i="24" s="1"/>
  <c r="I25" i="24"/>
  <c r="K44" i="26"/>
  <c r="K45" i="26" s="1"/>
  <c r="K25" i="26"/>
  <c r="L11" i="24"/>
  <c r="M7" i="24"/>
  <c r="K37" i="25"/>
  <c r="K28" i="25"/>
  <c r="K47" i="25" s="1"/>
  <c r="K38" i="25"/>
  <c r="K34" i="25"/>
  <c r="K35" i="25"/>
  <c r="K18" i="25"/>
  <c r="K17" i="25"/>
  <c r="K12" i="25"/>
  <c r="K39" i="25"/>
  <c r="K19" i="25"/>
  <c r="K15" i="25"/>
  <c r="N11" i="26"/>
  <c r="O7" i="26"/>
  <c r="I29" i="24"/>
  <c r="I31" i="24" s="1"/>
  <c r="I46" i="24" s="1"/>
  <c r="M39" i="26"/>
  <c r="M35" i="26"/>
  <c r="M28" i="26"/>
  <c r="M47" i="26" s="1"/>
  <c r="M38" i="26"/>
  <c r="M17" i="26"/>
  <c r="M12" i="26"/>
  <c r="M19" i="26"/>
  <c r="M15" i="26"/>
  <c r="M37" i="26"/>
  <c r="M34" i="26"/>
  <c r="M18" i="26"/>
  <c r="H29" i="25"/>
  <c r="H31" i="25" s="1"/>
  <c r="J36" i="25"/>
  <c r="J40" i="25" s="1"/>
  <c r="J41" i="25" s="1"/>
  <c r="J48" i="25" s="1"/>
  <c r="J22" i="24"/>
  <c r="J23" i="24" s="1"/>
  <c r="J24" i="24" s="1"/>
  <c r="H46" i="26"/>
  <c r="H50" i="26" s="1"/>
  <c r="H57" i="26" s="1"/>
  <c r="H32" i="26"/>
  <c r="L22" i="26"/>
  <c r="L23" i="26" s="1"/>
  <c r="L24" i="26" s="1"/>
  <c r="L36" i="26"/>
  <c r="L40" i="26" s="1"/>
  <c r="L41" i="26" s="1"/>
  <c r="L48" i="26" s="1"/>
  <c r="J22" i="25"/>
  <c r="J23" i="25" s="1"/>
  <c r="J24" i="25" s="1"/>
  <c r="K37" i="24"/>
  <c r="K28" i="24"/>
  <c r="K47" i="24" s="1"/>
  <c r="K38" i="24"/>
  <c r="K34" i="24"/>
  <c r="K19" i="24"/>
  <c r="K15" i="24"/>
  <c r="K39" i="24"/>
  <c r="K18" i="24"/>
  <c r="K35" i="24"/>
  <c r="K12" i="24"/>
  <c r="K17" i="24"/>
  <c r="I44" i="25"/>
  <c r="I45" i="25" s="1"/>
  <c r="I25" i="25"/>
  <c r="M7" i="25"/>
  <c r="L11" i="25"/>
  <c r="I78" i="6"/>
  <c r="I79" i="6" s="1"/>
  <c r="I46" i="5"/>
  <c r="I49" i="6" s="1"/>
  <c r="I35" i="5"/>
  <c r="I71" i="5"/>
  <c r="H10" i="6"/>
  <c r="H11" i="6" s="1"/>
  <c r="I26" i="5"/>
  <c r="I27" i="5" s="1"/>
  <c r="I29" i="5" s="1"/>
  <c r="D62" i="2" s="1"/>
  <c r="F62" i="2" s="1"/>
  <c r="G62" i="2" s="1"/>
  <c r="H62" i="2" s="1"/>
  <c r="I8" i="6"/>
  <c r="I9" i="6" s="1"/>
  <c r="J12" i="5"/>
  <c r="J68" i="5" s="1"/>
  <c r="J21" i="5"/>
  <c r="G9" i="7"/>
  <c r="G10" i="7" s="1"/>
  <c r="J44" i="5"/>
  <c r="J40" i="6" s="1"/>
  <c r="J45" i="5"/>
  <c r="J41" i="6" s="1"/>
  <c r="J47" i="5"/>
  <c r="J50" i="6" s="1"/>
  <c r="J22" i="5"/>
  <c r="J49" i="5"/>
  <c r="J52" i="6" s="1"/>
  <c r="J23" i="5"/>
  <c r="H11" i="7"/>
  <c r="G42" i="6"/>
  <c r="J48" i="5"/>
  <c r="J51" i="6" s="1"/>
  <c r="G7" i="13"/>
  <c r="E11" i="13"/>
  <c r="J13" i="5"/>
  <c r="G51" i="5"/>
  <c r="G76" i="6" s="1"/>
  <c r="H41" i="5"/>
  <c r="J34" i="5"/>
  <c r="H37" i="5"/>
  <c r="H42" i="6" s="1"/>
  <c r="G63" i="5"/>
  <c r="J7" i="6"/>
  <c r="G30" i="5"/>
  <c r="G56" i="5"/>
  <c r="G57" i="5" s="1"/>
  <c r="G39" i="5"/>
  <c r="G73" i="6"/>
  <c r="G18" i="6"/>
  <c r="G65" i="6"/>
  <c r="G70" i="6" s="1"/>
  <c r="G94" i="6"/>
  <c r="H50" i="5"/>
  <c r="L82" i="6"/>
  <c r="L67" i="6"/>
  <c r="M92" i="6"/>
  <c r="K75" i="6"/>
  <c r="K66" i="6" s="1"/>
  <c r="K31" i="6"/>
  <c r="H28" i="5"/>
  <c r="G28" i="5"/>
  <c r="H56" i="5"/>
  <c r="H57" i="5" s="1"/>
  <c r="H7" i="7"/>
  <c r="L62" i="5"/>
  <c r="K48" i="5"/>
  <c r="K51" i="6" s="1"/>
  <c r="K49" i="5"/>
  <c r="K52" i="6" s="1"/>
  <c r="K45" i="5"/>
  <c r="K41" i="6" s="1"/>
  <c r="K47" i="5"/>
  <c r="K50" i="6" s="1"/>
  <c r="K44" i="5"/>
  <c r="K40" i="6" s="1"/>
  <c r="L11" i="5"/>
  <c r="L7" i="6" s="1"/>
  <c r="M7" i="5"/>
  <c r="K17" i="5"/>
  <c r="K18" i="5" s="1"/>
  <c r="K8" i="6" s="1"/>
  <c r="K9" i="6" s="1"/>
  <c r="K23" i="5"/>
  <c r="K12" i="5"/>
  <c r="K68" i="5" s="1"/>
  <c r="K21" i="5"/>
  <c r="K34" i="5"/>
  <c r="K22" i="5"/>
  <c r="K13" i="5"/>
  <c r="H39" i="5"/>
  <c r="H40" i="5" s="1"/>
  <c r="H30" i="5"/>
  <c r="M60" i="5" l="1"/>
  <c r="M62" i="5" s="1"/>
  <c r="I10" i="6"/>
  <c r="I50" i="5"/>
  <c r="I52" i="5" s="1"/>
  <c r="G40" i="5"/>
  <c r="D60" i="2"/>
  <c r="F60" i="2" s="1"/>
  <c r="G60" i="2" s="1"/>
  <c r="H60" i="2" s="1"/>
  <c r="I50" i="24"/>
  <c r="I57" i="24" s="1"/>
  <c r="J44" i="25"/>
  <c r="J45" i="25" s="1"/>
  <c r="J25" i="25"/>
  <c r="L44" i="26"/>
  <c r="L45" i="26" s="1"/>
  <c r="L25" i="26"/>
  <c r="K22" i="24"/>
  <c r="K23" i="24" s="1"/>
  <c r="K24" i="24" s="1"/>
  <c r="H30" i="25"/>
  <c r="I27" i="25" s="1"/>
  <c r="M22" i="26"/>
  <c r="M23" i="26" s="1"/>
  <c r="M24" i="26" s="1"/>
  <c r="I30" i="24"/>
  <c r="J27" i="24" s="1"/>
  <c r="K16" i="25"/>
  <c r="K36" i="25" s="1"/>
  <c r="K40" i="25" s="1"/>
  <c r="K41" i="25" s="1"/>
  <c r="K48" i="25" s="1"/>
  <c r="H46" i="25"/>
  <c r="H50" i="25" s="1"/>
  <c r="H57" i="25" s="1"/>
  <c r="H32" i="25"/>
  <c r="L39" i="25"/>
  <c r="L35" i="25"/>
  <c r="L37" i="25"/>
  <c r="L18" i="25"/>
  <c r="L28" i="25"/>
  <c r="L47" i="25" s="1"/>
  <c r="L17" i="25"/>
  <c r="L12" i="25"/>
  <c r="L38" i="25"/>
  <c r="L34" i="25"/>
  <c r="L19" i="25"/>
  <c r="L15" i="25"/>
  <c r="L16" i="25" s="1"/>
  <c r="K16" i="24"/>
  <c r="K36" i="24" s="1"/>
  <c r="K40" i="24" s="1"/>
  <c r="K41" i="24" s="1"/>
  <c r="K48" i="24" s="1"/>
  <c r="J44" i="24"/>
  <c r="J45" i="24" s="1"/>
  <c r="J25" i="24"/>
  <c r="M16" i="26"/>
  <c r="M36" i="26" s="1"/>
  <c r="M40" i="26" s="1"/>
  <c r="M41" i="26" s="1"/>
  <c r="M48" i="26" s="1"/>
  <c r="I46" i="26"/>
  <c r="I50" i="26" s="1"/>
  <c r="I57" i="26" s="1"/>
  <c r="I32" i="26"/>
  <c r="M11" i="25"/>
  <c r="N7" i="25"/>
  <c r="I30" i="26"/>
  <c r="J27" i="26" s="1"/>
  <c r="M11" i="24"/>
  <c r="N7" i="24"/>
  <c r="I32" i="24"/>
  <c r="O11" i="26"/>
  <c r="P7" i="26"/>
  <c r="P11" i="26" s="1"/>
  <c r="K22" i="25"/>
  <c r="K23" i="25" s="1"/>
  <c r="K24" i="25" s="1"/>
  <c r="L37" i="24"/>
  <c r="L28" i="24"/>
  <c r="L47" i="24" s="1"/>
  <c r="L38" i="24"/>
  <c r="L19" i="24"/>
  <c r="L15" i="24"/>
  <c r="L39" i="24"/>
  <c r="L34" i="24"/>
  <c r="L18" i="24"/>
  <c r="L17" i="24"/>
  <c r="L12" i="24"/>
  <c r="L35" i="24"/>
  <c r="N37" i="26"/>
  <c r="N39" i="26"/>
  <c r="N28" i="26"/>
  <c r="N47" i="26" s="1"/>
  <c r="N38" i="26"/>
  <c r="N35" i="26"/>
  <c r="N34" i="26"/>
  <c r="N18" i="26"/>
  <c r="N19" i="26"/>
  <c r="N15" i="26"/>
  <c r="N12" i="26"/>
  <c r="N17" i="26"/>
  <c r="J35" i="5"/>
  <c r="J71" i="5"/>
  <c r="K71" i="5"/>
  <c r="I11" i="6"/>
  <c r="H63" i="5"/>
  <c r="H64" i="5" s="1"/>
  <c r="G77" i="6"/>
  <c r="G30" i="6" s="1"/>
  <c r="J26" i="5"/>
  <c r="J10" i="6" s="1"/>
  <c r="G13" i="7"/>
  <c r="G15" i="7" s="1"/>
  <c r="D28" i="14" s="1"/>
  <c r="F28" i="14" s="1"/>
  <c r="G65" i="5"/>
  <c r="G66" i="5" s="1"/>
  <c r="G11" i="13"/>
  <c r="H7" i="13" s="1"/>
  <c r="J78" i="6"/>
  <c r="J79" i="6" s="1"/>
  <c r="J46" i="5"/>
  <c r="J49" i="6" s="1"/>
  <c r="I33" i="5"/>
  <c r="I36" i="5" s="1"/>
  <c r="I38" i="5" s="1"/>
  <c r="I74" i="6" s="1"/>
  <c r="J12" i="7"/>
  <c r="G64" i="5"/>
  <c r="I28" i="5"/>
  <c r="J31" i="6"/>
  <c r="J75" i="6"/>
  <c r="J66" i="6" s="1"/>
  <c r="J9" i="6"/>
  <c r="L75" i="6"/>
  <c r="L66" i="6" s="1"/>
  <c r="L31" i="6"/>
  <c r="M82" i="6"/>
  <c r="M67" i="6"/>
  <c r="N92" i="6"/>
  <c r="G59" i="6"/>
  <c r="H64" i="6"/>
  <c r="H51" i="5"/>
  <c r="H52" i="5"/>
  <c r="K12" i="7"/>
  <c r="K78" i="6"/>
  <c r="K79" i="6" s="1"/>
  <c r="I56" i="5"/>
  <c r="I57" i="5" s="1"/>
  <c r="I7" i="7"/>
  <c r="H9" i="7"/>
  <c r="H10" i="7" s="1"/>
  <c r="K46" i="5"/>
  <c r="K26" i="5"/>
  <c r="L47" i="5"/>
  <c r="L50" i="6" s="1"/>
  <c r="L45" i="5"/>
  <c r="L41" i="6" s="1"/>
  <c r="L48" i="5"/>
  <c r="L51" i="6" s="1"/>
  <c r="L49" i="5"/>
  <c r="L52" i="6" s="1"/>
  <c r="L44" i="5"/>
  <c r="L40" i="6" s="1"/>
  <c r="L13" i="5"/>
  <c r="K35" i="5"/>
  <c r="I30" i="5"/>
  <c r="M11" i="5"/>
  <c r="N7" i="5"/>
  <c r="L21" i="5"/>
  <c r="L23" i="5"/>
  <c r="L34" i="5"/>
  <c r="L71" i="5" s="1"/>
  <c r="L17" i="5"/>
  <c r="L22" i="5"/>
  <c r="L12" i="5"/>
  <c r="L68" i="5" s="1"/>
  <c r="N62" i="5" l="1"/>
  <c r="N60" i="5"/>
  <c r="I51" i="5"/>
  <c r="N22" i="26"/>
  <c r="N23" i="26" s="1"/>
  <c r="N24" i="26" s="1"/>
  <c r="L36" i="25"/>
  <c r="L40" i="25" s="1"/>
  <c r="L41" i="25" s="1"/>
  <c r="L48" i="25" s="1"/>
  <c r="L22" i="25"/>
  <c r="K44" i="24"/>
  <c r="K45" i="24" s="1"/>
  <c r="K25" i="24"/>
  <c r="M44" i="26"/>
  <c r="M45" i="26" s="1"/>
  <c r="M25" i="26"/>
  <c r="K25" i="25"/>
  <c r="K44" i="25"/>
  <c r="K45" i="25" s="1"/>
  <c r="M38" i="24"/>
  <c r="M34" i="24"/>
  <c r="M37" i="24"/>
  <c r="M28" i="24"/>
  <c r="M47" i="24" s="1"/>
  <c r="M39" i="24"/>
  <c r="M35" i="24"/>
  <c r="M19" i="24"/>
  <c r="M15" i="24"/>
  <c r="M17" i="24"/>
  <c r="M12" i="24"/>
  <c r="M18" i="24"/>
  <c r="J29" i="26"/>
  <c r="J31" i="26" s="1"/>
  <c r="J30" i="26"/>
  <c r="K27" i="26" s="1"/>
  <c r="P39" i="26"/>
  <c r="P28" i="26"/>
  <c r="P47" i="26" s="1"/>
  <c r="F75" i="26"/>
  <c r="H23" i="2" s="1"/>
  <c r="P37" i="26"/>
  <c r="P34" i="26"/>
  <c r="P38" i="26"/>
  <c r="P17" i="26"/>
  <c r="P12" i="26"/>
  <c r="F80" i="26" s="1"/>
  <c r="P35" i="26"/>
  <c r="P18" i="26"/>
  <c r="P19" i="26"/>
  <c r="P15" i="26"/>
  <c r="P16" i="26" s="1"/>
  <c r="L16" i="24"/>
  <c r="L36" i="24" s="1"/>
  <c r="L40" i="24" s="1"/>
  <c r="L41" i="24" s="1"/>
  <c r="L48" i="24" s="1"/>
  <c r="J29" i="24"/>
  <c r="J31" i="24" s="1"/>
  <c r="O38" i="26"/>
  <c r="O34" i="26"/>
  <c r="O17" i="26"/>
  <c r="O12" i="26"/>
  <c r="O35" i="26"/>
  <c r="O28" i="26"/>
  <c r="O47" i="26" s="1"/>
  <c r="O37" i="26"/>
  <c r="O18" i="26"/>
  <c r="O19" i="26"/>
  <c r="O15" i="26"/>
  <c r="O16" i="26" s="1"/>
  <c r="O39" i="26"/>
  <c r="O7" i="25"/>
  <c r="N11" i="25"/>
  <c r="L23" i="25"/>
  <c r="L24" i="25" s="1"/>
  <c r="M38" i="25"/>
  <c r="M34" i="25"/>
  <c r="M39" i="25"/>
  <c r="M35" i="25"/>
  <c r="M37" i="25"/>
  <c r="M19" i="25"/>
  <c r="M15" i="25"/>
  <c r="M18" i="25"/>
  <c r="M28" i="25"/>
  <c r="M47" i="25" s="1"/>
  <c r="M17" i="25"/>
  <c r="M12" i="25"/>
  <c r="N16" i="26"/>
  <c r="N36" i="26" s="1"/>
  <c r="N40" i="26" s="1"/>
  <c r="N41" i="26" s="1"/>
  <c r="N48" i="26" s="1"/>
  <c r="L22" i="24"/>
  <c r="L23" i="24" s="1"/>
  <c r="L24" i="24" s="1"/>
  <c r="I29" i="25"/>
  <c r="I31" i="25" s="1"/>
  <c r="N11" i="24"/>
  <c r="O7" i="24"/>
  <c r="G67" i="5"/>
  <c r="G69" i="5" s="1"/>
  <c r="G23" i="7"/>
  <c r="G16" i="7"/>
  <c r="G17" i="7"/>
  <c r="G70" i="5"/>
  <c r="J27" i="5"/>
  <c r="J29" i="5" s="1"/>
  <c r="J30" i="5" s="1"/>
  <c r="J11" i="6"/>
  <c r="J50" i="5"/>
  <c r="H11" i="13"/>
  <c r="G15" i="13"/>
  <c r="G23" i="13" s="1"/>
  <c r="G25" i="13" s="1"/>
  <c r="H9" i="13"/>
  <c r="H8" i="13"/>
  <c r="H10" i="13"/>
  <c r="M7" i="6"/>
  <c r="M75" i="6" s="1"/>
  <c r="M66" i="6" s="1"/>
  <c r="K50" i="5"/>
  <c r="K52" i="5" s="1"/>
  <c r="K49" i="6"/>
  <c r="G33" i="6"/>
  <c r="G34" i="6" s="1"/>
  <c r="G23" i="6" s="1"/>
  <c r="G81" i="6" s="1"/>
  <c r="G32" i="6"/>
  <c r="G22" i="6" s="1"/>
  <c r="H13" i="7"/>
  <c r="H15" i="7" s="1"/>
  <c r="H76" i="6"/>
  <c r="H65" i="5"/>
  <c r="H66" i="5" s="1"/>
  <c r="H67" i="5" s="1"/>
  <c r="H69" i="5" s="1"/>
  <c r="I13" i="7"/>
  <c r="I76" i="6"/>
  <c r="N82" i="6"/>
  <c r="N67" i="6"/>
  <c r="O92" i="6"/>
  <c r="L12" i="7"/>
  <c r="L78" i="6"/>
  <c r="L79" i="6" s="1"/>
  <c r="K27" i="5"/>
  <c r="K28" i="5" s="1"/>
  <c r="K10" i="6"/>
  <c r="K11" i="6" s="1"/>
  <c r="I37" i="5"/>
  <c r="I42" i="6" s="1"/>
  <c r="I41" i="5"/>
  <c r="I11" i="7"/>
  <c r="I9" i="7"/>
  <c r="I10" i="7" s="1"/>
  <c r="I65" i="5"/>
  <c r="I66" i="5" s="1"/>
  <c r="I39" i="5"/>
  <c r="M13" i="5"/>
  <c r="M48" i="5"/>
  <c r="M51" i="6" s="1"/>
  <c r="M49" i="5"/>
  <c r="M52" i="6" s="1"/>
  <c r="M47" i="5"/>
  <c r="M50" i="6" s="1"/>
  <c r="M45" i="5"/>
  <c r="M41" i="6" s="1"/>
  <c r="M44" i="5"/>
  <c r="M40" i="6" s="1"/>
  <c r="O7" i="5"/>
  <c r="N11" i="5"/>
  <c r="N7" i="6" s="1"/>
  <c r="M34" i="5"/>
  <c r="M71" i="5" s="1"/>
  <c r="M22" i="5"/>
  <c r="M21" i="5"/>
  <c r="M17" i="5"/>
  <c r="M23" i="5"/>
  <c r="M12" i="5"/>
  <c r="M68" i="5" s="1"/>
  <c r="L35" i="5"/>
  <c r="L26" i="5"/>
  <c r="L18" i="5"/>
  <c r="O60" i="5" l="1"/>
  <c r="O62" i="5" s="1"/>
  <c r="P36" i="26"/>
  <c r="I40" i="5"/>
  <c r="D61" i="2"/>
  <c r="F61" i="2" s="1"/>
  <c r="G61" i="2" s="1"/>
  <c r="H61" i="2" s="1"/>
  <c r="O22" i="26"/>
  <c r="C78" i="2"/>
  <c r="E78" i="2" s="1"/>
  <c r="D271" i="27"/>
  <c r="J30" i="24"/>
  <c r="K27" i="24" s="1"/>
  <c r="K29" i="24" s="1"/>
  <c r="K31" i="24" s="1"/>
  <c r="P22" i="26"/>
  <c r="P23" i="26" s="1"/>
  <c r="P24" i="26" s="1"/>
  <c r="N35" i="25"/>
  <c r="N39" i="25"/>
  <c r="N37" i="25"/>
  <c r="N34" i="25"/>
  <c r="N19" i="25"/>
  <c r="N15" i="25"/>
  <c r="N16" i="25" s="1"/>
  <c r="N18" i="25"/>
  <c r="N28" i="25"/>
  <c r="N47" i="25" s="1"/>
  <c r="N38" i="25"/>
  <c r="N17" i="25"/>
  <c r="N12" i="25"/>
  <c r="N44" i="26"/>
  <c r="N45" i="26" s="1"/>
  <c r="N25" i="26"/>
  <c r="L25" i="25"/>
  <c r="L44" i="25"/>
  <c r="L45" i="25" s="1"/>
  <c r="K29" i="26"/>
  <c r="K31" i="26" s="1"/>
  <c r="M16" i="24"/>
  <c r="M36" i="24" s="1"/>
  <c r="M40" i="24" s="1"/>
  <c r="M41" i="24" s="1"/>
  <c r="M48" i="24" s="1"/>
  <c r="J46" i="26"/>
  <c r="J50" i="26" s="1"/>
  <c r="J57" i="26" s="1"/>
  <c r="J32" i="26"/>
  <c r="P40" i="26"/>
  <c r="I46" i="25"/>
  <c r="I50" i="25" s="1"/>
  <c r="I57" i="25" s="1"/>
  <c r="I32" i="25"/>
  <c r="L44" i="24"/>
  <c r="L45" i="24" s="1"/>
  <c r="L25" i="24"/>
  <c r="N38" i="24"/>
  <c r="N34" i="24"/>
  <c r="N35" i="24"/>
  <c r="N17" i="24"/>
  <c r="N12" i="24"/>
  <c r="N39" i="24"/>
  <c r="N19" i="24"/>
  <c r="N15" i="24"/>
  <c r="N37" i="24"/>
  <c r="N28" i="24"/>
  <c r="N47" i="24" s="1"/>
  <c r="N18" i="24"/>
  <c r="O23" i="26"/>
  <c r="O24" i="26" s="1"/>
  <c r="O11" i="25"/>
  <c r="P7" i="25"/>
  <c r="P11" i="25" s="1"/>
  <c r="M16" i="25"/>
  <c r="M36" i="25" s="1"/>
  <c r="M40" i="25" s="1"/>
  <c r="M41" i="25" s="1"/>
  <c r="M48" i="25" s="1"/>
  <c r="O36" i="26"/>
  <c r="O40" i="26" s="1"/>
  <c r="O41" i="26" s="1"/>
  <c r="O48" i="26" s="1"/>
  <c r="M22" i="25"/>
  <c r="M23" i="25" s="1"/>
  <c r="M24" i="25" s="1"/>
  <c r="O11" i="24"/>
  <c r="P7" i="24"/>
  <c r="P11" i="24" s="1"/>
  <c r="I30" i="25"/>
  <c r="J27" i="25" s="1"/>
  <c r="J46" i="24"/>
  <c r="J50" i="24" s="1"/>
  <c r="J57" i="24" s="1"/>
  <c r="J32" i="24"/>
  <c r="M22" i="24"/>
  <c r="M23" i="24" s="1"/>
  <c r="M24" i="24" s="1"/>
  <c r="J56" i="5"/>
  <c r="J57" i="5" s="1"/>
  <c r="K51" i="5"/>
  <c r="K76" i="6" s="1"/>
  <c r="J7" i="7"/>
  <c r="J9" i="7" s="1"/>
  <c r="J10" i="7" s="1"/>
  <c r="J28" i="5"/>
  <c r="M31" i="6"/>
  <c r="I63" i="5"/>
  <c r="I64" i="5" s="1"/>
  <c r="I67" i="5" s="1"/>
  <c r="I69" i="5" s="1"/>
  <c r="J52" i="5"/>
  <c r="J51" i="5"/>
  <c r="J33" i="5"/>
  <c r="J36" i="5" s="1"/>
  <c r="J38" i="5" s="1"/>
  <c r="I15" i="7"/>
  <c r="I70" i="5" s="1"/>
  <c r="K29" i="5"/>
  <c r="K7" i="7" s="1"/>
  <c r="H70" i="5"/>
  <c r="H16" i="7"/>
  <c r="H23" i="7"/>
  <c r="H17" i="7"/>
  <c r="O82" i="6"/>
  <c r="O67" i="6"/>
  <c r="P92" i="6"/>
  <c r="G80" i="6"/>
  <c r="G85" i="6" s="1"/>
  <c r="G86" i="6" s="1"/>
  <c r="G88" i="6" s="1"/>
  <c r="G24" i="6"/>
  <c r="G35" i="6"/>
  <c r="L27" i="5"/>
  <c r="L28" i="5" s="1"/>
  <c r="L10" i="6"/>
  <c r="L46" i="5"/>
  <c r="L8" i="6"/>
  <c r="L9" i="6" s="1"/>
  <c r="M12" i="7"/>
  <c r="M78" i="6"/>
  <c r="M79" i="6" s="1"/>
  <c r="N75" i="6"/>
  <c r="N66" i="6" s="1"/>
  <c r="N31" i="6"/>
  <c r="N49" i="5"/>
  <c r="N52" i="6" s="1"/>
  <c r="N47" i="5"/>
  <c r="N50" i="6" s="1"/>
  <c r="N45" i="5"/>
  <c r="N41" i="6" s="1"/>
  <c r="N48" i="5"/>
  <c r="N51" i="6" s="1"/>
  <c r="N44" i="5"/>
  <c r="N40" i="6" s="1"/>
  <c r="M26" i="5"/>
  <c r="M35" i="5"/>
  <c r="N17" i="5"/>
  <c r="N18" i="5" s="1"/>
  <c r="N8" i="6" s="1"/>
  <c r="N9" i="6" s="1"/>
  <c r="N34" i="5"/>
  <c r="N71" i="5" s="1"/>
  <c r="N22" i="5"/>
  <c r="N12" i="5"/>
  <c r="N68" i="5" s="1"/>
  <c r="N23" i="5"/>
  <c r="N21" i="5"/>
  <c r="N13" i="5"/>
  <c r="P7" i="5"/>
  <c r="O11" i="5"/>
  <c r="O7" i="6" s="1"/>
  <c r="M18" i="5"/>
  <c r="P62" i="5" l="1"/>
  <c r="P60" i="5"/>
  <c r="N36" i="25"/>
  <c r="K30" i="24"/>
  <c r="L27" i="24" s="1"/>
  <c r="N22" i="24"/>
  <c r="N23" i="24" s="1"/>
  <c r="N24" i="24" s="1"/>
  <c r="M25" i="25"/>
  <c r="M44" i="25"/>
  <c r="M45" i="25" s="1"/>
  <c r="M44" i="24"/>
  <c r="M45" i="24" s="1"/>
  <c r="M25" i="24"/>
  <c r="N40" i="25"/>
  <c r="N41" i="25" s="1"/>
  <c r="N48" i="25" s="1"/>
  <c r="N22" i="25"/>
  <c r="K46" i="26"/>
  <c r="K50" i="26" s="1"/>
  <c r="K57" i="26" s="1"/>
  <c r="K32" i="26"/>
  <c r="O39" i="25"/>
  <c r="O35" i="25"/>
  <c r="O34" i="25"/>
  <c r="O28" i="25"/>
  <c r="O47" i="25" s="1"/>
  <c r="O37" i="25"/>
  <c r="O19" i="25"/>
  <c r="O15" i="25"/>
  <c r="O16" i="25" s="1"/>
  <c r="O18" i="25"/>
  <c r="O17" i="25"/>
  <c r="O12" i="25"/>
  <c r="O38" i="25"/>
  <c r="F75" i="25"/>
  <c r="G23" i="2" s="1"/>
  <c r="P37" i="25"/>
  <c r="P28" i="25"/>
  <c r="P47" i="25" s="1"/>
  <c r="P39" i="25"/>
  <c r="P34" i="25"/>
  <c r="P35" i="25"/>
  <c r="P38" i="25"/>
  <c r="P19" i="25"/>
  <c r="P15" i="25"/>
  <c r="P12" i="25"/>
  <c r="F80" i="25" s="1"/>
  <c r="P18" i="25"/>
  <c r="P17" i="25"/>
  <c r="O39" i="24"/>
  <c r="O35" i="24"/>
  <c r="O38" i="24"/>
  <c r="O34" i="24"/>
  <c r="O17" i="24"/>
  <c r="O12" i="24"/>
  <c r="O37" i="24"/>
  <c r="O28" i="24"/>
  <c r="O47" i="24" s="1"/>
  <c r="O18" i="24"/>
  <c r="O19" i="24"/>
  <c r="O15" i="24"/>
  <c r="P44" i="26"/>
  <c r="P45" i="26" s="1"/>
  <c r="P25" i="26"/>
  <c r="J29" i="25"/>
  <c r="J31" i="25" s="1"/>
  <c r="P39" i="24"/>
  <c r="P35" i="24"/>
  <c r="F75" i="24"/>
  <c r="F23" i="2" s="1"/>
  <c r="P18" i="24"/>
  <c r="P38" i="24"/>
  <c r="P17" i="24"/>
  <c r="P12" i="24"/>
  <c r="F80" i="24" s="1"/>
  <c r="P34" i="24"/>
  <c r="P19" i="24"/>
  <c r="P15" i="24"/>
  <c r="P28" i="24"/>
  <c r="P47" i="24" s="1"/>
  <c r="P37" i="24"/>
  <c r="P41" i="26"/>
  <c r="P48" i="26" s="1"/>
  <c r="L29" i="24"/>
  <c r="L31" i="24" s="1"/>
  <c r="N16" i="24"/>
  <c r="N36" i="24" s="1"/>
  <c r="N40" i="24" s="1"/>
  <c r="N41" i="24" s="1"/>
  <c r="N48" i="24" s="1"/>
  <c r="K46" i="24"/>
  <c r="K50" i="24" s="1"/>
  <c r="K57" i="24" s="1"/>
  <c r="K32" i="24"/>
  <c r="O25" i="26"/>
  <c r="O44" i="26"/>
  <c r="O45" i="26" s="1"/>
  <c r="K30" i="26"/>
  <c r="L27" i="26" s="1"/>
  <c r="N23" i="25"/>
  <c r="N24" i="25" s="1"/>
  <c r="K13" i="7"/>
  <c r="I17" i="7"/>
  <c r="K56" i="5"/>
  <c r="K57" i="5" s="1"/>
  <c r="L29" i="5"/>
  <c r="J76" i="6"/>
  <c r="J13" i="7"/>
  <c r="I16" i="7"/>
  <c r="I23" i="7"/>
  <c r="K30" i="5"/>
  <c r="L11" i="6"/>
  <c r="P82" i="6"/>
  <c r="P67" i="6"/>
  <c r="L50" i="5"/>
  <c r="L49" i="6"/>
  <c r="M46" i="5"/>
  <c r="M8" i="6"/>
  <c r="M9" i="6" s="1"/>
  <c r="N12" i="7"/>
  <c r="N78" i="6"/>
  <c r="N79" i="6" s="1"/>
  <c r="M27" i="5"/>
  <c r="M29" i="5" s="1"/>
  <c r="M30" i="5" s="1"/>
  <c r="M10" i="6"/>
  <c r="H29" i="6"/>
  <c r="G38" i="6"/>
  <c r="G48" i="6" s="1"/>
  <c r="G53" i="6"/>
  <c r="G58" i="6" s="1"/>
  <c r="G60" i="6" s="1"/>
  <c r="H21" i="6"/>
  <c r="J11" i="7"/>
  <c r="J74" i="6"/>
  <c r="O75" i="6"/>
  <c r="O66" i="6" s="1"/>
  <c r="O31" i="6"/>
  <c r="J37" i="5"/>
  <c r="J42" i="6" s="1"/>
  <c r="L56" i="5"/>
  <c r="L57" i="5" s="1"/>
  <c r="L7" i="7"/>
  <c r="N46" i="5"/>
  <c r="K9" i="7"/>
  <c r="K10" i="7" s="1"/>
  <c r="O49" i="5"/>
  <c r="O52" i="6" s="1"/>
  <c r="O47" i="5"/>
  <c r="O50" i="6" s="1"/>
  <c r="O45" i="5"/>
  <c r="O41" i="6" s="1"/>
  <c r="O48" i="5"/>
  <c r="O51" i="6" s="1"/>
  <c r="O44" i="5"/>
  <c r="O40" i="6" s="1"/>
  <c r="N26" i="5"/>
  <c r="N10" i="6" s="1"/>
  <c r="N11" i="6" s="1"/>
  <c r="J41" i="5"/>
  <c r="J65" i="5"/>
  <c r="J66" i="5" s="1"/>
  <c r="J39" i="5"/>
  <c r="J40" i="5" s="1"/>
  <c r="O13" i="5"/>
  <c r="O12" i="5"/>
  <c r="O68" i="5" s="1"/>
  <c r="O17" i="5"/>
  <c r="O18" i="5" s="1"/>
  <c r="O8" i="6" s="1"/>
  <c r="O9" i="6" s="1"/>
  <c r="O34" i="5"/>
  <c r="O71" i="5" s="1"/>
  <c r="O22" i="5"/>
  <c r="O23" i="5"/>
  <c r="O21" i="5"/>
  <c r="P11" i="5"/>
  <c r="N35" i="5"/>
  <c r="L30" i="5"/>
  <c r="L30" i="24" l="1"/>
  <c r="M27" i="24" s="1"/>
  <c r="O36" i="25"/>
  <c r="O40" i="25" s="1"/>
  <c r="O41" i="25" s="1"/>
  <c r="O48" i="25" s="1"/>
  <c r="J30" i="25"/>
  <c r="K27" i="25" s="1"/>
  <c r="K29" i="25" s="1"/>
  <c r="K31" i="25" s="1"/>
  <c r="O22" i="24"/>
  <c r="F61" i="26"/>
  <c r="F62" i="26" s="1"/>
  <c r="F63" i="26" s="1"/>
  <c r="N44" i="25"/>
  <c r="N45" i="25" s="1"/>
  <c r="N25" i="25"/>
  <c r="O23" i="24"/>
  <c r="O24" i="24" s="1"/>
  <c r="M29" i="24"/>
  <c r="M31" i="24" s="1"/>
  <c r="N25" i="24"/>
  <c r="N44" i="24"/>
  <c r="N45" i="24" s="1"/>
  <c r="J46" i="25"/>
  <c r="J50" i="25" s="1"/>
  <c r="J57" i="25" s="1"/>
  <c r="J32" i="25"/>
  <c r="L29" i="26"/>
  <c r="L31" i="26" s="1"/>
  <c r="P16" i="25"/>
  <c r="P36" i="25" s="1"/>
  <c r="P40" i="25" s="1"/>
  <c r="P22" i="24"/>
  <c r="P23" i="24" s="1"/>
  <c r="P24" i="24" s="1"/>
  <c r="P16" i="24"/>
  <c r="P36" i="24" s="1"/>
  <c r="P40" i="24" s="1"/>
  <c r="P22" i="25"/>
  <c r="P23" i="25" s="1"/>
  <c r="P24" i="25" s="1"/>
  <c r="O22" i="25"/>
  <c r="O23" i="25" s="1"/>
  <c r="O24" i="25" s="1"/>
  <c r="L46" i="24"/>
  <c r="L50" i="24" s="1"/>
  <c r="L57" i="24" s="1"/>
  <c r="L32" i="24"/>
  <c r="O16" i="24"/>
  <c r="O36" i="24" s="1"/>
  <c r="O40" i="24" s="1"/>
  <c r="O41" i="24" s="1"/>
  <c r="O48" i="24" s="1"/>
  <c r="J15" i="7"/>
  <c r="D49" i="11"/>
  <c r="D30" i="11" a="1"/>
  <c r="D30" i="11" s="1"/>
  <c r="D22" i="11" a="1"/>
  <c r="D22" i="11" s="1"/>
  <c r="M28" i="5"/>
  <c r="G89" i="6"/>
  <c r="J63" i="5"/>
  <c r="J64" i="5" s="1"/>
  <c r="J67" i="5" s="1"/>
  <c r="J69" i="5" s="1"/>
  <c r="N27" i="5"/>
  <c r="N28" i="5" s="1"/>
  <c r="K33" i="5"/>
  <c r="K36" i="5" s="1"/>
  <c r="K38" i="5" s="1"/>
  <c r="M50" i="5"/>
  <c r="M49" i="6"/>
  <c r="P13" i="5"/>
  <c r="P7" i="6"/>
  <c r="N50" i="5"/>
  <c r="N49" i="6"/>
  <c r="G61" i="6"/>
  <c r="O12" i="7"/>
  <c r="O78" i="6"/>
  <c r="O79" i="6" s="1"/>
  <c r="L51" i="5"/>
  <c r="L52" i="5"/>
  <c r="H87" i="6"/>
  <c r="H26" i="6"/>
  <c r="H12" i="6" s="1"/>
  <c r="H14" i="6" s="1"/>
  <c r="M11" i="6"/>
  <c r="L9" i="7"/>
  <c r="L10" i="7" s="1"/>
  <c r="M56" i="5"/>
  <c r="M57" i="5" s="1"/>
  <c r="M7" i="7"/>
  <c r="O46" i="5"/>
  <c r="O49" i="6" s="1"/>
  <c r="P49" i="5"/>
  <c r="P52" i="6" s="1"/>
  <c r="P47" i="5"/>
  <c r="P50" i="6" s="1"/>
  <c r="P45" i="5"/>
  <c r="P41" i="6" s="1"/>
  <c r="P48" i="5"/>
  <c r="P51" i="6" s="1"/>
  <c r="P44" i="5"/>
  <c r="P40" i="6" s="1"/>
  <c r="O35" i="5"/>
  <c r="P21" i="5"/>
  <c r="P12" i="5"/>
  <c r="P23" i="5"/>
  <c r="P17" i="5"/>
  <c r="P18" i="5" s="1"/>
  <c r="P8" i="6" s="1"/>
  <c r="P34" i="5"/>
  <c r="P71" i="5" s="1"/>
  <c r="P22" i="5"/>
  <c r="O26" i="5"/>
  <c r="P41" i="25" l="1"/>
  <c r="P48" i="25" s="1"/>
  <c r="K30" i="25"/>
  <c r="L27" i="25" s="1"/>
  <c r="L29" i="25" s="1"/>
  <c r="L31" i="25" s="1"/>
  <c r="J23" i="7"/>
  <c r="M30" i="24"/>
  <c r="N27" i="24" s="1"/>
  <c r="N29" i="24" s="1"/>
  <c r="N31" i="24" s="1"/>
  <c r="P41" i="24"/>
  <c r="P48" i="24" s="1"/>
  <c r="P44" i="24"/>
  <c r="P45" i="24" s="1"/>
  <c r="P25" i="24"/>
  <c r="O44" i="25"/>
  <c r="O45" i="25" s="1"/>
  <c r="O25" i="25"/>
  <c r="P44" i="25"/>
  <c r="P45" i="25" s="1"/>
  <c r="P25" i="25"/>
  <c r="L46" i="26"/>
  <c r="L50" i="26" s="1"/>
  <c r="L57" i="26" s="1"/>
  <c r="L32" i="26"/>
  <c r="M46" i="24"/>
  <c r="M50" i="24" s="1"/>
  <c r="M57" i="24" s="1"/>
  <c r="M32" i="24"/>
  <c r="O44" i="24"/>
  <c r="O45" i="24" s="1"/>
  <c r="O25" i="24"/>
  <c r="L30" i="26"/>
  <c r="M27" i="26" s="1"/>
  <c r="F65" i="26"/>
  <c r="K46" i="25"/>
  <c r="K50" i="25" s="1"/>
  <c r="K57" i="25" s="1"/>
  <c r="K32" i="25"/>
  <c r="J70" i="5"/>
  <c r="J16" i="7"/>
  <c r="J17" i="7"/>
  <c r="P68" i="5"/>
  <c r="D78" i="14"/>
  <c r="F78" i="14" s="1"/>
  <c r="O50" i="5"/>
  <c r="O51" i="5" s="1"/>
  <c r="N29" i="5"/>
  <c r="N7" i="7" s="1"/>
  <c r="N51" i="5"/>
  <c r="N13" i="7" s="1"/>
  <c r="L13" i="7"/>
  <c r="L76" i="6"/>
  <c r="P12" i="7"/>
  <c r="P78" i="6"/>
  <c r="P79" i="6" s="1"/>
  <c r="H15" i="6"/>
  <c r="H16" i="6" s="1"/>
  <c r="P9" i="6"/>
  <c r="P75" i="6"/>
  <c r="P66" i="6" s="1"/>
  <c r="P31" i="6"/>
  <c r="N52" i="5"/>
  <c r="M52" i="5"/>
  <c r="M51" i="5"/>
  <c r="O27" i="5"/>
  <c r="O28" i="5" s="1"/>
  <c r="O10" i="6"/>
  <c r="O11" i="6" s="1"/>
  <c r="K11" i="7"/>
  <c r="K15" i="7" s="1"/>
  <c r="K74" i="6"/>
  <c r="M9" i="7"/>
  <c r="M10" i="7" s="1"/>
  <c r="K37" i="5"/>
  <c r="K42" i="6" s="1"/>
  <c r="K41" i="5"/>
  <c r="K65" i="5"/>
  <c r="K66" i="5" s="1"/>
  <c r="K39" i="5"/>
  <c r="K40" i="5" s="1"/>
  <c r="P46" i="5"/>
  <c r="O52" i="5"/>
  <c r="P26" i="5"/>
  <c r="P35" i="5"/>
  <c r="K16" i="7" l="1"/>
  <c r="D63" i="2"/>
  <c r="F63" i="2" s="1"/>
  <c r="G63" i="2" s="1"/>
  <c r="H63" i="2" s="1"/>
  <c r="F61" i="25"/>
  <c r="F62" i="25" s="1"/>
  <c r="F63" i="25" s="1"/>
  <c r="N30" i="24"/>
  <c r="O27" i="24" s="1"/>
  <c r="N46" i="24"/>
  <c r="N50" i="24" s="1"/>
  <c r="N57" i="24" s="1"/>
  <c r="N32" i="24"/>
  <c r="L30" i="25"/>
  <c r="M27" i="25" s="1"/>
  <c r="L46" i="25"/>
  <c r="L50" i="25" s="1"/>
  <c r="L57" i="25" s="1"/>
  <c r="L32" i="25"/>
  <c r="F61" i="24"/>
  <c r="F62" i="24" s="1"/>
  <c r="F63" i="24" s="1"/>
  <c r="M29" i="26"/>
  <c r="M31" i="26" s="1"/>
  <c r="F64" i="7"/>
  <c r="N56" i="5"/>
  <c r="N57" i="5" s="1"/>
  <c r="N76" i="6"/>
  <c r="N30" i="5"/>
  <c r="O29" i="5"/>
  <c r="O7" i="7" s="1"/>
  <c r="O9" i="7" s="1"/>
  <c r="O10" i="7" s="1"/>
  <c r="L33" i="5"/>
  <c r="L36" i="5" s="1"/>
  <c r="L38" i="5" s="1"/>
  <c r="K63" i="5"/>
  <c r="K64" i="5" s="1"/>
  <c r="K67" i="5" s="1"/>
  <c r="K69" i="5" s="1"/>
  <c r="K70" i="5"/>
  <c r="H73" i="6"/>
  <c r="H77" i="6" s="1"/>
  <c r="H18" i="6"/>
  <c r="H65" i="6"/>
  <c r="H70" i="6" s="1"/>
  <c r="H94" i="6"/>
  <c r="P27" i="5"/>
  <c r="P29" i="5" s="1"/>
  <c r="P10" i="6"/>
  <c r="P11" i="6" s="1"/>
  <c r="K23" i="7"/>
  <c r="O13" i="7"/>
  <c r="O76" i="6"/>
  <c r="P50" i="5"/>
  <c r="P51" i="5" s="1"/>
  <c r="P49" i="6"/>
  <c r="M13" i="7"/>
  <c r="M76" i="6"/>
  <c r="K17" i="7"/>
  <c r="N9" i="7"/>
  <c r="N10" i="7" s="1"/>
  <c r="M30" i="26" l="1"/>
  <c r="N27" i="26" s="1"/>
  <c r="M46" i="26"/>
  <c r="M50" i="26" s="1"/>
  <c r="M57" i="26" s="1"/>
  <c r="M32" i="26"/>
  <c r="O29" i="24"/>
  <c r="O31" i="24" s="1"/>
  <c r="M29" i="25"/>
  <c r="M31" i="25" s="1"/>
  <c r="F65" i="24"/>
  <c r="F65" i="25"/>
  <c r="P28" i="5"/>
  <c r="O56" i="5"/>
  <c r="O57" i="5" s="1"/>
  <c r="O30" i="5"/>
  <c r="P13" i="7"/>
  <c r="P76" i="6"/>
  <c r="P52" i="5"/>
  <c r="D48" i="14" s="1"/>
  <c r="F48" i="14" s="1"/>
  <c r="H59" i="6"/>
  <c r="I64" i="6"/>
  <c r="L11" i="7"/>
  <c r="L15" i="7" s="1"/>
  <c r="L74" i="6"/>
  <c r="H30" i="6"/>
  <c r="P56" i="5"/>
  <c r="P57" i="5" s="1"/>
  <c r="P7" i="7"/>
  <c r="L41" i="5"/>
  <c r="L39" i="5"/>
  <c r="L40" i="5" s="1"/>
  <c r="L65" i="5"/>
  <c r="L66" i="5" s="1"/>
  <c r="L37" i="5"/>
  <c r="L42" i="6" s="1"/>
  <c r="P30" i="5"/>
  <c r="D43" i="14" s="1"/>
  <c r="F43" i="14" s="1"/>
  <c r="M30" i="25" l="1"/>
  <c r="N27" i="25" s="1"/>
  <c r="N29" i="25" s="1"/>
  <c r="N31" i="25" s="1"/>
  <c r="M46" i="25"/>
  <c r="M50" i="25" s="1"/>
  <c r="M57" i="25" s="1"/>
  <c r="M32" i="25"/>
  <c r="O30" i="24"/>
  <c r="P27" i="24" s="1"/>
  <c r="O46" i="24"/>
  <c r="O50" i="24" s="1"/>
  <c r="O57" i="24" s="1"/>
  <c r="O32" i="24"/>
  <c r="N29" i="26"/>
  <c r="N31" i="26" s="1"/>
  <c r="F63" i="7"/>
  <c r="D24" i="11"/>
  <c r="L70" i="5"/>
  <c r="L23" i="7"/>
  <c r="L16" i="7"/>
  <c r="H33" i="6"/>
  <c r="H34" i="6" s="1"/>
  <c r="H23" i="6" s="1"/>
  <c r="H81" i="6" s="1"/>
  <c r="H32" i="6"/>
  <c r="H22" i="6" s="1"/>
  <c r="P9" i="7"/>
  <c r="P10" i="7" s="1"/>
  <c r="L17" i="7"/>
  <c r="M33" i="5"/>
  <c r="L63" i="5"/>
  <c r="N30" i="26" l="1"/>
  <c r="O27" i="26" s="1"/>
  <c r="O29" i="26" s="1"/>
  <c r="O31" i="26" s="1"/>
  <c r="N46" i="26"/>
  <c r="N50" i="26" s="1"/>
  <c r="N57" i="26" s="1"/>
  <c r="N32" i="26"/>
  <c r="N46" i="25"/>
  <c r="N50" i="25" s="1"/>
  <c r="N57" i="25" s="1"/>
  <c r="N32" i="25"/>
  <c r="P29" i="24"/>
  <c r="P31" i="24" s="1"/>
  <c r="N30" i="25"/>
  <c r="O27" i="25" s="1"/>
  <c r="H80" i="6"/>
  <c r="H85" i="6" s="1"/>
  <c r="H86" i="6" s="1"/>
  <c r="H88" i="6" s="1"/>
  <c r="H24" i="6"/>
  <c r="H35" i="6"/>
  <c r="F29" i="7"/>
  <c r="F30" i="7" s="1"/>
  <c r="F31" i="7" s="1"/>
  <c r="F34" i="7" s="1"/>
  <c r="M36" i="5"/>
  <c r="M38" i="5" s="1"/>
  <c r="L64" i="5"/>
  <c r="L67" i="5" s="1"/>
  <c r="L69" i="5" s="1"/>
  <c r="P30" i="24" l="1"/>
  <c r="P46" i="24"/>
  <c r="P50" i="24" s="1"/>
  <c r="P32" i="24"/>
  <c r="F68" i="24" s="1"/>
  <c r="F22" i="2" s="1"/>
  <c r="O46" i="26"/>
  <c r="O50" i="26" s="1"/>
  <c r="O57" i="26" s="1"/>
  <c r="O32" i="26"/>
  <c r="O29" i="25"/>
  <c r="O31" i="25" s="1"/>
  <c r="O30" i="26"/>
  <c r="P27" i="26" s="1"/>
  <c r="M11" i="7"/>
  <c r="M15" i="7" s="1"/>
  <c r="M70" i="5" s="1"/>
  <c r="M74" i="6"/>
  <c r="I29" i="6"/>
  <c r="H38" i="6"/>
  <c r="H48" i="6" s="1"/>
  <c r="I21" i="6"/>
  <c r="H53" i="6"/>
  <c r="H58" i="6" s="1"/>
  <c r="H60" i="6" s="1"/>
  <c r="F36" i="7"/>
  <c r="F43" i="7" s="1"/>
  <c r="M37" i="5"/>
  <c r="N33" i="5" s="1"/>
  <c r="M65" i="5"/>
  <c r="M66" i="5" s="1"/>
  <c r="M41" i="5"/>
  <c r="M39" i="5"/>
  <c r="M40" i="5" s="1"/>
  <c r="O30" i="25" l="1"/>
  <c r="P27" i="25" s="1"/>
  <c r="O46" i="25"/>
  <c r="O50" i="25" s="1"/>
  <c r="O57" i="25" s="1"/>
  <c r="O32" i="25"/>
  <c r="P29" i="26"/>
  <c r="P31" i="26" s="1"/>
  <c r="P57" i="24"/>
  <c r="F79" i="24"/>
  <c r="M23" i="7"/>
  <c r="H89" i="6"/>
  <c r="M16" i="7"/>
  <c r="I26" i="6"/>
  <c r="I12" i="6" s="1"/>
  <c r="I14" i="6" s="1"/>
  <c r="H61" i="6"/>
  <c r="M63" i="5"/>
  <c r="M64" i="5" s="1"/>
  <c r="M67" i="5" s="1"/>
  <c r="M69" i="5" s="1"/>
  <c r="M42" i="6"/>
  <c r="I87" i="6"/>
  <c r="M17" i="7"/>
  <c r="N36" i="5"/>
  <c r="N38" i="5" s="1"/>
  <c r="F81" i="24" l="1" a="1"/>
  <c r="F81" i="24" s="1"/>
  <c r="D79" i="14" s="1"/>
  <c r="F79" i="14" s="1"/>
  <c r="F59" i="24"/>
  <c r="F66" i="24" s="1"/>
  <c r="P46" i="26"/>
  <c r="P50" i="26" s="1"/>
  <c r="P32" i="26"/>
  <c r="F68" i="26" s="1"/>
  <c r="H22" i="2" s="1"/>
  <c r="P30" i="26"/>
  <c r="P29" i="25"/>
  <c r="P31" i="25" s="1"/>
  <c r="N11" i="7"/>
  <c r="N15" i="7" s="1"/>
  <c r="N70" i="5" s="1"/>
  <c r="N74" i="6"/>
  <c r="I15" i="6"/>
  <c r="I16" i="6" s="1"/>
  <c r="D64" i="2" s="1"/>
  <c r="G64" i="2" s="1"/>
  <c r="H64" i="2" s="1"/>
  <c r="N37" i="5"/>
  <c r="N65" i="5"/>
  <c r="N66" i="5" s="1"/>
  <c r="N41" i="5"/>
  <c r="N39" i="5"/>
  <c r="N40" i="5" s="1"/>
  <c r="H67" i="2" l="1"/>
  <c r="H66" i="2"/>
  <c r="H68" i="2"/>
  <c r="G68" i="2"/>
  <c r="P30" i="25"/>
  <c r="F79" i="26"/>
  <c r="P57" i="26"/>
  <c r="P46" i="25"/>
  <c r="P50" i="25" s="1"/>
  <c r="P32" i="25"/>
  <c r="F68" i="25" s="1"/>
  <c r="F70" i="24"/>
  <c r="F16" i="2"/>
  <c r="F67" i="24"/>
  <c r="F21" i="2" s="1"/>
  <c r="N16" i="7"/>
  <c r="N23" i="7"/>
  <c r="N63" i="5"/>
  <c r="N64" i="5" s="1"/>
  <c r="N67" i="5" s="1"/>
  <c r="N69" i="5" s="1"/>
  <c r="N42" i="6"/>
  <c r="I73" i="6"/>
  <c r="I77" i="6" s="1"/>
  <c r="I18" i="6"/>
  <c r="I65" i="6"/>
  <c r="I70" i="6" s="1"/>
  <c r="I94" i="6"/>
  <c r="O33" i="5"/>
  <c r="O36" i="5" s="1"/>
  <c r="O38" i="5" s="1"/>
  <c r="N17" i="7"/>
  <c r="C77" i="2" l="1"/>
  <c r="E77" i="2" s="1"/>
  <c r="D270" i="27"/>
  <c r="P57" i="25"/>
  <c r="F79" i="25"/>
  <c r="F72" i="24"/>
  <c r="F74" i="24" s="1"/>
  <c r="F24" i="2" s="1"/>
  <c r="F17" i="2"/>
  <c r="G22" i="2"/>
  <c r="D269" i="27"/>
  <c r="F81" i="26" a="1"/>
  <c r="F81" i="26" s="1"/>
  <c r="D81" i="14" s="1"/>
  <c r="F81" i="14" s="1"/>
  <c r="F59" i="26"/>
  <c r="F66" i="26" s="1"/>
  <c r="O11" i="7"/>
  <c r="O15" i="7" s="1"/>
  <c r="O70" i="5" s="1"/>
  <c r="O74" i="6"/>
  <c r="I59" i="6"/>
  <c r="J64" i="6"/>
  <c r="I30" i="6"/>
  <c r="O65" i="5"/>
  <c r="O66" i="5" s="1"/>
  <c r="O41" i="5"/>
  <c r="O39" i="5"/>
  <c r="O40" i="5" s="1"/>
  <c r="O37" i="5"/>
  <c r="O42" i="6" s="1"/>
  <c r="O16" i="7" l="1"/>
  <c r="O23" i="7"/>
  <c r="F70" i="26"/>
  <c r="H16" i="2"/>
  <c r="F67" i="26"/>
  <c r="H21" i="2" s="1"/>
  <c r="F18" i="2"/>
  <c r="C74" i="2"/>
  <c r="D259" i="27"/>
  <c r="F81" i="25" a="1"/>
  <c r="F81" i="25" s="1"/>
  <c r="D80" i="14" s="1"/>
  <c r="F80" i="14" s="1"/>
  <c r="F59" i="25"/>
  <c r="F66" i="25" s="1"/>
  <c r="I33" i="6"/>
  <c r="I34" i="6" s="1"/>
  <c r="I23" i="6" s="1"/>
  <c r="I81" i="6" s="1"/>
  <c r="I32" i="6"/>
  <c r="I22" i="6" s="1"/>
  <c r="O17" i="7"/>
  <c r="P33" i="5"/>
  <c r="O63" i="5"/>
  <c r="O64" i="5" s="1"/>
  <c r="O67" i="5" s="1"/>
  <c r="O69" i="5" s="1"/>
  <c r="F70" i="25" l="1"/>
  <c r="D256" i="27"/>
  <c r="G16" i="2"/>
  <c r="F67" i="25"/>
  <c r="E74" i="2"/>
  <c r="F72" i="26"/>
  <c r="F74" i="26" s="1"/>
  <c r="H24" i="2" s="1"/>
  <c r="H17" i="2"/>
  <c r="I80" i="6"/>
  <c r="I85" i="6" s="1"/>
  <c r="I86" i="6" s="1"/>
  <c r="I88" i="6" s="1"/>
  <c r="I24" i="6"/>
  <c r="I35" i="6"/>
  <c r="P36" i="5"/>
  <c r="P38" i="5" s="1"/>
  <c r="P74" i="6" s="1"/>
  <c r="D268" i="27" l="1"/>
  <c r="G21" i="2"/>
  <c r="D261" i="27"/>
  <c r="H18" i="2"/>
  <c r="C76" i="2"/>
  <c r="E76" i="2" s="1"/>
  <c r="D257" i="27"/>
  <c r="G17" i="2"/>
  <c r="F72" i="25"/>
  <c r="F74" i="25" s="1"/>
  <c r="G24" i="2" s="1"/>
  <c r="J29" i="6"/>
  <c r="I38" i="6"/>
  <c r="I48" i="6" s="1"/>
  <c r="I53" i="6"/>
  <c r="I58" i="6" s="1"/>
  <c r="I60" i="6" s="1"/>
  <c r="J21" i="6"/>
  <c r="P11" i="7"/>
  <c r="P15" i="7" s="1"/>
  <c r="F65" i="7"/>
  <c r="P65" i="5"/>
  <c r="P66" i="5" s="1"/>
  <c r="P41" i="5"/>
  <c r="P39" i="5"/>
  <c r="P37" i="5"/>
  <c r="I89" i="6" l="1"/>
  <c r="F26" i="9" a="1"/>
  <c r="F26" i="9" s="1"/>
  <c r="F10" i="9" a="1"/>
  <c r="F10" i="9" s="1"/>
  <c r="E36" i="9" a="1"/>
  <c r="E36" i="9" s="1"/>
  <c r="D17" i="9" a="1"/>
  <c r="D17" i="9" s="1"/>
  <c r="H27" i="9" a="1"/>
  <c r="H27" i="9" s="1"/>
  <c r="F24" i="9" a="1"/>
  <c r="F24" i="9" s="1"/>
  <c r="G17" i="9" a="1"/>
  <c r="G17" i="9" s="1"/>
  <c r="F42" i="9" a="1"/>
  <c r="F42" i="9" s="1"/>
  <c r="E15" i="9" a="1"/>
  <c r="E15" i="9" s="1"/>
  <c r="E27" i="9" a="1"/>
  <c r="E27" i="9" s="1"/>
  <c r="D26" i="9" a="1"/>
  <c r="D26" i="9" s="1"/>
  <c r="D8" i="9" a="1"/>
  <c r="D8" i="9" s="1"/>
  <c r="G7" i="9" a="1"/>
  <c r="G7" i="9" s="1"/>
  <c r="D16" i="9" a="1"/>
  <c r="D16" i="9" s="1"/>
  <c r="G27" i="9" a="1"/>
  <c r="G27" i="9" s="1"/>
  <c r="G18" i="9" a="1"/>
  <c r="G18" i="9" s="1"/>
  <c r="G36" i="9" a="1"/>
  <c r="G36" i="9" s="1"/>
  <c r="E19" i="9" a="1"/>
  <c r="E19" i="9" s="1"/>
  <c r="D6" i="9" a="1"/>
  <c r="D6" i="9" s="1"/>
  <c r="E33" i="9" a="1"/>
  <c r="E33" i="9" s="1"/>
  <c r="G45" i="9" a="1"/>
  <c r="G45" i="9" s="1"/>
  <c r="G9" i="9" a="1"/>
  <c r="G9" i="9" s="1"/>
  <c r="H44" i="9" a="1"/>
  <c r="H44" i="9" s="1"/>
  <c r="H18" i="9" a="1"/>
  <c r="H18" i="9" s="1"/>
  <c r="G34" i="9" a="1"/>
  <c r="G34" i="9" s="1"/>
  <c r="G24" i="9" a="1"/>
  <c r="G24" i="9" s="1"/>
  <c r="D36" i="9" a="1"/>
  <c r="D36" i="9" s="1"/>
  <c r="E24" i="9" a="1"/>
  <c r="E24" i="9" s="1"/>
  <c r="D7" i="9" a="1"/>
  <c r="D7" i="9" s="1"/>
  <c r="H6" i="9" a="1"/>
  <c r="H6" i="9" s="1"/>
  <c r="H46" i="9" a="1"/>
  <c r="H46" i="9" s="1"/>
  <c r="E18" i="9" a="1"/>
  <c r="E18" i="9" s="1"/>
  <c r="D34" i="9" a="1"/>
  <c r="D34" i="9" s="1"/>
  <c r="E6" i="9" a="1"/>
  <c r="E6" i="9" s="1"/>
  <c r="E44" i="9" a="1"/>
  <c r="E44" i="9" s="1"/>
  <c r="D35" i="9" a="1"/>
  <c r="D35" i="9" s="1"/>
  <c r="E16" i="9" a="1"/>
  <c r="E16" i="9" s="1"/>
  <c r="D18" i="9" a="1"/>
  <c r="D18" i="9" s="1"/>
  <c r="F34" i="9" a="1"/>
  <c r="F34" i="9" s="1"/>
  <c r="H34" i="9" a="1"/>
  <c r="H34" i="9" s="1"/>
  <c r="G15" i="9" a="1"/>
  <c r="G15" i="9" s="1"/>
  <c r="D46" i="9" a="1"/>
  <c r="D46" i="9" s="1"/>
  <c r="D10" i="9" a="1"/>
  <c r="D10" i="9" s="1"/>
  <c r="H42" i="9" a="1"/>
  <c r="H42" i="9" s="1"/>
  <c r="D15" i="9" a="1"/>
  <c r="D15" i="9" s="1"/>
  <c r="D42" i="9" a="1"/>
  <c r="D42" i="9" s="1"/>
  <c r="H17" i="9" a="1"/>
  <c r="H17" i="9" s="1"/>
  <c r="D9" i="9" a="1"/>
  <c r="D9" i="9" s="1"/>
  <c r="G28" i="9" a="1"/>
  <c r="G28" i="9" s="1"/>
  <c r="H24" i="9" a="1"/>
  <c r="H24" i="9" s="1"/>
  <c r="F9" i="9" a="1"/>
  <c r="F9" i="9" s="1"/>
  <c r="E10" i="9" a="1"/>
  <c r="E10" i="9" s="1"/>
  <c r="E43" i="9" a="1"/>
  <c r="E43" i="9" s="1"/>
  <c r="E7" i="9" a="1"/>
  <c r="E7" i="9" s="1"/>
  <c r="E34" i="9" a="1"/>
  <c r="E34" i="9" s="1"/>
  <c r="D25" i="9" a="1"/>
  <c r="D25" i="9" s="1"/>
  <c r="D43" i="9" a="1"/>
  <c r="D43" i="9" s="1"/>
  <c r="F25" i="9" a="1"/>
  <c r="F25" i="9" s="1"/>
  <c r="F46" i="9" a="1"/>
  <c r="F46" i="9" s="1"/>
  <c r="F45" i="9" a="1"/>
  <c r="F45" i="9" s="1"/>
  <c r="F6" i="9" a="1"/>
  <c r="F6" i="9" s="1"/>
  <c r="G44" i="9" a="1"/>
  <c r="G44" i="9" s="1"/>
  <c r="H19" i="9" a="1"/>
  <c r="H19" i="9" s="1"/>
  <c r="F15" i="9" a="1"/>
  <c r="F15" i="9" s="1"/>
  <c r="E28" i="9" a="1"/>
  <c r="E28" i="9" s="1"/>
  <c r="G8" i="9" a="1"/>
  <c r="G8" i="9" s="1"/>
  <c r="G43" i="9" a="1"/>
  <c r="G43" i="9" s="1"/>
  <c r="F35" i="9" a="1"/>
  <c r="F35" i="9" s="1"/>
  <c r="D33" i="9" a="1"/>
  <c r="D33" i="9" s="1"/>
  <c r="H28" i="9" a="1"/>
  <c r="H28" i="9" s="1"/>
  <c r="E17" i="9" a="1"/>
  <c r="E17" i="9" s="1"/>
  <c r="E37" i="9" a="1"/>
  <c r="E37" i="9" s="1"/>
  <c r="E9" i="9" a="1"/>
  <c r="E9" i="9" s="1"/>
  <c r="F28" i="9" a="1"/>
  <c r="F28" i="9" s="1"/>
  <c r="E35" i="9" a="1"/>
  <c r="E35" i="9" s="1"/>
  <c r="D28" i="9" a="1"/>
  <c r="D28" i="9" s="1"/>
  <c r="H16" i="9" a="1"/>
  <c r="H16" i="9" s="1"/>
  <c r="G26" i="9" a="1"/>
  <c r="G26" i="9" s="1"/>
  <c r="F43" i="9" a="1"/>
  <c r="F43" i="9" s="1"/>
  <c r="G25" i="9" a="1"/>
  <c r="G25" i="9" s="1"/>
  <c r="H10" i="9" a="1"/>
  <c r="H10" i="9" s="1"/>
  <c r="E8" i="9" a="1"/>
  <c r="E8" i="9" s="1"/>
  <c r="F7" i="9" a="1"/>
  <c r="F7" i="9" s="1"/>
  <c r="F8" i="9" a="1"/>
  <c r="F8" i="9" s="1"/>
  <c r="E42" i="9" a="1"/>
  <c r="E42" i="9" s="1"/>
  <c r="D45" i="9" a="1"/>
  <c r="D45" i="9" s="1"/>
  <c r="H26" i="9" a="1"/>
  <c r="H26" i="9" s="1"/>
  <c r="G19" i="9" a="1"/>
  <c r="G19" i="9" s="1"/>
  <c r="G35" i="9" a="1"/>
  <c r="G35" i="9" s="1"/>
  <c r="F18" i="9" a="1"/>
  <c r="F18" i="9" s="1"/>
  <c r="G33" i="9" a="1"/>
  <c r="G33" i="9" s="1"/>
  <c r="F36" i="9" a="1"/>
  <c r="F36" i="9" s="1"/>
  <c r="D44" i="9" a="1"/>
  <c r="D44" i="9" s="1"/>
  <c r="H7" i="9" a="1"/>
  <c r="H7" i="9" s="1"/>
  <c r="H45" i="9" a="1"/>
  <c r="H45" i="9" s="1"/>
  <c r="D27" i="9" a="1"/>
  <c r="D27" i="9" s="1"/>
  <c r="H36" i="9" a="1"/>
  <c r="H36" i="9" s="1"/>
  <c r="F16" i="9" a="1"/>
  <c r="F16" i="9" s="1"/>
  <c r="D19" i="9" a="1"/>
  <c r="D19" i="9" s="1"/>
  <c r="F33" i="9" a="1"/>
  <c r="F33" i="9" s="1"/>
  <c r="G46" i="9" a="1"/>
  <c r="G46" i="9" s="1"/>
  <c r="H33" i="9" a="1"/>
  <c r="H33" i="9" s="1"/>
  <c r="G6" i="9" a="1"/>
  <c r="G6" i="9" s="1"/>
  <c r="D37" i="9" a="1"/>
  <c r="D37" i="9" s="1"/>
  <c r="D24" i="9" a="1"/>
  <c r="D24" i="9" s="1"/>
  <c r="F19" i="9" a="1"/>
  <c r="F19" i="9" s="1"/>
  <c r="E25" i="9" a="1"/>
  <c r="E25" i="9" s="1"/>
  <c r="H9" i="9" a="1"/>
  <c r="H9" i="9" s="1"/>
  <c r="H43" i="9" a="1"/>
  <c r="H43" i="9" s="1"/>
  <c r="F17" i="9" a="1"/>
  <c r="F17" i="9" s="1"/>
  <c r="F37" i="9" a="1"/>
  <c r="F37" i="9" s="1"/>
  <c r="G37" i="9" a="1"/>
  <c r="G37" i="9" s="1"/>
  <c r="E46" i="9" a="1"/>
  <c r="E46" i="9" s="1"/>
  <c r="G42" i="9" a="1"/>
  <c r="G42" i="9" s="1"/>
  <c r="F44" i="9" a="1"/>
  <c r="F44" i="9" s="1"/>
  <c r="H35" i="9" a="1"/>
  <c r="H35" i="9" s="1"/>
  <c r="H25" i="9" a="1"/>
  <c r="H25" i="9" s="1"/>
  <c r="E45" i="9" a="1"/>
  <c r="E45" i="9" s="1"/>
  <c r="H37" i="9" a="1"/>
  <c r="H37" i="9" s="1"/>
  <c r="G10" i="9" a="1"/>
  <c r="G10" i="9" s="1"/>
  <c r="E26" i="9" a="1"/>
  <c r="E26" i="9" s="1"/>
  <c r="H15" i="9" a="1"/>
  <c r="H15" i="9" s="1"/>
  <c r="F27" i="9" a="1"/>
  <c r="F27" i="9" s="1"/>
  <c r="H8" i="9" a="1"/>
  <c r="H8" i="9" s="1"/>
  <c r="G16" i="9" a="1"/>
  <c r="G16" i="9" s="1"/>
  <c r="C75" i="2"/>
  <c r="D260" i="27"/>
  <c r="G18" i="2"/>
  <c r="G26" i="2" s="1"/>
  <c r="D26" i="14"/>
  <c r="F26" i="14" s="1"/>
  <c r="D77" i="14" a="1"/>
  <c r="D77" i="14" s="1"/>
  <c r="F77" i="14" s="1"/>
  <c r="F66" i="7"/>
  <c r="D44" i="14"/>
  <c r="F44" i="14" s="1"/>
  <c r="P70" i="5"/>
  <c r="I61" i="6"/>
  <c r="J26" i="6"/>
  <c r="J12" i="6" s="1"/>
  <c r="J14" i="6" s="1"/>
  <c r="P63" i="5"/>
  <c r="P64" i="5" s="1"/>
  <c r="P42" i="6"/>
  <c r="D24" i="14" s="1"/>
  <c r="F24" i="14" s="1"/>
  <c r="J87" i="6"/>
  <c r="P40" i="5"/>
  <c r="F61" i="7"/>
  <c r="F62" i="7" s="1"/>
  <c r="F32" i="7"/>
  <c r="F75" i="7"/>
  <c r="F37" i="7"/>
  <c r="F38" i="7" s="1"/>
  <c r="F39" i="7" s="1"/>
  <c r="P23" i="7"/>
  <c r="F42" i="7" s="1"/>
  <c r="P17" i="7"/>
  <c r="P16" i="7"/>
  <c r="F73" i="7"/>
  <c r="D48" i="11" s="1"/>
  <c r="F74" i="7"/>
  <c r="D27" i="14" s="1"/>
  <c r="F27" i="14" s="1"/>
  <c r="D83" i="14" l="1"/>
  <c r="F83" i="14" s="1"/>
  <c r="D279" i="27"/>
  <c r="E75" i="2"/>
  <c r="D84" i="2"/>
  <c r="C80" i="2"/>
  <c r="C84" i="2"/>
  <c r="D47" i="11"/>
  <c r="D35" i="11"/>
  <c r="C51" i="2"/>
  <c r="D43" i="11"/>
  <c r="D41" i="14"/>
  <c r="F41" i="14" s="1"/>
  <c r="D73" i="14" a="1"/>
  <c r="D73" i="14" s="1"/>
  <c r="F73" i="14" s="1"/>
  <c r="P67" i="5"/>
  <c r="P69" i="5" s="1"/>
  <c r="D61" i="14" s="1"/>
  <c r="F61" i="14" s="1"/>
  <c r="D40" i="14"/>
  <c r="F40" i="14" s="1"/>
  <c r="D62" i="14"/>
  <c r="F62" i="14" s="1"/>
  <c r="D54" i="9"/>
  <c r="C54" i="9"/>
  <c r="D51" i="9"/>
  <c r="C51" i="9"/>
  <c r="D52" i="9"/>
  <c r="C52" i="9"/>
  <c r="D55" i="9"/>
  <c r="C55" i="9"/>
  <c r="D56" i="9"/>
  <c r="C56" i="9"/>
  <c r="D53" i="9"/>
  <c r="C53" i="9"/>
  <c r="F44" i="7"/>
  <c r="J15" i="6"/>
  <c r="J16" i="6" s="1"/>
  <c r="F69" i="7"/>
  <c r="C53" i="2" s="1"/>
  <c r="C31" i="2"/>
  <c r="C5" i="12" l="1"/>
  <c r="C11" i="12" s="1"/>
  <c r="D262" i="27"/>
  <c r="C82" i="2"/>
  <c r="C83" i="2"/>
  <c r="C85" i="2"/>
  <c r="D44" i="11"/>
  <c r="D36" i="11"/>
  <c r="D39" i="11" s="1"/>
  <c r="D42" i="11"/>
  <c r="D70" i="14" a="1"/>
  <c r="D70" i="14" s="1"/>
  <c r="F70" i="14" s="1"/>
  <c r="C27" i="10"/>
  <c r="C14" i="2"/>
  <c r="C9" i="12"/>
  <c r="C8" i="12"/>
  <c r="C12" i="12"/>
  <c r="C14" i="12"/>
  <c r="F72" i="7"/>
  <c r="C33" i="2" s="1"/>
  <c r="F45" i="7"/>
  <c r="C30" i="2" s="1"/>
  <c r="F53" i="7"/>
  <c r="C28" i="10" s="1"/>
  <c r="E51" i="9"/>
  <c r="F71" i="7"/>
  <c r="C32" i="2" s="1"/>
  <c r="D16" i="11"/>
  <c r="D17" i="11" s="1"/>
  <c r="E53" i="9"/>
  <c r="E52" i="9"/>
  <c r="E55" i="9"/>
  <c r="E56" i="9"/>
  <c r="E54" i="9"/>
  <c r="J73" i="6"/>
  <c r="J77" i="6" s="1"/>
  <c r="J18" i="6"/>
  <c r="J65" i="6"/>
  <c r="J70" i="6" s="1"/>
  <c r="J94" i="6"/>
  <c r="C7" i="12" l="1"/>
  <c r="C10" i="12"/>
  <c r="F60" i="16"/>
  <c r="C86" i="2"/>
  <c r="D281" i="27" s="1"/>
  <c r="D86" i="14"/>
  <c r="F86" i="14" s="1"/>
  <c r="D265" i="27"/>
  <c r="D264" i="27"/>
  <c r="C32" i="10"/>
  <c r="F70" i="7"/>
  <c r="C52" i="2" s="1"/>
  <c r="F55" i="7"/>
  <c r="C17" i="19" s="1"/>
  <c r="C6" i="12"/>
  <c r="C13" i="12" s="1"/>
  <c r="D50" i="14"/>
  <c r="F50" i="14" s="1"/>
  <c r="D42" i="14"/>
  <c r="F42" i="14" s="1"/>
  <c r="C15" i="2"/>
  <c r="F54" i="9"/>
  <c r="C16" i="2"/>
  <c r="F55" i="9"/>
  <c r="F56" i="9"/>
  <c r="F51" i="9"/>
  <c r="F53" i="9"/>
  <c r="F52" i="9"/>
  <c r="K64" i="6"/>
  <c r="J59" i="6"/>
  <c r="J30" i="6"/>
  <c r="H69" i="2" l="1"/>
  <c r="F82" i="25"/>
  <c r="D82" i="14"/>
  <c r="F82" i="14" s="1"/>
  <c r="G27" i="13"/>
  <c r="G29" i="13" s="1"/>
  <c r="F57" i="7"/>
  <c r="C19" i="2" s="1"/>
  <c r="F58" i="7"/>
  <c r="C20" i="2" s="1"/>
  <c r="C29" i="10"/>
  <c r="C31" i="10" s="1"/>
  <c r="C18" i="2"/>
  <c r="D69" i="14"/>
  <c r="F69" i="14" s="1"/>
  <c r="C22" i="12"/>
  <c r="D18" i="11"/>
  <c r="D19" i="11" s="1"/>
  <c r="C20" i="12"/>
  <c r="C21" i="12" s="1"/>
  <c r="D59" i="14"/>
  <c r="J33" i="6"/>
  <c r="J34" i="6" s="1"/>
  <c r="J23" i="6" s="1"/>
  <c r="J81" i="6" s="1"/>
  <c r="J32" i="6"/>
  <c r="J22" i="6" s="1"/>
  <c r="D72" i="14" l="1" a="1"/>
  <c r="D72" i="14" s="1"/>
  <c r="F72" i="14" s="1"/>
  <c r="D278" i="27"/>
  <c r="G25" i="2"/>
  <c r="G28" i="13"/>
  <c r="D23" i="11" a="1"/>
  <c r="D23" i="11" s="1"/>
  <c r="D31" i="11"/>
  <c r="D32" i="11" s="1"/>
  <c r="D33" i="11" s="1"/>
  <c r="C23" i="12"/>
  <c r="J80" i="6"/>
  <c r="J85" i="6" s="1"/>
  <c r="J86" i="6" s="1"/>
  <c r="J88" i="6" s="1"/>
  <c r="J24" i="6"/>
  <c r="J35" i="6"/>
  <c r="D50" i="11" l="1"/>
  <c r="D25" i="11"/>
  <c r="D27" i="11" s="1"/>
  <c r="K29" i="6"/>
  <c r="J38" i="6"/>
  <c r="J48" i="6" s="1"/>
  <c r="J53" i="6"/>
  <c r="J58" i="6" s="1"/>
  <c r="J60" i="6" s="1"/>
  <c r="K21" i="6"/>
  <c r="J89" i="6" l="1"/>
  <c r="K26" i="6"/>
  <c r="K12" i="6" s="1"/>
  <c r="K14" i="6" s="1"/>
  <c r="J61" i="6"/>
  <c r="K87" i="6"/>
  <c r="K15" i="6" l="1"/>
  <c r="K16" i="6" s="1"/>
  <c r="K73" i="6" l="1"/>
  <c r="K77" i="6" s="1"/>
  <c r="K18" i="6"/>
  <c r="K65" i="6"/>
  <c r="K70" i="6" s="1"/>
  <c r="K94" i="6"/>
  <c r="L64" i="6" l="1"/>
  <c r="K59" i="6"/>
  <c r="K30" i="6"/>
  <c r="K33" i="6" l="1"/>
  <c r="K34" i="6" s="1"/>
  <c r="K23" i="6" s="1"/>
  <c r="K81" i="6" s="1"/>
  <c r="K32" i="6"/>
  <c r="K22" i="6" s="1"/>
  <c r="K80" i="6" l="1"/>
  <c r="K85" i="6" s="1"/>
  <c r="K86" i="6" s="1"/>
  <c r="K88" i="6" s="1"/>
  <c r="K24" i="6"/>
  <c r="K35" i="6"/>
  <c r="K38" i="6" l="1"/>
  <c r="K48" i="6" s="1"/>
  <c r="L29" i="6"/>
  <c r="K53" i="6"/>
  <c r="K58" i="6" s="1"/>
  <c r="K60" i="6" s="1"/>
  <c r="L21" i="6"/>
  <c r="K89" i="6" l="1"/>
  <c r="L26" i="6"/>
  <c r="L12" i="6" s="1"/>
  <c r="L14" i="6" s="1"/>
  <c r="L87" i="6"/>
  <c r="K61" i="6"/>
  <c r="L15" i="6" l="1"/>
  <c r="L16" i="6" s="1"/>
  <c r="L73" i="6" l="1"/>
  <c r="L77" i="6" s="1"/>
  <c r="L18" i="6"/>
  <c r="L65" i="6"/>
  <c r="L70" i="6" s="1"/>
  <c r="L94" i="6"/>
  <c r="M64" i="6" l="1"/>
  <c r="L59" i="6"/>
  <c r="L30" i="6"/>
  <c r="L33" i="6" l="1"/>
  <c r="L34" i="6" s="1"/>
  <c r="L23" i="6" s="1"/>
  <c r="L81" i="6" s="1"/>
  <c r="L32" i="6"/>
  <c r="L22" i="6" s="1"/>
  <c r="L80" i="6" l="1"/>
  <c r="L85" i="6" s="1"/>
  <c r="L86" i="6" s="1"/>
  <c r="L88" i="6" s="1"/>
  <c r="L24" i="6"/>
  <c r="L35" i="6"/>
  <c r="M29" i="6" l="1"/>
  <c r="L38" i="6"/>
  <c r="L48" i="6" s="1"/>
  <c r="L53" i="6"/>
  <c r="L58" i="6" s="1"/>
  <c r="L60" i="6" s="1"/>
  <c r="M21" i="6"/>
  <c r="L89" i="6" l="1"/>
  <c r="L61" i="6"/>
  <c r="M26" i="6"/>
  <c r="M12" i="6" s="1"/>
  <c r="M14" i="6" s="1"/>
  <c r="M87" i="6"/>
  <c r="M15" i="6" l="1"/>
  <c r="M16" i="6" s="1"/>
  <c r="M65" i="6" l="1"/>
  <c r="M70" i="6" s="1"/>
  <c r="M73" i="6"/>
  <c r="M77" i="6" s="1"/>
  <c r="M18" i="6"/>
  <c r="M94" i="6"/>
  <c r="M59" i="6" l="1"/>
  <c r="N64" i="6"/>
  <c r="M30" i="6"/>
  <c r="M33" i="6" l="1"/>
  <c r="M34" i="6" s="1"/>
  <c r="M23" i="6" s="1"/>
  <c r="M81" i="6" s="1"/>
  <c r="M32" i="6"/>
  <c r="M22" i="6" s="1"/>
  <c r="M80" i="6" l="1"/>
  <c r="M85" i="6" s="1"/>
  <c r="M86" i="6" s="1"/>
  <c r="M88" i="6" s="1"/>
  <c r="M24" i="6"/>
  <c r="M35" i="6"/>
  <c r="N29" i="6" l="1"/>
  <c r="M38" i="6"/>
  <c r="M48" i="6" s="1"/>
  <c r="M53" i="6"/>
  <c r="M58" i="6" s="1"/>
  <c r="M60" i="6" s="1"/>
  <c r="N21" i="6"/>
  <c r="M89" i="6" l="1"/>
  <c r="M61" i="6"/>
  <c r="N26" i="6"/>
  <c r="N12" i="6" s="1"/>
  <c r="N14" i="6" s="1"/>
  <c r="N87" i="6"/>
  <c r="N15" i="6" l="1"/>
  <c r="N16" i="6" s="1"/>
  <c r="N65" i="6" l="1"/>
  <c r="N70" i="6" s="1"/>
  <c r="N73" i="6"/>
  <c r="N77" i="6" s="1"/>
  <c r="N18" i="6"/>
  <c r="N94" i="6"/>
  <c r="N30" i="6" l="1"/>
  <c r="N59" i="6"/>
  <c r="O64" i="6"/>
  <c r="N33" i="6" l="1"/>
  <c r="N34" i="6" s="1"/>
  <c r="N23" i="6" s="1"/>
  <c r="N81" i="6" s="1"/>
  <c r="N32" i="6"/>
  <c r="N22" i="6" s="1"/>
  <c r="N35" i="6" l="1"/>
  <c r="N80" i="6"/>
  <c r="N85" i="6" s="1"/>
  <c r="N86" i="6" s="1"/>
  <c r="N88" i="6" s="1"/>
  <c r="N24" i="6"/>
  <c r="N53" i="6" l="1"/>
  <c r="N58" i="6" s="1"/>
  <c r="N60" i="6" s="1"/>
  <c r="O21" i="6"/>
  <c r="O29" i="6"/>
  <c r="N38" i="6"/>
  <c r="N48" i="6" s="1"/>
  <c r="N89" i="6" l="1"/>
  <c r="N61" i="6"/>
  <c r="O87" i="6"/>
  <c r="O26" i="6"/>
  <c r="O12" i="6" s="1"/>
  <c r="O14" i="6" s="1"/>
  <c r="O15" i="6" l="1"/>
  <c r="O16" i="6" s="1"/>
  <c r="O73" i="6" l="1"/>
  <c r="O77" i="6" s="1"/>
  <c r="O18" i="6"/>
  <c r="O65" i="6"/>
  <c r="O70" i="6" s="1"/>
  <c r="O94" i="6"/>
  <c r="O30" i="6" l="1"/>
  <c r="O59" i="6"/>
  <c r="P64" i="6"/>
  <c r="O33" i="6" l="1"/>
  <c r="O34" i="6" s="1"/>
  <c r="O23" i="6" s="1"/>
  <c r="O81" i="6" s="1"/>
  <c r="O32" i="6"/>
  <c r="O22" i="6" s="1"/>
  <c r="O80" i="6" l="1"/>
  <c r="O85" i="6" s="1"/>
  <c r="O86" i="6" s="1"/>
  <c r="O88" i="6" s="1"/>
  <c r="O24" i="6"/>
  <c r="O35" i="6"/>
  <c r="O53" i="6" l="1"/>
  <c r="O58" i="6" s="1"/>
  <c r="O60" i="6" s="1"/>
  <c r="P21" i="6"/>
  <c r="P29" i="6"/>
  <c r="O38" i="6"/>
  <c r="O48" i="6" s="1"/>
  <c r="O89" i="6" l="1"/>
  <c r="O61" i="6"/>
  <c r="P87" i="6"/>
  <c r="P26" i="6"/>
  <c r="P12" i="6" s="1"/>
  <c r="P14" i="6" s="1"/>
  <c r="P15" i="6" l="1"/>
  <c r="P16" i="6" s="1"/>
  <c r="P73" i="6" l="1"/>
  <c r="P77" i="6" s="1"/>
  <c r="P18" i="6"/>
  <c r="P65" i="6"/>
  <c r="P70" i="6" s="1"/>
  <c r="P59" i="6" s="1"/>
  <c r="P94" i="6"/>
  <c r="P30" i="6" l="1"/>
  <c r="P33" i="6" l="1"/>
  <c r="P34" i="6" s="1"/>
  <c r="P23" i="6" s="1"/>
  <c r="P81" i="6" s="1"/>
  <c r="P32" i="6"/>
  <c r="P22" i="6" s="1"/>
  <c r="P35" i="6" l="1"/>
  <c r="P80" i="6"/>
  <c r="P85" i="6" s="1"/>
  <c r="P86" i="6" s="1"/>
  <c r="P88" i="6" s="1"/>
  <c r="P24" i="6"/>
  <c r="P38" i="6" l="1"/>
  <c r="D22" i="14" a="1"/>
  <c r="D22" i="14" s="1"/>
  <c r="F22" i="14" s="1"/>
  <c r="P53" i="6"/>
  <c r="P58" i="6" s="1"/>
  <c r="P60" i="6" s="1"/>
  <c r="D23" i="14"/>
  <c r="F23" i="14" s="1"/>
  <c r="P89" i="6"/>
  <c r="D21" i="14" l="1"/>
  <c r="F21" i="14" s="1"/>
  <c r="D285" i="27"/>
  <c r="P48" i="6"/>
  <c r="P61" i="6" s="1"/>
  <c r="D71" i="14" l="1" a="1"/>
  <c r="D71" i="14" s="1"/>
  <c r="F71" i="14" s="1"/>
  <c r="D20" i="14"/>
  <c r="F20" i="14" s="1"/>
  <c r="D284" i="27"/>
  <c r="D5" i="14" l="1"/>
  <c r="D6" i="14"/>
  <c r="D275" i="27" s="1"/>
  <c r="D7" i="14"/>
  <c r="D276" i="27" s="1"/>
  <c r="D274" i="27" l="1"/>
  <c r="D8" i="14"/>
  <c r="D277" i="2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sergio de santiago</author>
  </authors>
  <commentList>
    <comment ref="C13" authorId="0" shapeId="0" xr:uid="{894148E4-C763-47CB-ABFE-35317C834350}">
      <text>
        <r>
          <rPr>
            <b/>
            <sz val="9"/>
            <color indexed="81"/>
            <rFont val="Tahoma"/>
            <family val="2"/>
          </rPr>
          <t>sergio de santiago:</t>
        </r>
        <r>
          <rPr>
            <sz val="9"/>
            <color indexed="81"/>
            <rFont val="Tahoma"/>
            <family val="2"/>
          </rPr>
          <t xml:space="preserve">
Fuente: Yahoo Finance (fuente no oficial, último recurso), cierre Nasdaq 22/09/2026 = 198,27 $ (+4,04 sobre el cierre de 21/09 de 194,23 $), https://finance.yahoo.com/quote/QCOM/. La API de Nasdaq (api.nasdaq.com) no fue accesible y las páginas de nasdaq.com no devuelven datos sin JavaScript. CNBC confirma cierre previo 198,27 $.</t>
        </r>
      </text>
    </comment>
    <comment ref="D18" authorId="0" shapeId="0" xr:uid="{6DF4803A-5211-42B9-B67D-930D03BAB09A}">
      <text>
        <r>
          <rPr>
            <b/>
            <sz val="9"/>
            <color indexed="81"/>
            <rFont val="Tahoma"/>
            <family val="2"/>
          </rPr>
          <t>sergio de santiago:</t>
        </r>
        <r>
          <rPr>
            <sz val="9"/>
            <color indexed="81"/>
            <rFont val="Tahoma"/>
            <family val="2"/>
          </rPr>
          <t xml:space="preserve">
Segmentos (10-K FY2025 Nota 8 y MD&amp;A): FY24 IoT 5.423 + no reportables 176 + QSI 18; FY25 IoT 6.617 + no reportables 192 (Data Center, QGOV). Fuente: Qualcomm Form 10-K FY2025 (ejercicio cerrado 28/09/2025), archivo subido QCOM-09-28-25-FY2025-10-K-Final.pdf</t>
        </r>
      </text>
    </comment>
    <comment ref="F18" authorId="0" shapeId="0" xr:uid="{94C90ACD-A531-4D9E-84AE-8F6C37A50D2C}">
      <text>
        <r>
          <rPr>
            <b/>
            <sz val="9"/>
            <color indexed="81"/>
            <rFont val="Tahoma"/>
            <family val="2"/>
          </rPr>
          <t>sergio de santiago:</t>
        </r>
        <r>
          <rPr>
            <sz val="9"/>
            <color indexed="81"/>
            <rFont val="Tahoma"/>
            <family val="2"/>
          </rPr>
          <t xml:space="preserve">
9M FY26 IoT 5.244 + no reportables 353 (10-Q) + Q4E IoT 1.806 (plano vs Q4 FY25, guía) + otros 109 (cuadre al punto medio de ingresos 10.100). Fuente: SEC EDGAR, Qualcomm Form 10-Q Q3 FY2026 (trimestre cerrado 28/06/2026), https://www.sec.gov/Archives/edgar/data/804328/000080432826000086/qcom-20260628.htm | Q4E: guía Q4 FY26 de 29/07/2026 (punto medio), presentación de resultados Q3 FY26 y transcripción de la llamada (archivos subidos); nota de prensa https://www.sec.gov/Archives/edgar/data/804328/000080432826000085/qcom062826erex991.htm</t>
        </r>
      </text>
    </comment>
    <comment ref="D19" authorId="0" shapeId="0" xr:uid="{77C4673C-C03A-4D74-9FA1-CF80F8165D89}">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19" authorId="0" shapeId="0" xr:uid="{2EA5C9B1-DAF8-4BF0-B28C-F207EA88AF5B}">
      <text>
        <r>
          <rPr>
            <b/>
            <sz val="9"/>
            <color indexed="81"/>
            <rFont val="Tahoma"/>
            <family val="2"/>
          </rPr>
          <t>sergio de santiago:</t>
        </r>
        <r>
          <rPr>
            <sz val="9"/>
            <color indexed="81"/>
            <rFont val="Tahoma"/>
            <family val="2"/>
          </rPr>
          <t xml:space="preserve">
9M 18.934 (10-Q) + Q4E ~5.200 (guía handsets en la llamada). Fuente: SEC EDGAR, Qualcomm Form 10-Q Q3 FY2026 (trimestre cerrado 28/06/2026), https://www.sec.gov/Archives/edgar/data/804328/000080432826000086/qcom-20260628.htm | Q4E: guía Q4 FY26 de 29/07/2026 (punto medio), presentación de resultados Q3 FY26 y transcripción de la llamada (archivos subidos); nota de prensa https://www.sec.gov/Archives/edgar/data/804328/000080432826000085/qcom062826erex991.htm</t>
        </r>
      </text>
    </comment>
    <comment ref="D20" authorId="0" shapeId="0" xr:uid="{E7E2DB77-5CBA-4DAB-A52A-3DA8D1F50A75}">
      <text>
        <r>
          <rPr>
            <b/>
            <sz val="9"/>
            <color indexed="81"/>
            <rFont val="Tahoma"/>
            <family val="2"/>
          </rPr>
          <t>sergio de santiago:</t>
        </r>
        <r>
          <rPr>
            <sz val="9"/>
            <color indexed="81"/>
            <rFont val="Tahoma"/>
            <family val="2"/>
          </rPr>
          <t xml:space="preserve">
QTL 5.572 (FY24); FY25 QTL 5.582 + ingresos no asignados 143 (acuerdo de licencias Q2 FY25). Fuente: Qualcomm Form 10-K FY2025 (ejercicio cerrado 28/09/2025), archivo subido QCOM-09-28-25-FY2025-10-K-Final.pdf</t>
        </r>
      </text>
    </comment>
    <comment ref="F20" authorId="0" shapeId="0" xr:uid="{F5F3DDA0-60FB-48AA-803E-4F5F2FDD39A0}">
      <text>
        <r>
          <rPr>
            <b/>
            <sz val="9"/>
            <color indexed="81"/>
            <rFont val="Tahoma"/>
            <family val="2"/>
          </rPr>
          <t>sergio de santiago:</t>
        </r>
        <r>
          <rPr>
            <sz val="9"/>
            <color indexed="81"/>
            <rFont val="Tahoma"/>
            <family val="2"/>
          </rPr>
          <t xml:space="preserve">
9M 4.252 (10-Q) + Q4E 1.300 (punto medio guía QTL 1,2-1,4B). Fuente: SEC EDGAR, Qualcomm Form 10-Q Q3 FY2026 (trimestre cerrado 28/06/2026), https://www.sec.gov/Archives/edgar/data/804328/000080432826000086/qcom-20260628.htm | Q4E: guía Q4 FY26 de 29/07/2026 (punto medio), presentación de resultados Q3 FY26 y transcripción de la llamada (archivos subidos); nota de prensa https://www.sec.gov/Archives/edgar/data/804328/000080432826000085/qcom062826erex991.htm</t>
        </r>
      </text>
    </comment>
    <comment ref="D21" authorId="0" shapeId="0" xr:uid="{B4FA1F92-7AE6-4013-9938-16080DD1FC93}">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21" authorId="0" shapeId="0" xr:uid="{BAB14BA3-C1E7-4E7C-AAA5-443E17BFEF88}">
      <text>
        <r>
          <rPr>
            <b/>
            <sz val="9"/>
            <color indexed="81"/>
            <rFont val="Tahoma"/>
            <family val="2"/>
          </rPr>
          <t>sergio de santiago:</t>
        </r>
        <r>
          <rPr>
            <sz val="9"/>
            <color indexed="81"/>
            <rFont val="Tahoma"/>
            <family val="2"/>
          </rPr>
          <t xml:space="preserve">
9M 4.015 (10-Q) + Q4E 1.685 (= Q4 FY25 1.053 × 1,6; guía ~60% interanual). Fuente: SEC EDGAR, Qualcomm Form 10-Q Q3 FY2026 (trimestre cerrado 28/06/2026), https://www.sec.gov/Archives/edgar/data/804328/000080432826000086/qcom-20260628.htm | Q4E: guía Q4 FY26 de 29/07/2026 (punto medio), presentación de resultados Q3 FY26 y transcripción de la llamada (archivos subidos); nota de prensa https://www.sec.gov/Archives/edgar/data/804328/000080432826000085/qcom062826erex991.htm</t>
        </r>
      </text>
    </comment>
    <comment ref="D24" authorId="0" shapeId="0" xr:uid="{34B218C1-94CB-4576-8301-6C7C124CD3D6}">
      <text>
        <r>
          <rPr>
            <b/>
            <sz val="9"/>
            <color indexed="81"/>
            <rFont val="Tahoma"/>
            <family val="2"/>
          </rPr>
          <t>sergio de santiago:</t>
        </r>
        <r>
          <rPr>
            <sz val="9"/>
            <color indexed="81"/>
            <rFont val="Tahoma"/>
            <family val="2"/>
          </rPr>
          <t xml:space="preserve">
Coste de ingresos reportado 17.060 / 19.738 menos amortización de intangibles 311 / 321 (reclasificada a la fila 34). Fuente: Qualcomm Form 10-K FY2025 (ejercicio cerrado 28/09/2025), archivo subido QCOM-09-28-25-FY2025-10-K-Final.pdf</t>
        </r>
      </text>
    </comment>
    <comment ref="F24" authorId="0" shapeId="0" xr:uid="{D0484599-7FAC-422F-A826-1A79A5184C97}">
      <text>
        <r>
          <rPr>
            <b/>
            <sz val="9"/>
            <color indexed="81"/>
            <rFont val="Tahoma"/>
            <family val="2"/>
          </rPr>
          <t>sergio de santiago:</t>
        </r>
        <r>
          <rPr>
            <sz val="9"/>
            <color indexed="81"/>
            <rFont val="Tahoma"/>
            <family val="2"/>
          </rPr>
          <t xml:space="preserve">
Coste 9M 15.138 (10-Q) + Q4E 4.752 (margen bruto ~53% implícito en guía de BPA GAAP 1,32 × 1,08B acc., tipo 14%, gasto financiero neto 90) − amortización 331 (calendario 10-K). Fuente: SEC EDGAR, Qualcomm Form 10-Q Q3 FY2026 (trimestre cerrado 28/06/2026), https://www.sec.gov/Archives/edgar/data/804328/000080432826000086/qcom-20260628.htm | Q4E: guía Q4 FY26 de 29/07/2026 (punto medio), presentación de resultados Q3 FY26 y transcripción de la llamada (archivos subidos); nota de prensa https://www.sec.gov/Archives/edgar/data/804328/000080432826000085/qcom062826erex991.htm</t>
        </r>
      </text>
    </comment>
    <comment ref="D31" authorId="0" shapeId="0" xr:uid="{0D9A133C-BAB8-462D-B0C2-F4ED17AF6416}">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31" authorId="0" shapeId="0" xr:uid="{4B99357E-FCA3-4776-98C1-0113B63F5691}">
      <text>
        <r>
          <rPr>
            <b/>
            <sz val="9"/>
            <color indexed="81"/>
            <rFont val="Tahoma"/>
            <family val="2"/>
          </rPr>
          <t>sergio de santiago:</t>
        </r>
        <r>
          <rPr>
            <sz val="9"/>
            <color indexed="81"/>
            <rFont val="Tahoma"/>
            <family val="2"/>
          </rPr>
          <t xml:space="preserve">
SG&amp;A 9M 2.738 (10-Q) + Q4E 980 (guía opex GAAP I+D+SG&amp;A ~3.600). Fuente: SEC EDGAR, Qualcomm Form 10-Q Q3 FY2026 (trimestre cerrado 28/06/2026), https://www.sec.gov/Archives/edgar/data/804328/000080432826000086/qcom-20260628.htm | Q4E: guía Q4 FY26 de 29/07/2026 (punto medio), presentación de resultados Q3 FY26 y transcripción de la llamada (archivos subidos); nota de prensa https://www.sec.gov/Archives/edgar/data/804328/000080432826000085/qcom062826erex991.htm</t>
        </r>
      </text>
    </comment>
    <comment ref="D32" authorId="0" shapeId="0" xr:uid="{DEEB0CB6-92A2-4B09-B209-6017BE134975}">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32" authorId="0" shapeId="0" xr:uid="{C4727CB8-18D5-4BF3-8D6C-0B8D270F926C}">
      <text>
        <r>
          <rPr>
            <b/>
            <sz val="9"/>
            <color indexed="81"/>
            <rFont val="Tahoma"/>
            <family val="2"/>
          </rPr>
          <t>sergio de santiago:</t>
        </r>
        <r>
          <rPr>
            <sz val="9"/>
            <color indexed="81"/>
            <rFont val="Tahoma"/>
            <family val="2"/>
          </rPr>
          <t xml:space="preserve">
I+D 9M 7.523 (10-Q) + Q4E 2.620. Fuente: SEC EDGAR, Qualcomm Form 10-Q Q3 FY2026 (trimestre cerrado 28/06/2026), https://www.sec.gov/Archives/edgar/data/804328/000080432826000086/qcom-20260628.htm | Q4E: guía Q4 FY26 de 29/07/2026 (punto medio), presentación de resultados Q3 FY26 y transcripción de la llamada (archivos subidos); nota de prensa https://www.sec.gov/Archives/edgar/data/804328/000080432826000085/qcom062826erex991.htm</t>
        </r>
      </text>
    </comment>
    <comment ref="D34" authorId="0" shapeId="0" xr:uid="{FD80DFCA-CC1A-4685-B371-62B4348AD14E}">
      <text>
        <r>
          <rPr>
            <b/>
            <sz val="9"/>
            <color indexed="81"/>
            <rFont val="Tahoma"/>
            <family val="2"/>
          </rPr>
          <t>sergio de santiago:</t>
        </r>
        <r>
          <rPr>
            <sz val="9"/>
            <color indexed="81"/>
            <rFont val="Tahoma"/>
            <family val="2"/>
          </rPr>
          <t xml:space="preserve">
Amortización de intangibles: 311 (FY24), 321 (FY25); FY26 = 331 según calendario del 10-K (antes de Alphawave/Modular). Fuente: Qualcomm Form 10-K FY2025 (ejercicio cerrado 28/09/2025), archivo subido QCOM-09-28-25-FY2025-10-K-Final.pdf</t>
        </r>
      </text>
    </comment>
    <comment ref="D35" authorId="0" shapeId="0" xr:uid="{44AE08F4-0AE4-44F0-9391-127C162C10D4}">
      <text>
        <r>
          <rPr>
            <b/>
            <sz val="9"/>
            <color indexed="81"/>
            <rFont val="Tahoma"/>
            <family val="2"/>
          </rPr>
          <t>sergio de santiago:</t>
        </r>
        <r>
          <rPr>
            <sz val="9"/>
            <color indexed="81"/>
            <rFont val="Tahoma"/>
            <family val="2"/>
          </rPr>
          <t xml:space="preserve">
Partida 'Other' (Nota 2): reestructuración, deterioros, litigios. Fuente: Qualcomm Form 10-K FY2025 (ejercicio cerrado 28/09/2025), archivo subido QCOM-09-28-25-FY2025-10-K-Final.pdf</t>
        </r>
      </text>
    </comment>
    <comment ref="F35" authorId="0" shapeId="0" xr:uid="{D8D6CB9E-8E01-4448-AEFA-9BC66EE2DB3B}">
      <text>
        <r>
          <rPr>
            <b/>
            <sz val="9"/>
            <color indexed="81"/>
            <rFont val="Tahoma"/>
            <family val="2"/>
          </rPr>
          <t>sergio de santiago:</t>
        </r>
        <r>
          <rPr>
            <sz val="9"/>
            <color indexed="81"/>
            <rFont val="Tahoma"/>
            <family val="2"/>
          </rPr>
          <t xml:space="preserve">
9M 97 (10-Q) + Q4E 0. Fuente: SEC EDGAR, Qualcomm Form 10-Q Q3 FY2026 (trimestre cerrado 28/06/2026), https://www.sec.gov/Archives/edgar/data/804328/000080432826000086/qcom-20260628.htm</t>
        </r>
      </text>
    </comment>
    <comment ref="D40" authorId="0" shapeId="0" xr:uid="{A7BFF186-D026-46D1-99CD-827273272C46}">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40" authorId="0" shapeId="0" xr:uid="{1AF466BC-8323-4AFD-8C28-F4440587CA98}">
      <text>
        <r>
          <rPr>
            <b/>
            <sz val="9"/>
            <color indexed="81"/>
            <rFont val="Tahoma"/>
            <family val="2"/>
          </rPr>
          <t>sergio de santiago:</t>
        </r>
        <r>
          <rPr>
            <sz val="9"/>
            <color indexed="81"/>
            <rFont val="Tahoma"/>
            <family val="2"/>
          </rPr>
          <t xml:space="preserve">
9M 519 (10-Q) + Q4E 175. Fuente: SEC EDGAR, Qualcomm Form 10-Q Q3 FY2026 (trimestre cerrado 28/06/2026), https://www.sec.gov/Archives/edgar/data/804328/000080432826000086/qcom-20260628.htm</t>
        </r>
      </text>
    </comment>
    <comment ref="D41" authorId="0" shapeId="0" xr:uid="{21BC73D1-A6CC-417B-A2D2-8CF6930C2119}">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41" authorId="0" shapeId="0" xr:uid="{9986C3EC-6920-48C0-9984-B6EB320A1229}">
      <text>
        <r>
          <rPr>
            <b/>
            <sz val="9"/>
            <color indexed="81"/>
            <rFont val="Tahoma"/>
            <family val="2"/>
          </rPr>
          <t>sergio de santiago:</t>
        </r>
        <r>
          <rPr>
            <sz val="9"/>
            <color indexed="81"/>
            <rFont val="Tahoma"/>
            <family val="2"/>
          </rPr>
          <t xml:space="preserve">
9M 1.458 (10-Q, incl. plusvalías QSI por salidas a bolsa) + Q4E 85 (guía neto intereses e inversiones: gasto 90). Fuente: SEC EDGAR, Qualcomm Form 10-Q Q3 FY2026 (trimestre cerrado 28/06/2026), https://www.sec.gov/Archives/edgar/data/804328/000080432826000086/qcom-20260628.htm | Q4E: guía Q4 FY26 de 29/07/2026 (punto medio), presentación de resultados Q3 FY26 y transcripción de la llamada (archivos subidos); nota de prensa https://www.sec.gov/Archives/edgar/data/804328/000080432826000085/qcom062826erex991.htm</t>
        </r>
      </text>
    </comment>
    <comment ref="D43" authorId="0" shapeId="0" xr:uid="{1BD0C68D-D736-49AC-889C-9FDE2B854ED8}">
      <text>
        <r>
          <rPr>
            <b/>
            <sz val="9"/>
            <color indexed="81"/>
            <rFont val="Tahoma"/>
            <family val="2"/>
          </rPr>
          <t>sergio de santiago:</t>
        </r>
        <r>
          <rPr>
            <sz val="9"/>
            <color indexed="81"/>
            <rFont val="Tahoma"/>
            <family val="2"/>
          </rPr>
          <t xml:space="preserve">
FY25 incluye cargo no recurrente de ~5.700 por provisión de valoración sobre activos por impuesto diferido federales. Fuente: Qualcomm Form 10-K FY2025 (ejercicio cerrado 28/09/2025), archivo subido QCOM-09-28-25-FY2025-10-K-Final.pdf</t>
        </r>
      </text>
    </comment>
    <comment ref="F43" authorId="0" shapeId="0" xr:uid="{3DFA3355-B974-4297-886F-1F59D8B8E66E}">
      <text>
        <r>
          <rPr>
            <b/>
            <sz val="9"/>
            <color indexed="81"/>
            <rFont val="Tahoma"/>
            <family val="2"/>
          </rPr>
          <t>sergio de santiago:</t>
        </r>
        <r>
          <rPr>
            <sz val="9"/>
            <color indexed="81"/>
            <rFont val="Tahoma"/>
            <family val="2"/>
          </rPr>
          <t xml:space="preserve">
9M: beneficio fiscal 4.136 por liberación de 5.700 de provisión de valoración (Q2 FY26) (10-Q) + Q4E 232 (tipo GAAP 14% guía). Fuente: SEC EDGAR, Qualcomm Form 10-Q Q3 FY2026 (trimestre cerrado 28/06/2026), https://www.sec.gov/Archives/edgar/data/804328/000080432826000086/qcom-20260628.htm | Q4E: guía Q4 FY26 de 29/07/2026 (punto medio), presentación de resultados Q3 FY26 y transcripción de la llamada (archivos subidos); nota de prensa https://www.sec.gov/Archives/edgar/data/804328/000080432826000085/qcom062826erex991.htm</t>
        </r>
      </text>
    </comment>
    <comment ref="D48" authorId="0" shapeId="0" xr:uid="{D4334413-7881-4FF4-9C1F-B18049561568}">
      <text>
        <r>
          <rPr>
            <b/>
            <sz val="9"/>
            <color indexed="81"/>
            <rFont val="Tahoma"/>
            <family val="2"/>
          </rPr>
          <t>sergio de santiago:</t>
        </r>
        <r>
          <rPr>
            <sz val="9"/>
            <color indexed="81"/>
            <rFont val="Tahoma"/>
            <family val="2"/>
          </rPr>
          <t xml:space="preserve">
BPA de operaciones continuadas. Fuente: Qualcomm Form 10-K FY2025 (ejercicio cerrado 28/09/2025), archivo subido QCOM-09-28-25-FY2025-10-K-Final.pdf</t>
        </r>
      </text>
    </comment>
    <comment ref="F48" authorId="0" shapeId="0" xr:uid="{27EABBA5-D136-4C8E-8AD4-30AE3E51481F}">
      <text>
        <r>
          <rPr>
            <b/>
            <sz val="9"/>
            <color indexed="81"/>
            <rFont val="Tahoma"/>
            <family val="2"/>
          </rPr>
          <t>sergio de santiago:</t>
        </r>
        <r>
          <rPr>
            <sz val="9"/>
            <color indexed="81"/>
            <rFont val="Tahoma"/>
            <family val="2"/>
          </rPr>
          <t xml:space="preserve">
Beneficio neto FY26E (9M 12.377 + Q4E 1.426) / acciones básicas medias estimadas. Fuente: SEC EDGAR, Qualcomm Form 10-Q Q3 FY2026 (trimestre cerrado 28/06/2026), https://www.sec.gov/Archives/edgar/data/804328/000080432826000086/qcom-20260628.htm</t>
        </r>
      </text>
    </comment>
    <comment ref="D50" authorId="0" shapeId="0" xr:uid="{A9F75825-2EA8-4ABB-8FFA-3A79A6546D3D}">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50" authorId="0" shapeId="0" xr:uid="{97774793-BE3F-481C-BBB6-2FAF59F40A3D}">
      <text>
        <r>
          <rPr>
            <b/>
            <sz val="9"/>
            <color indexed="81"/>
            <rFont val="Tahoma"/>
            <family val="2"/>
          </rPr>
          <t>sergio de santiago:</t>
        </r>
        <r>
          <rPr>
            <sz val="9"/>
            <color indexed="81"/>
            <rFont val="Tahoma"/>
            <family val="2"/>
          </rPr>
          <t xml:space="preserve">
9M básicas 1.064 (10-Q); FY26E estimado 1.065. Diluidas: guía Q4 ~1,08B; FY26E 1.075. Fuente: SEC EDGAR, Qualcomm Form 10-Q Q3 FY2026 (trimestre cerrado 28/06/2026), https://www.sec.gov/Archives/edgar/data/804328/000080432826000086/qcom-20260628.htm | Q4E: guía Q4 FY26 de 29/07/2026 (punto medio), presentación de resultados Q3 FY26 y transcripción de la llamada (archivos subidos); nota de prensa https://www.sec.gov/Archives/edgar/data/804328/000080432826000085/qcom062826erex991.htm</t>
        </r>
      </text>
    </comment>
    <comment ref="E54" authorId="0" shapeId="0" xr:uid="{2146538B-6E8F-44A8-A30F-3096F8CB0865}">
      <text>
        <r>
          <rPr>
            <b/>
            <sz val="9"/>
            <color indexed="81"/>
            <rFont val="Tahoma"/>
            <family val="2"/>
          </rPr>
          <t>sergio de santiago:</t>
        </r>
        <r>
          <rPr>
            <sz val="9"/>
            <color indexed="81"/>
            <rFont val="Tahoma"/>
            <family val="2"/>
          </rPr>
          <t xml:space="preserve">
Caja 5.520 + caja restringida 2.323 (reservada para la compra de Alphawave, cerrada en FY26). Fuente: Qualcomm Form 10-K FY2025 (ejercicio cerrado 28/09/2025), archivo subido QCOM-09-28-25-FY2025-10-K-Final.pdf</t>
        </r>
      </text>
    </comment>
    <comment ref="F54" authorId="0" shapeId="0" xr:uid="{19942D48-4306-4B91-9A3E-23A56C5F43D3}">
      <text>
        <r>
          <rPr>
            <b/>
            <sz val="9"/>
            <color indexed="81"/>
            <rFont val="Tahoma"/>
            <family val="2"/>
          </rPr>
          <t>sergio de santiago:</t>
        </r>
        <r>
          <rPr>
            <sz val="9"/>
            <color indexed="81"/>
            <rFont val="Tahoma"/>
            <family val="2"/>
          </rPr>
          <t xml:space="preserve">
Caja y equivalentes; sin caja restringida a 28/06/2026. Fuente: SEC EDGAR, Qualcomm Form 10-Q Q3 FY2026 (balance a 28/06/2026), https://www.sec.gov/Archives/edgar/data/804328/000080432826000086/qcom-20260628.htm</t>
        </r>
      </text>
    </comment>
    <comment ref="E55" authorId="0" shapeId="0" xr:uid="{CB2DA0B2-7FA0-49A9-9FFE-12E426059833}">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55" authorId="0" shapeId="0" xr:uid="{F0C363ED-683F-4A37-987E-83198A113227}">
      <text>
        <r>
          <rPr>
            <b/>
            <sz val="9"/>
            <color indexed="81"/>
            <rFont val="Tahoma"/>
            <family val="2"/>
          </rPr>
          <t>sergio de santiago:</t>
        </r>
        <r>
          <rPr>
            <sz val="9"/>
            <color indexed="81"/>
            <rFont val="Tahoma"/>
            <family val="2"/>
          </rPr>
          <t xml:space="preserve">
Fuente: SEC EDGAR, Qualcomm Form 10-Q Q3 FY2026 (balance a 28/06/2026), https://www.sec.gov/Archives/edgar/data/804328/000080432826000086/qcom-20260628.htm</t>
        </r>
      </text>
    </comment>
    <comment ref="E56" authorId="0" shapeId="0" xr:uid="{948427C9-F0BD-4B3A-8CD5-67FB8C7A0B01}">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56" authorId="0" shapeId="0" xr:uid="{C1C65495-A52B-4FCD-86ED-35F745439724}">
      <text>
        <r>
          <rPr>
            <b/>
            <sz val="9"/>
            <color indexed="81"/>
            <rFont val="Tahoma"/>
            <family val="2"/>
          </rPr>
          <t>sergio de santiago:</t>
        </r>
        <r>
          <rPr>
            <sz val="9"/>
            <color indexed="81"/>
            <rFont val="Tahoma"/>
            <family val="2"/>
          </rPr>
          <t xml:space="preserve">
Fuente: SEC EDGAR, Qualcomm Form 10-Q Q3 FY2026 (balance a 28/06/2026), https://www.sec.gov/Archives/edgar/data/804328/000080432826000086/qcom-20260628.htm</t>
        </r>
      </text>
    </comment>
    <comment ref="E57" authorId="0" shapeId="0" xr:uid="{4FD65767-6686-4013-BC54-7E9F92CB103A}">
      <text>
        <r>
          <rPr>
            <b/>
            <sz val="9"/>
            <color indexed="81"/>
            <rFont val="Tahoma"/>
            <family val="2"/>
          </rPr>
          <t>sergio de santiago:</t>
        </r>
        <r>
          <rPr>
            <sz val="9"/>
            <color indexed="81"/>
            <rFont val="Tahoma"/>
            <family val="2"/>
          </rPr>
          <t xml:space="preserve">
Inventarios 6.526 + otros activos corrientes 2.435. Fuente: Qualcomm Form 10-K FY2025 (ejercicio cerrado 28/09/2025), archivo subido QCOM-09-28-25-FY2025-10-K-Final.pdf</t>
        </r>
      </text>
    </comment>
    <comment ref="F57" authorId="0" shapeId="0" xr:uid="{7AAC3281-D058-432D-85B7-3ACB5B67BC6D}">
      <text>
        <r>
          <rPr>
            <b/>
            <sz val="9"/>
            <color indexed="81"/>
            <rFont val="Tahoma"/>
            <family val="2"/>
          </rPr>
          <t>sergio de santiago:</t>
        </r>
        <r>
          <rPr>
            <sz val="9"/>
            <color indexed="81"/>
            <rFont val="Tahoma"/>
            <family val="2"/>
          </rPr>
          <t xml:space="preserve">
Inventarios 8.379 + otros activos corrientes 1.653. Fuente: SEC EDGAR, Qualcomm Form 10-Q Q3 FY2026 (balance a 28/06/2026), https://www.sec.gov/Archives/edgar/data/804328/000080432826000086/qcom-20260628.htm</t>
        </r>
      </text>
    </comment>
    <comment ref="E59" authorId="0" shapeId="0" xr:uid="{22E5816E-C15D-4081-9DA5-715A399914DF}">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59" authorId="0" shapeId="0" xr:uid="{949E383A-DA25-4BFC-BA45-E3E347E305DB}">
      <text>
        <r>
          <rPr>
            <b/>
            <sz val="9"/>
            <color indexed="81"/>
            <rFont val="Tahoma"/>
            <family val="2"/>
          </rPr>
          <t>sergio de santiago:</t>
        </r>
        <r>
          <rPr>
            <sz val="9"/>
            <color indexed="81"/>
            <rFont val="Tahoma"/>
            <family val="2"/>
          </rPr>
          <t xml:space="preserve">
Fuente: SEC EDGAR, Qualcomm Form 10-Q Q3 FY2026 (balance a 28/06/2026), https://www.sec.gov/Archives/edgar/data/804328/000080432826000086/qcom-20260628.htm</t>
        </r>
      </text>
    </comment>
    <comment ref="E60" authorId="0" shapeId="0" xr:uid="{2CA2AB30-2F71-45A5-A4BA-7EE372169710}">
      <text>
        <r>
          <rPr>
            <b/>
            <sz val="9"/>
            <color indexed="81"/>
            <rFont val="Tahoma"/>
            <family val="2"/>
          </rPr>
          <t>sergio de santiago:</t>
        </r>
        <r>
          <rPr>
            <sz val="9"/>
            <color indexed="81"/>
            <rFont val="Tahoma"/>
            <family val="2"/>
          </rPr>
          <t xml:space="preserve">
Activos por derecho de uso (leases operativos) incluidos en 'Other assets'; Nota de leases. Fuente: Qualcomm Form 10-K FY2025 (ejercicio cerrado 28/09/2025), archivo subido QCOM-09-28-25-FY2025-10-K-Final.pdf</t>
        </r>
      </text>
    </comment>
    <comment ref="F60" authorId="0" shapeId="0" xr:uid="{9AD960B7-176C-4908-9FFE-48FA6424DCBE}">
      <text>
        <r>
          <rPr>
            <b/>
            <sz val="9"/>
            <color indexed="81"/>
            <rFont val="Tahoma"/>
            <family val="2"/>
          </rPr>
          <t>sergio de santiago:</t>
        </r>
        <r>
          <rPr>
            <sz val="9"/>
            <color indexed="81"/>
            <rFont val="Tahoma"/>
            <family val="2"/>
          </rPr>
          <t xml:space="preserve">
ESTIMACIÓN: el 10-Q no desglosa el ROU; se mantiene el dato de 28/09/2025 (735) y se resta de otros activos. Fuente: SEC EDGAR, Qualcomm Form 10-Q Q3 FY2026 (balance a 28/06/2026), https://www.sec.gov/Archives/edgar/data/804328/000080432826000086/qcom-20260628.htm</t>
        </r>
      </text>
    </comment>
    <comment ref="E61" authorId="0" shapeId="0" xr:uid="{FD95C117-D5C7-4CA5-B829-BD3EF7EA10A9}">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61" authorId="0" shapeId="0" xr:uid="{D920B27B-E44B-41CE-8CC1-BE59850B7A0F}">
      <text>
        <r>
          <rPr>
            <b/>
            <sz val="9"/>
            <color indexed="81"/>
            <rFont val="Tahoma"/>
            <family val="2"/>
          </rPr>
          <t>sergio de santiago:</t>
        </r>
        <r>
          <rPr>
            <sz val="9"/>
            <color indexed="81"/>
            <rFont val="Tahoma"/>
            <family val="2"/>
          </rPr>
          <t xml:space="preserve">
Incluye Alphawave y Modular. Fuente: SEC EDGAR, Qualcomm Form 10-Q Q3 FY2026 (balance a 28/06/2026), https://www.sec.gov/Archives/edgar/data/804328/000080432826000086/qcom-20260628.htm</t>
        </r>
      </text>
    </comment>
    <comment ref="E62" authorId="0" shapeId="0" xr:uid="{08B689BD-3368-4CEA-B27D-DE2C0D5F336B}">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62" authorId="0" shapeId="0" xr:uid="{CFE444A8-E404-479A-9213-1686109E5341}">
      <text>
        <r>
          <rPr>
            <b/>
            <sz val="9"/>
            <color indexed="81"/>
            <rFont val="Tahoma"/>
            <family val="2"/>
          </rPr>
          <t>sergio de santiago:</t>
        </r>
        <r>
          <rPr>
            <sz val="9"/>
            <color indexed="81"/>
            <rFont val="Tahoma"/>
            <family val="2"/>
          </rPr>
          <t xml:space="preserve">
Aumento por liberación de la provisión de valoración (5.700) en Q2 FY26. Fuente: SEC EDGAR, Qualcomm Form 10-Q Q3 FY2026 (balance a 28/06/2026), https://www.sec.gov/Archives/edgar/data/804328/000080432826000086/qcom-20260628.htm</t>
        </r>
      </text>
    </comment>
    <comment ref="E63" authorId="0" shapeId="0" xr:uid="{1502642C-89FA-45ED-8F55-44AE2842B0B2}">
      <text>
        <r>
          <rPr>
            <b/>
            <sz val="9"/>
            <color indexed="81"/>
            <rFont val="Tahoma"/>
            <family val="2"/>
          </rPr>
          <t>sergio de santiago:</t>
        </r>
        <r>
          <rPr>
            <sz val="9"/>
            <color indexed="81"/>
            <rFont val="Tahoma"/>
            <family val="2"/>
          </rPr>
          <t xml:space="preserve">
Otros activos 6.450 − ROU 735 + intangibles netos 1.148. Fuente: Qualcomm Form 10-K FY2025 (ejercicio cerrado 28/09/2025), archivo subido QCOM-09-28-25-FY2025-10-K-Final.pdf</t>
        </r>
      </text>
    </comment>
    <comment ref="F63" authorId="0" shapeId="0" xr:uid="{C2CE7E14-878F-4B08-B531-463C3B8B6818}">
      <text>
        <r>
          <rPr>
            <b/>
            <sz val="9"/>
            <color indexed="81"/>
            <rFont val="Tahoma"/>
            <family val="2"/>
          </rPr>
          <t>sergio de santiago:</t>
        </r>
        <r>
          <rPr>
            <sz val="9"/>
            <color indexed="81"/>
            <rFont val="Tahoma"/>
            <family val="2"/>
          </rPr>
          <t xml:space="preserve">
Otros activos 7.683 − ROU 735 (est.) + intangibles netos 1.510. Fuente: SEC EDGAR, Qualcomm Form 10-Q Q3 FY2026 (balance a 28/06/2026), https://www.sec.gov/Archives/edgar/data/804328/000080432826000086/qcom-20260628.htm</t>
        </r>
      </text>
    </comment>
    <comment ref="E67" authorId="0" shapeId="0" xr:uid="{4E2A2FB0-A52A-4615-BBDF-8060C1DABEDA}">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67" authorId="0" shapeId="0" xr:uid="{EE459D16-5620-4DA4-A0A1-35A946A060D5}">
      <text>
        <r>
          <rPr>
            <b/>
            <sz val="9"/>
            <color indexed="81"/>
            <rFont val="Tahoma"/>
            <family val="2"/>
          </rPr>
          <t>sergio de santiago:</t>
        </r>
        <r>
          <rPr>
            <sz val="9"/>
            <color indexed="81"/>
            <rFont val="Tahoma"/>
            <family val="2"/>
          </rPr>
          <t xml:space="preserve">
Papel comercial 498 + tramo corriente de la deuda a largo plazo 1.991 (vence mayo 2027). Fuente: SEC EDGAR, Qualcomm Form 10-Q Q3 FY2026 (balance a 28/06/2026), https://www.sec.gov/Archives/edgar/data/804328/000080432826000086/qcom-20260628.htm</t>
        </r>
      </text>
    </comment>
    <comment ref="E68" authorId="0" shapeId="0" xr:uid="{63743DB5-27A6-4F3C-9657-3BA63A654F4E}">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68" authorId="0" shapeId="0" xr:uid="{E957193E-43DC-4C86-922A-AFC450C06937}">
      <text>
        <r>
          <rPr>
            <b/>
            <sz val="9"/>
            <color indexed="81"/>
            <rFont val="Tahoma"/>
            <family val="2"/>
          </rPr>
          <t>sergio de santiago:</t>
        </r>
        <r>
          <rPr>
            <sz val="9"/>
            <color indexed="81"/>
            <rFont val="Tahoma"/>
            <family val="2"/>
          </rPr>
          <t xml:space="preserve">
Fuente: SEC EDGAR, Qualcomm Form 10-Q Q3 FY2026 (balance a 28/06/2026), https://www.sec.gov/Archives/edgar/data/804328/000080432826000086/qcom-20260628.htm</t>
        </r>
      </text>
    </comment>
    <comment ref="E69" authorId="0" shapeId="0" xr:uid="{EE1062B6-D633-45FC-909B-7116EF9E2F83}">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69" authorId="0" shapeId="0" xr:uid="{064125A6-3A56-4082-A924-B1D861159C91}">
      <text>
        <r>
          <rPr>
            <b/>
            <sz val="9"/>
            <color indexed="81"/>
            <rFont val="Tahoma"/>
            <family val="2"/>
          </rPr>
          <t>sergio de santiago:</t>
        </r>
        <r>
          <rPr>
            <sz val="9"/>
            <color indexed="81"/>
            <rFont val="Tahoma"/>
            <family val="2"/>
          </rPr>
          <t xml:space="preserve">
Fuente: SEC EDGAR, Qualcomm Form 10-Q Q3 FY2026 (balance a 28/06/2026), https://www.sec.gov/Archives/edgar/data/804328/000080432826000086/qcom-20260628.htm</t>
        </r>
      </text>
    </comment>
    <comment ref="E70" authorId="0" shapeId="0" xr:uid="{2D179515-8D13-4B5A-895B-024AB8B81139}">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70" authorId="0" shapeId="0" xr:uid="{AB9277B9-C85F-4CCD-A4BD-C663EF5176EF}">
      <text>
        <r>
          <rPr>
            <b/>
            <sz val="9"/>
            <color indexed="81"/>
            <rFont val="Tahoma"/>
            <family val="2"/>
          </rPr>
          <t>sergio de santiago:</t>
        </r>
        <r>
          <rPr>
            <sz val="9"/>
            <color indexed="81"/>
            <rFont val="Tahoma"/>
            <family val="2"/>
          </rPr>
          <t xml:space="preserve">
Fuente: SEC EDGAR, Qualcomm Form 10-Q Q3 FY2026 (balance a 28/06/2026), https://www.sec.gov/Archives/edgar/data/804328/000080432826000086/qcom-20260628.htm</t>
        </r>
      </text>
    </comment>
    <comment ref="E71" authorId="0" shapeId="0" xr:uid="{9E97ECCF-0420-4F4A-8CD1-70B7A13C7514}">
      <text>
        <r>
          <rPr>
            <b/>
            <sz val="9"/>
            <color indexed="81"/>
            <rFont val="Tahoma"/>
            <family val="2"/>
          </rPr>
          <t>sergio de santiago:</t>
        </r>
        <r>
          <rPr>
            <sz val="9"/>
            <color indexed="81"/>
            <rFont val="Tahoma"/>
            <family val="2"/>
          </rPr>
          <t xml:space="preserve">
Incluye pasivo por leases operativos corriente 102. Fuente: Qualcomm Form 10-K FY2025 (ejercicio cerrado 28/09/2025), archivo subido QCOM-09-28-25-FY2025-10-K-Final.pdf</t>
        </r>
      </text>
    </comment>
    <comment ref="F71" authorId="0" shapeId="0" xr:uid="{FA1E125D-D6BD-4DFB-9D44-F4637FBF025C}">
      <text>
        <r>
          <rPr>
            <b/>
            <sz val="9"/>
            <color indexed="81"/>
            <rFont val="Tahoma"/>
            <family val="2"/>
          </rPr>
          <t>sergio de santiago:</t>
        </r>
        <r>
          <rPr>
            <sz val="9"/>
            <color indexed="81"/>
            <rFont val="Tahoma"/>
            <family val="2"/>
          </rPr>
          <t xml:space="preserve">
Fuente: SEC EDGAR, Qualcomm Form 10-Q Q3 FY2026 (balance a 28/06/2026), https://www.sec.gov/Archives/edgar/data/804328/000080432826000086/qcom-20260628.htm</t>
        </r>
      </text>
    </comment>
    <comment ref="E73" authorId="0" shapeId="0" xr:uid="{0196B400-6920-4C99-9F5F-54CADFAD5370}">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73" authorId="0" shapeId="0" xr:uid="{0A7EBB10-8771-4A4D-8D3C-5778CAD9F400}">
      <text>
        <r>
          <rPr>
            <b/>
            <sz val="9"/>
            <color indexed="81"/>
            <rFont val="Tahoma"/>
            <family val="2"/>
          </rPr>
          <t>sergio de santiago:</t>
        </r>
        <r>
          <rPr>
            <sz val="9"/>
            <color indexed="81"/>
            <rFont val="Tahoma"/>
            <family val="2"/>
          </rPr>
          <t xml:space="preserve">
Fuente: SEC EDGAR, Qualcomm Form 10-Q Q3 FY2026 (balance a 28/06/2026), https://www.sec.gov/Archives/edgar/data/804328/000080432826000086/qcom-20260628.htm</t>
        </r>
      </text>
    </comment>
    <comment ref="E75" authorId="0" shapeId="0" xr:uid="{FE21CC98-5319-4BA2-BF2E-39F9BE708A3C}">
      <text>
        <r>
          <rPr>
            <b/>
            <sz val="9"/>
            <color indexed="81"/>
            <rFont val="Tahoma"/>
            <family val="2"/>
          </rPr>
          <t>sergio de santiago:</t>
        </r>
        <r>
          <rPr>
            <sz val="9"/>
            <color indexed="81"/>
            <rFont val="Tahoma"/>
            <family val="2"/>
          </rPr>
          <t xml:space="preserve">
Pasivo por leases operativos no corriente, incluido en 'Other liabilities'. Fuente: Qualcomm Form 10-K FY2025 (ejercicio cerrado 28/09/2025), archivo subido QCOM-09-28-25-FY2025-10-K-Final.pdf</t>
        </r>
      </text>
    </comment>
    <comment ref="F75" authorId="0" shapeId="0" xr:uid="{405D36A6-6A84-4784-83E1-1FCFC0D07079}">
      <text>
        <r>
          <rPr>
            <b/>
            <sz val="9"/>
            <color indexed="81"/>
            <rFont val="Tahoma"/>
            <family val="2"/>
          </rPr>
          <t>sergio de santiago:</t>
        </r>
        <r>
          <rPr>
            <sz val="9"/>
            <color indexed="81"/>
            <rFont val="Tahoma"/>
            <family val="2"/>
          </rPr>
          <t xml:space="preserve">
ESTIMACIÓN: se mantiene el dato de 28/09/2025. Fuente: SEC EDGAR, Qualcomm Form 10-Q Q3 FY2026 (balance a 28/06/2026), https://www.sec.gov/Archives/edgar/data/804328/000080432826000086/qcom-20260628.htm</t>
        </r>
      </text>
    </comment>
    <comment ref="E76" authorId="0" shapeId="0" xr:uid="{E3A12315-463A-4201-BF33-4BAB7B781AFA}">
      <text>
        <r>
          <rPr>
            <b/>
            <sz val="9"/>
            <color indexed="81"/>
            <rFont val="Tahoma"/>
            <family val="2"/>
          </rPr>
          <t>sergio de santiago:</t>
        </r>
        <r>
          <rPr>
            <sz val="9"/>
            <color indexed="81"/>
            <rFont val="Tahoma"/>
            <family val="2"/>
          </rPr>
          <t xml:space="preserve">
Other liabilities 4.911 − leases 730 + ingresos diferidos no corrientes 71. Fuente: Qualcomm Form 10-K FY2025 (ejercicio cerrado 28/09/2025), archivo subido QCOM-09-28-25-FY2025-10-K-Final.pdf</t>
        </r>
      </text>
    </comment>
    <comment ref="F76" authorId="0" shapeId="0" xr:uid="{D6D5B2FF-C548-4721-AC91-D36760F7534F}">
      <text>
        <r>
          <rPr>
            <b/>
            <sz val="9"/>
            <color indexed="81"/>
            <rFont val="Tahoma"/>
            <family val="2"/>
          </rPr>
          <t>sergio de santiago:</t>
        </r>
        <r>
          <rPr>
            <sz val="9"/>
            <color indexed="81"/>
            <rFont val="Tahoma"/>
            <family val="2"/>
          </rPr>
          <t xml:space="preserve">
Other liabilities 5.434 − leases 730 (est.) + ingresos diferidos no corrientes 81. Fuente: SEC EDGAR, Qualcomm Form 10-Q Q3 FY2026 (balance a 28/06/2026), https://www.sec.gov/Archives/edgar/data/804328/000080432826000086/qcom-20260628.htm</t>
        </r>
      </text>
    </comment>
    <comment ref="E79" authorId="0" shapeId="0" xr:uid="{CBE69D0D-E12B-433F-A1CC-4E29FE95913D}">
      <text>
        <r>
          <rPr>
            <b/>
            <sz val="9"/>
            <color indexed="81"/>
            <rFont val="Tahoma"/>
            <family val="2"/>
          </rPr>
          <t>sergio de santiago:</t>
        </r>
        <r>
          <rPr>
            <sz val="9"/>
            <color indexed="81"/>
            <rFont val="Tahoma"/>
            <family val="2"/>
          </rPr>
          <t xml:space="preserve">
Capital social y prima = 0: las recompras se cargan contra la prima hasta agotarla. Fuente: Qualcomm Form 10-K FY2025 (ejercicio cerrado 28/09/2025), archivo subido QCOM-09-28-25-FY2025-10-K-Final.pdf</t>
        </r>
      </text>
    </comment>
    <comment ref="E80" authorId="0" shapeId="0" xr:uid="{22CE3D30-A52F-48BA-AC24-13F8DFAC90AC}">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80" authorId="0" shapeId="0" xr:uid="{81FF7B35-97BD-481D-B77F-8390A308A601}">
      <text>
        <r>
          <rPr>
            <b/>
            <sz val="9"/>
            <color indexed="81"/>
            <rFont val="Tahoma"/>
            <family val="2"/>
          </rPr>
          <t>sergio de santiago:</t>
        </r>
        <r>
          <rPr>
            <sz val="9"/>
            <color indexed="81"/>
            <rFont val="Tahoma"/>
            <family val="2"/>
          </rPr>
          <t xml:space="preserve">
Fuente: SEC EDGAR, Qualcomm Form 10-Q Q3 FY2026 (balance a 28/06/2026), https://www.sec.gov/Archives/edgar/data/804328/000080432826000086/qcom-20260628.htm</t>
        </r>
      </text>
    </comment>
    <comment ref="E81" authorId="0" shapeId="0" xr:uid="{12367426-BD03-456C-99EE-6C31E50F0D1E}">
      <text>
        <r>
          <rPr>
            <b/>
            <sz val="9"/>
            <color indexed="81"/>
            <rFont val="Tahoma"/>
            <family val="2"/>
          </rPr>
          <t>sergio de santiago:</t>
        </r>
        <r>
          <rPr>
            <sz val="9"/>
            <color indexed="81"/>
            <rFont val="Tahoma"/>
            <family val="2"/>
          </rPr>
          <t xml:space="preserve">
Fuente: Qualcomm Form 10-K FY2025 (ejercicio cerrado 28/09/2025), archivo subido QCOM-09-28-25-FY2025-10-K-Final.pdf</t>
        </r>
      </text>
    </comment>
    <comment ref="F81" authorId="0" shapeId="0" xr:uid="{1CB68D8F-65C6-4CE7-8100-EA397202EA42}">
      <text>
        <r>
          <rPr>
            <b/>
            <sz val="9"/>
            <color indexed="81"/>
            <rFont val="Tahoma"/>
            <family val="2"/>
          </rPr>
          <t>sergio de santiago:</t>
        </r>
        <r>
          <rPr>
            <sz val="9"/>
            <color indexed="81"/>
            <rFont val="Tahoma"/>
            <family val="2"/>
          </rPr>
          <t xml:space="preserve">
Fuente: SEC EDGAR, Qualcomm Form 10-Q Q3 FY2026 (balance a 28/06/2026), https://www.sec.gov/Archives/edgar/data/804328/000080432826000086/qcom-20260628.htm</t>
        </r>
      </text>
    </comment>
    <comment ref="D90" authorId="0" shapeId="0" xr:uid="{9EB56C77-F7AD-4B53-A84C-B3044746FF0D}">
      <text>
        <r>
          <rPr>
            <b/>
            <sz val="9"/>
            <color indexed="81"/>
            <rFont val="Tahoma"/>
            <family val="2"/>
          </rPr>
          <t>sergio de santiago:</t>
        </r>
        <r>
          <rPr>
            <sz val="9"/>
            <color indexed="81"/>
            <rFont val="Tahoma"/>
            <family val="2"/>
          </rPr>
          <t xml:space="preserve">
D&amp;A total 1.706 / 1.602 menos amortización de intangibles 311 / 321. Fuente: Qualcomm Form 10-K FY2025, estado de flujos de caja y notas, archivo subido QCOM-09-28-25-FY2025-10-K-Final.pdf</t>
        </r>
      </text>
    </comment>
    <comment ref="F90" authorId="0" shapeId="0" xr:uid="{9AAD03EA-30B5-47E9-861B-6802E14B743F}">
      <text>
        <r>
          <rPr>
            <b/>
            <sz val="9"/>
            <color indexed="81"/>
            <rFont val="Tahoma"/>
            <family val="2"/>
          </rPr>
          <t>sergio de santiago:</t>
        </r>
        <r>
          <rPr>
            <sz val="9"/>
            <color indexed="81"/>
            <rFont val="Tahoma"/>
            <family val="2"/>
          </rPr>
          <t xml:space="preserve">
ESTIMACIÓN: D&amp;A 9M 1.202 anualizada (×4/3) menos amortización 331. Fuente: SEC EDGAR, Qualcomm Form 10-Q Q3 FY2026 (9 meses a 28/06/2026), https://www.sec.gov/Archives/edgar/data/804328/000080432826000086/qcom-20260628.htm</t>
        </r>
      </text>
    </comment>
    <comment ref="D92" authorId="0" shapeId="0" xr:uid="{27045E23-2D1C-4CCA-AF23-0BF9C32A5FD1}">
      <text>
        <r>
          <rPr>
            <b/>
            <sz val="9"/>
            <color indexed="81"/>
            <rFont val="Tahoma"/>
            <family val="2"/>
          </rPr>
          <t>sergio de santiago:</t>
        </r>
        <r>
          <rPr>
            <sz val="9"/>
            <color indexed="81"/>
            <rFont val="Tahoma"/>
            <family val="2"/>
          </rPr>
          <t xml:space="preserve">
'Income tax provision in excess of (less than) income tax payments'. Fuente: Qualcomm Form 10-K FY2025, estado de flujos de caja y notas, archivo subido QCOM-09-28-25-FY2025-10-K-Final.pdf</t>
        </r>
      </text>
    </comment>
    <comment ref="F92" authorId="0" shapeId="0" xr:uid="{CB0777DC-181D-422F-8838-0A79DEA3B911}">
      <text>
        <r>
          <rPr>
            <b/>
            <sz val="9"/>
            <color indexed="81"/>
            <rFont val="Tahoma"/>
            <family val="2"/>
          </rPr>
          <t>sergio de santiago:</t>
        </r>
        <r>
          <rPr>
            <sz val="9"/>
            <color indexed="81"/>
            <rFont val="Tahoma"/>
            <family val="2"/>
          </rPr>
          <t xml:space="preserve">
9M: −5.550 (liberación de la provisión de valoración, no caja); Q4E 0. Fuente: SEC EDGAR, Qualcomm Form 10-Q Q3 FY2026 (9 meses a 28/06/2026), https://www.sec.gov/Archives/edgar/data/804328/000080432826000086/qcom-20260628.htm</t>
        </r>
      </text>
    </comment>
    <comment ref="D93" authorId="0" shapeId="0" xr:uid="{642EF8F4-CD47-458D-B0D0-A2BB31471869}">
      <text>
        <r>
          <rPr>
            <b/>
            <sz val="9"/>
            <color indexed="81"/>
            <rFont val="Tahoma"/>
            <family val="2"/>
          </rPr>
          <t>sergio de santiago:</t>
        </r>
        <r>
          <rPr>
            <sz val="9"/>
            <color indexed="81"/>
            <rFont val="Tahoma"/>
            <family val="2"/>
          </rPr>
          <t xml:space="preserve">
Fuente: Qualcomm Form 10-K FY2025, estado de flujos de caja y notas, archivo subido QCOM-09-28-25-FY2025-10-K-Final.pdf</t>
        </r>
      </text>
    </comment>
    <comment ref="F93" authorId="0" shapeId="0" xr:uid="{4F478612-ED34-4B0C-848A-17AECD0CFDDF}">
      <text>
        <r>
          <rPr>
            <b/>
            <sz val="9"/>
            <color indexed="81"/>
            <rFont val="Tahoma"/>
            <family val="2"/>
          </rPr>
          <t>sergio de santiago:</t>
        </r>
        <r>
          <rPr>
            <sz val="9"/>
            <color indexed="81"/>
            <rFont val="Tahoma"/>
            <family val="2"/>
          </rPr>
          <t xml:space="preserve">
9M 2.579 (10-Q) + Q4E 860 (ritmo trimestral; guía BPA SBC 0,72). Fuente: SEC EDGAR, Qualcomm Form 10-Q Q3 FY2026 (9 meses a 28/06/2026), https://www.sec.gov/Archives/edgar/data/804328/000080432826000086/qcom-20260628.htm</t>
        </r>
      </text>
    </comment>
    <comment ref="D94" authorId="0" shapeId="0" xr:uid="{1CDF53A2-B3B8-49F1-9BC7-EC61344DC462}">
      <text>
        <r>
          <rPr>
            <b/>
            <sz val="9"/>
            <color indexed="81"/>
            <rFont val="Tahoma"/>
            <family val="2"/>
          </rPr>
          <t>sergio de santiago:</t>
        </r>
        <r>
          <rPr>
            <sz val="9"/>
            <color indexed="81"/>
            <rFont val="Tahoma"/>
            <family val="2"/>
          </rPr>
          <t xml:space="preserve">
Plusvalías netas de valores, deterioros de inversiones, deterioros de activos y otros. Fuente: Qualcomm Form 10-K FY2025, estado de flujos de caja y notas, archivo subido QCOM-09-28-25-FY2025-10-K-Final.pdf</t>
        </r>
      </text>
    </comment>
    <comment ref="F94" authorId="0" shapeId="0" xr:uid="{8B06B90D-FA1E-4F31-8BE2-9BA78548A6DA}">
      <text>
        <r>
          <rPr>
            <b/>
            <sz val="9"/>
            <color indexed="81"/>
            <rFont val="Tahoma"/>
            <family val="2"/>
          </rPr>
          <t>sergio de santiago:</t>
        </r>
        <r>
          <rPr>
            <sz val="9"/>
            <color indexed="81"/>
            <rFont val="Tahoma"/>
            <family val="2"/>
          </rPr>
          <t xml:space="preserve">
9M: plusvalías −933, deterioros +61, resultado de participadas −149, otros −52. Fuente: SEC EDGAR, Qualcomm Form 10-Q Q3 FY2026 (9 meses a 28/06/2026), https://www.sec.gov/Archives/edgar/data/804328/000080432826000086/qcom-20260628.htm</t>
        </r>
      </text>
    </comment>
    <comment ref="D96" authorId="0" shapeId="0" xr:uid="{F64853DB-917B-4711-927B-75DBD7A76F84}">
      <text>
        <r>
          <rPr>
            <b/>
            <sz val="9"/>
            <color indexed="81"/>
            <rFont val="Tahoma"/>
            <family val="2"/>
          </rPr>
          <t>sergio de santiago:</t>
        </r>
        <r>
          <rPr>
            <sz val="9"/>
            <color indexed="81"/>
            <rFont val="Tahoma"/>
            <family val="2"/>
          </rPr>
          <t xml:space="preserve">
Incluye flujo de operaciones discontinuadas FY24 (−91). Fuente: Qualcomm Form 10-K FY2025, estado de flujos de caja y notas, archivo subido QCOM-09-28-25-FY2025-10-K-Final.pdf</t>
        </r>
      </text>
    </comment>
    <comment ref="F96" authorId="0" shapeId="0" xr:uid="{E17BE8C9-7A02-4439-8F55-0E277185AF47}">
      <text>
        <r>
          <rPr>
            <b/>
            <sz val="9"/>
            <color indexed="81"/>
            <rFont val="Tahoma"/>
            <family val="2"/>
          </rPr>
          <t>sergio de santiago:</t>
        </r>
        <r>
          <rPr>
            <sz val="9"/>
            <color indexed="81"/>
            <rFont val="Tahoma"/>
            <family val="2"/>
          </rPr>
          <t xml:space="preserve">
9M 8.405 (10-Q) + Q4E 2.687 (= beneficio Q4E 1.426 + D&amp;A 401 + SBC 860; circulante Q4 = 0). ESTIMACIÓN. Fuente: SEC EDGAR, Qualcomm Form 10-Q Q3 FY2026 (9 meses a 28/06/2026), https://www.sec.gov/Archives/edgar/data/804328/000080432826000086/qcom-20260628.htm</t>
        </r>
      </text>
    </comment>
    <comment ref="D98" authorId="0" shapeId="0" xr:uid="{27EC96FC-2C9C-465A-96F6-5D835C9A6DD6}">
      <text>
        <r>
          <rPr>
            <b/>
            <sz val="9"/>
            <color indexed="81"/>
            <rFont val="Tahoma"/>
            <family val="2"/>
          </rPr>
          <t>sergio de santiago:</t>
        </r>
        <r>
          <rPr>
            <sz val="9"/>
            <color indexed="81"/>
            <rFont val="Tahoma"/>
            <family val="2"/>
          </rPr>
          <t xml:space="preserve">
Fuente: Qualcomm Form 10-K FY2025, estado de flujos de caja y notas, archivo subido QCOM-09-28-25-FY2025-10-K-Final.pdf</t>
        </r>
      </text>
    </comment>
    <comment ref="F98" authorId="0" shapeId="0" xr:uid="{C869AED9-5CB1-4C19-A1A6-A1C7E8C69B2E}">
      <text>
        <r>
          <rPr>
            <b/>
            <sz val="9"/>
            <color indexed="81"/>
            <rFont val="Tahoma"/>
            <family val="2"/>
          </rPr>
          <t>sergio de santiago:</t>
        </r>
        <r>
          <rPr>
            <sz val="9"/>
            <color indexed="81"/>
            <rFont val="Tahoma"/>
            <family val="2"/>
          </rPr>
          <t xml:space="preserve">
9M 1.578 + Q4E 526 (ritmo 9M). Fuente: SEC EDGAR, Qualcomm Form 10-Q Q3 FY2026 (9 meses a 28/06/2026), https://www.sec.gov/Archives/edgar/data/804328/000080432826000086/qcom-20260628.htm</t>
        </r>
      </text>
    </comment>
    <comment ref="D99" authorId="0" shapeId="0" xr:uid="{C3C8E5BB-6F2C-4DCF-874E-496E1AA71067}">
      <text>
        <r>
          <rPr>
            <b/>
            <sz val="9"/>
            <color indexed="81"/>
            <rFont val="Tahoma"/>
            <family val="2"/>
          </rPr>
          <t>sergio de santiago:</t>
        </r>
        <r>
          <rPr>
            <sz val="9"/>
            <color indexed="81"/>
            <rFont val="Tahoma"/>
            <family val="2"/>
          </rPr>
          <t xml:space="preserve">
Compras de valores negociables + adquisiciones e inversiones. Fuente: Qualcomm Form 10-K FY2025, estado de flujos de caja y notas, archivo subido QCOM-09-28-25-FY2025-10-K-Final.pdf</t>
        </r>
      </text>
    </comment>
    <comment ref="F99" authorId="0" shapeId="0" xr:uid="{506C62B2-37E3-4E5B-9BF7-09F9F4F8C668}">
      <text>
        <r>
          <rPr>
            <b/>
            <sz val="9"/>
            <color indexed="81"/>
            <rFont val="Tahoma"/>
            <family val="2"/>
          </rPr>
          <t>sergio de santiago:</t>
        </r>
        <r>
          <rPr>
            <sz val="9"/>
            <color indexed="81"/>
            <rFont val="Tahoma"/>
            <family val="2"/>
          </rPr>
          <t xml:space="preserve">
9M: compras de valores 2.449 + adquisiciones (Alphawave) 1.573. No incluye el pago de Modular (Q4). Fuente: SEC EDGAR, Qualcomm Form 10-Q Q3 FY2026 (9 meses a 28/06/2026), https://www.sec.gov/Archives/edgar/data/804328/000080432826000086/qcom-20260628.htm</t>
        </r>
      </text>
    </comment>
    <comment ref="D100" authorId="0" shapeId="0" xr:uid="{C50A7EBC-D420-4C07-B685-6528F71A0236}">
      <text>
        <r>
          <rPr>
            <b/>
            <sz val="9"/>
            <color indexed="81"/>
            <rFont val="Tahoma"/>
            <family val="2"/>
          </rPr>
          <t>sergio de santiago:</t>
        </r>
        <r>
          <rPr>
            <sz val="9"/>
            <color indexed="81"/>
            <rFont val="Tahoma"/>
            <family val="2"/>
          </rPr>
          <t xml:space="preserve">
Fuente: Qualcomm Form 10-K FY2025, estado de flujos de caja y notas, archivo subido QCOM-09-28-25-FY2025-10-K-Final.pdf</t>
        </r>
      </text>
    </comment>
    <comment ref="F100" authorId="0" shapeId="0" xr:uid="{E4D7EEB8-E602-4BE0-8E13-2D47E82ED2B3}">
      <text>
        <r>
          <rPr>
            <b/>
            <sz val="9"/>
            <color indexed="81"/>
            <rFont val="Tahoma"/>
            <family val="2"/>
          </rPr>
          <t>sergio de santiago:</t>
        </r>
        <r>
          <rPr>
            <sz val="9"/>
            <color indexed="81"/>
            <rFont val="Tahoma"/>
            <family val="2"/>
          </rPr>
          <t xml:space="preserve">
Fuente: SEC EDGAR, Qualcomm Form 10-Q Q3 FY2026 (9 meses a 28/06/2026), https://www.sec.gov/Archives/edgar/data/804328/000080432826000086/qcom-20260628.htm</t>
        </r>
      </text>
    </comment>
    <comment ref="D102" authorId="0" shapeId="0" xr:uid="{30126BDD-4EB0-405C-8774-96DEC74C3545}">
      <text>
        <r>
          <rPr>
            <b/>
            <sz val="9"/>
            <color indexed="81"/>
            <rFont val="Tahoma"/>
            <family val="2"/>
          </rPr>
          <t>sergio de santiago:</t>
        </r>
        <r>
          <rPr>
            <sz val="9"/>
            <color indexed="81"/>
            <rFont val="Tahoma"/>
            <family val="2"/>
          </rPr>
          <t xml:space="preserve">
Fuente: Qualcomm Form 10-K FY2025, estado de flujos de caja y notas, archivo subido QCOM-09-28-25-FY2025-10-K-Final.pdf</t>
        </r>
      </text>
    </comment>
    <comment ref="F102" authorId="0" shapeId="0" xr:uid="{35BAA51E-E2DA-4ABA-B3FD-D479D9EE6D5F}">
      <text>
        <r>
          <rPr>
            <b/>
            <sz val="9"/>
            <color indexed="81"/>
            <rFont val="Tahoma"/>
            <family val="2"/>
          </rPr>
          <t>sergio de santiago:</t>
        </r>
        <r>
          <rPr>
            <sz val="9"/>
            <color indexed="81"/>
            <rFont val="Tahoma"/>
            <family val="2"/>
          </rPr>
          <t xml:space="preserve">
9M −1.648 + Q4E capex −526. Fuente: SEC EDGAR, Qualcomm Form 10-Q Q3 FY2026 (9 meses a 28/06/2026), https://www.sec.gov/Archives/edgar/data/804328/000080432826000086/qcom-20260628.htm</t>
        </r>
      </text>
    </comment>
    <comment ref="D104" authorId="0" shapeId="0" xr:uid="{C2C92000-61AF-4C8F-B9C2-8B714D012BFA}">
      <text>
        <r>
          <rPr>
            <b/>
            <sz val="9"/>
            <color indexed="81"/>
            <rFont val="Tahoma"/>
            <family val="2"/>
          </rPr>
          <t>sergio de santiago:</t>
        </r>
        <r>
          <rPr>
            <sz val="9"/>
            <color indexed="81"/>
            <rFont val="Tahoma"/>
            <family val="2"/>
          </rPr>
          <t xml:space="preserve">
Fuente: Qualcomm Form 10-K FY2025, estado de flujos de caja y notas, archivo subido QCOM-09-28-25-FY2025-10-K-Final.pdf</t>
        </r>
      </text>
    </comment>
    <comment ref="F104" authorId="0" shapeId="0" xr:uid="{DCA8F16F-16D6-4D0B-BB5F-FB6E735C98C7}">
      <text>
        <r>
          <rPr>
            <b/>
            <sz val="9"/>
            <color indexed="81"/>
            <rFont val="Tahoma"/>
            <family val="2"/>
          </rPr>
          <t>sergio de santiago:</t>
        </r>
        <r>
          <rPr>
            <sz val="9"/>
            <color indexed="81"/>
            <rFont val="Tahoma"/>
            <family val="2"/>
          </rPr>
          <t xml:space="preserve">
Fuente: SEC EDGAR, Qualcomm Form 10-Q Q3 FY2026 (9 meses a 28/06/2026), https://www.sec.gov/Archives/edgar/data/804328/000080432826000086/qcom-20260628.htm</t>
        </r>
      </text>
    </comment>
    <comment ref="D105" authorId="0" shapeId="0" xr:uid="{32283AAC-2DFF-4A0B-9C3C-67EDCF98BF33}">
      <text>
        <r>
          <rPr>
            <b/>
            <sz val="9"/>
            <color indexed="81"/>
            <rFont val="Tahoma"/>
            <family val="2"/>
          </rPr>
          <t>sergio de santiago:</t>
        </r>
        <r>
          <rPr>
            <sz val="9"/>
            <color indexed="81"/>
            <rFont val="Tahoma"/>
            <family val="2"/>
          </rPr>
          <t xml:space="preserve">
Fuente: Qualcomm Form 10-K FY2025, estado de flujos de caja y notas, archivo subido QCOM-09-28-25-FY2025-10-K-Final.pdf</t>
        </r>
      </text>
    </comment>
    <comment ref="F105" authorId="0" shapeId="0" xr:uid="{0A6C23B8-051C-44CE-9A62-801FB896271C}">
      <text>
        <r>
          <rPr>
            <b/>
            <sz val="9"/>
            <color indexed="81"/>
            <rFont val="Tahoma"/>
            <family val="2"/>
          </rPr>
          <t>sergio de santiago:</t>
        </r>
        <r>
          <rPr>
            <sz val="9"/>
            <color indexed="81"/>
            <rFont val="Tahoma"/>
            <family val="2"/>
          </rPr>
          <t xml:space="preserve">
9M 6.806 + Q4E 1.400 (ritmo de Q3). Fuente: SEC EDGAR, Qualcomm Form 10-Q Q3 FY2026 (9 meses a 28/06/2026), https://www.sec.gov/Archives/edgar/data/804328/000080432826000086/qcom-20260628.htm</t>
        </r>
      </text>
    </comment>
    <comment ref="D106" authorId="0" shapeId="0" xr:uid="{B8D8BD4A-98CC-43B8-951F-F99221216BFC}">
      <text>
        <r>
          <rPr>
            <b/>
            <sz val="9"/>
            <color indexed="81"/>
            <rFont val="Tahoma"/>
            <family val="2"/>
          </rPr>
          <t>sergio de santiago:</t>
        </r>
        <r>
          <rPr>
            <sz val="9"/>
            <color indexed="81"/>
            <rFont val="Tahoma"/>
            <family val="2"/>
          </rPr>
          <t xml:space="preserve">
Fuente: Qualcomm Form 10-K FY2025, estado de flujos de caja y notas, archivo subido QCOM-09-28-25-FY2025-10-K-Final.pdf</t>
        </r>
      </text>
    </comment>
    <comment ref="F106" authorId="0" shapeId="0" xr:uid="{A88A2E4B-9349-4052-838C-C7D9F703E9C3}">
      <text>
        <r>
          <rPr>
            <b/>
            <sz val="9"/>
            <color indexed="81"/>
            <rFont val="Tahoma"/>
            <family val="2"/>
          </rPr>
          <t>sergio de santiago:</t>
        </r>
        <r>
          <rPr>
            <sz val="9"/>
            <color indexed="81"/>
            <rFont val="Tahoma"/>
            <family val="2"/>
          </rPr>
          <t xml:space="preserve">
Fuente: SEC EDGAR, Qualcomm Form 10-Q Q3 FY2026 (9 meses a 28/06/2026), https://www.sec.gov/Archives/edgar/data/804328/000080432826000086/qcom-20260628.htm</t>
        </r>
      </text>
    </comment>
    <comment ref="D108" authorId="0" shapeId="0" xr:uid="{E25AA50B-EB50-4AD7-AF74-E6402F74F127}">
      <text>
        <r>
          <rPr>
            <b/>
            <sz val="9"/>
            <color indexed="81"/>
            <rFont val="Tahoma"/>
            <family val="2"/>
          </rPr>
          <t>sergio de santiago:</t>
        </r>
        <r>
          <rPr>
            <sz val="9"/>
            <color indexed="81"/>
            <rFont val="Tahoma"/>
            <family val="2"/>
          </rPr>
          <t xml:space="preserve">
Fuente: Qualcomm Form 10-K FY2025, estado de flujos de caja y notas, archivo subido QCOM-09-28-25-FY2025-10-K-Final.pdf</t>
        </r>
      </text>
    </comment>
    <comment ref="F108" authorId="0" shapeId="0" xr:uid="{8AB7A3D4-D938-4C0E-961E-7D1AA738CAE3}">
      <text>
        <r>
          <rPr>
            <b/>
            <sz val="9"/>
            <color indexed="81"/>
            <rFont val="Tahoma"/>
            <family val="2"/>
          </rPr>
          <t>sergio de santiago:</t>
        </r>
        <r>
          <rPr>
            <sz val="9"/>
            <color indexed="81"/>
            <rFont val="Tahoma"/>
            <family val="2"/>
          </rPr>
          <t xml:space="preserve">
9M 2.868 + Q4E 937 (dividendo de Q3). Fuente: SEC EDGAR, Qualcomm Form 10-Q Q3 FY2026 (9 meses a 28/06/2026), https://www.sec.gov/Archives/edgar/data/804328/000080432826000086/qcom-20260628.htm</t>
        </r>
      </text>
    </comment>
    <comment ref="E109" authorId="0" shapeId="0" xr:uid="{899CB798-0F49-42D6-8CEE-E31AE38E242C}">
      <text>
        <r>
          <rPr>
            <b/>
            <sz val="9"/>
            <color indexed="81"/>
            <rFont val="Tahoma"/>
            <family val="2"/>
          </rPr>
          <t>sergio de santiago:</t>
        </r>
        <r>
          <rPr>
            <sz val="9"/>
            <color indexed="81"/>
            <rFont val="Tahoma"/>
            <family val="2"/>
          </rPr>
          <t xml:space="preserve">
Emisiones y repagos de deuda a corto plazo se compensan (998 / −998). Fuente: Qualcomm Form 10-K FY2025, estado de flujos de caja y notas, archivo subido QCOM-09-28-25-FY2025-10-K-Final.pdf</t>
        </r>
      </text>
    </comment>
    <comment ref="F109" authorId="0" shapeId="0" xr:uid="{01F288C8-6AEE-4A14-A258-1A8935F348A1}">
      <text>
        <r>
          <rPr>
            <b/>
            <sz val="9"/>
            <color indexed="81"/>
            <rFont val="Tahoma"/>
            <family val="2"/>
          </rPr>
          <t>sergio de santiago:</t>
        </r>
        <r>
          <rPr>
            <sz val="9"/>
            <color indexed="81"/>
            <rFont val="Tahoma"/>
            <family val="2"/>
          </rPr>
          <t xml:space="preserve">
Emisión 3.238 − repago 2.743 de papel comercial. Fuente: SEC EDGAR, Qualcomm Form 10-Q Q3 FY2026 (9 meses a 28/06/2026), https://www.sec.gov/Archives/edgar/data/804328/000080432826000086/qcom-20260628.htm</t>
        </r>
      </text>
    </comment>
    <comment ref="E111" authorId="0" shapeId="0" xr:uid="{72F65097-135E-4521-8D7E-798BBBD1F583}">
      <text>
        <r>
          <rPr>
            <b/>
            <sz val="9"/>
            <color indexed="81"/>
            <rFont val="Tahoma"/>
            <family val="2"/>
          </rPr>
          <t>sergio de santiago:</t>
        </r>
        <r>
          <rPr>
            <sz val="9"/>
            <color indexed="81"/>
            <rFont val="Tahoma"/>
            <family val="2"/>
          </rPr>
          <t xml:space="preserve">
Fuente: Qualcomm Form 10-K FY2025, estado de flujos de caja y notas, archivo subido QCOM-09-28-25-FY2025-10-K-Final.pdf</t>
        </r>
      </text>
    </comment>
    <comment ref="D112" authorId="0" shapeId="0" xr:uid="{0D47EA98-8E21-444A-915A-BA3DADDA13E5}">
      <text>
        <r>
          <rPr>
            <b/>
            <sz val="9"/>
            <color indexed="81"/>
            <rFont val="Tahoma"/>
            <family val="2"/>
          </rPr>
          <t>sergio de santiago:</t>
        </r>
        <r>
          <rPr>
            <sz val="9"/>
            <color indexed="81"/>
            <rFont val="Tahoma"/>
            <family val="2"/>
          </rPr>
          <t xml:space="preserve">
Fuente: Qualcomm Form 10-K FY2025, estado de flujos de caja y notas, archivo subido QCOM-09-28-25-FY2025-10-K-Final.pdf</t>
        </r>
      </text>
    </comment>
    <comment ref="F112" authorId="0" shapeId="0" xr:uid="{29A00910-C2D5-45D5-BA52-C0BEFF8AAA8D}">
      <text>
        <r>
          <rPr>
            <b/>
            <sz val="9"/>
            <color indexed="81"/>
            <rFont val="Tahoma"/>
            <family val="2"/>
          </rPr>
          <t>sergio de santiago:</t>
        </r>
        <r>
          <rPr>
            <sz val="9"/>
            <color indexed="81"/>
            <rFont val="Tahoma"/>
            <family val="2"/>
          </rPr>
          <t xml:space="preserve">
Repago de deuda de la sociedad adquirida (Alphawave). Fuente: SEC EDGAR, Qualcomm Form 10-Q Q3 FY2026 (9 meses a 28/06/2026), https://www.sec.gov/Archives/edgar/data/804328/000080432826000086/qcom-20260628.htm</t>
        </r>
      </text>
    </comment>
    <comment ref="D113" authorId="0" shapeId="0" xr:uid="{102F1FA7-DA14-40FD-B329-F5AB7C48C5F2}">
      <text>
        <r>
          <rPr>
            <b/>
            <sz val="9"/>
            <color indexed="81"/>
            <rFont val="Tahoma"/>
            <family val="2"/>
          </rPr>
          <t>sergio de santiago:</t>
        </r>
        <r>
          <rPr>
            <sz val="9"/>
            <color indexed="81"/>
            <rFont val="Tahoma"/>
            <family val="2"/>
          </rPr>
          <t xml:space="preserve">
Otros + financiación de discontinuadas. Fuente: Qualcomm Form 10-K FY2025, estado de flujos de caja y notas, archivo subido QCOM-09-28-25-FY2025-10-K-Final.pdf</t>
        </r>
      </text>
    </comment>
    <comment ref="F113" authorId="0" shapeId="0" xr:uid="{8DF5E7F5-D093-47C9-BB61-59B149E838C2}">
      <text>
        <r>
          <rPr>
            <b/>
            <sz val="9"/>
            <color indexed="81"/>
            <rFont val="Tahoma"/>
            <family val="2"/>
          </rPr>
          <t>sergio de santiago:</t>
        </r>
        <r>
          <rPr>
            <sz val="9"/>
            <color indexed="81"/>
            <rFont val="Tahoma"/>
            <family val="2"/>
          </rPr>
          <t xml:space="preserve">
Fuente: SEC EDGAR, Qualcomm Form 10-Q Q3 FY2026 (9 meses a 28/06/2026), https://www.sec.gov/Archives/edgar/data/804328/000080432826000086/qcom-20260628.htm</t>
        </r>
      </text>
    </comment>
    <comment ref="E115" authorId="0" shapeId="0" xr:uid="{750E800B-609E-414C-BA29-4AA46C2E8677}">
      <text>
        <r>
          <rPr>
            <b/>
            <sz val="9"/>
            <color indexed="81"/>
            <rFont val="Tahoma"/>
            <family val="2"/>
          </rPr>
          <t>sergio de santiago:</t>
        </r>
        <r>
          <rPr>
            <sz val="9"/>
            <color indexed="81"/>
            <rFont val="Tahoma"/>
            <family val="2"/>
          </rPr>
          <t xml:space="preserve">
Fuente: Qualcomm Form 10-K FY2025, estado de flujos de caja y notas, archivo subido QCOM-09-28-25-FY2025-10-K-Final.pdf</t>
        </r>
      </text>
    </comment>
    <comment ref="F115" authorId="0" shapeId="0" xr:uid="{7EFA3D0C-5409-4719-A1BE-BA34AE3704C7}">
      <text>
        <r>
          <rPr>
            <b/>
            <sz val="9"/>
            <color indexed="81"/>
            <rFont val="Tahoma"/>
            <family val="2"/>
          </rPr>
          <t>sergio de santiago:</t>
        </r>
        <r>
          <rPr>
            <sz val="9"/>
            <color indexed="81"/>
            <rFont val="Tahoma"/>
            <family val="2"/>
          </rPr>
          <t xml:space="preserve">
9M −10.046 (10-Q) + Q4E −2.337 (recompras 1.400 + dividendos 937). Fuente: SEC EDGAR, Qualcomm Form 10-Q Q3 FY2026 (9 meses a 28/06/2026), https://www.sec.gov/Archives/edgar/data/804328/000080432826000086/qcom-20260628.htm</t>
        </r>
      </text>
    </comment>
    <comment ref="E121" authorId="0" shapeId="0" xr:uid="{EE7E68B1-E2FF-4CAB-B3A4-D1DA97F2C6FD}">
      <text>
        <r>
          <rPr>
            <b/>
            <sz val="9"/>
            <color indexed="81"/>
            <rFont val="Tahoma"/>
            <family val="2"/>
          </rPr>
          <t>sergio de santiago:</t>
        </r>
        <r>
          <rPr>
            <sz val="9"/>
            <color indexed="81"/>
            <rFont val="Tahoma"/>
            <family val="2"/>
          </rPr>
          <t xml:space="preserve">
Deuda a largo plazo 14.811; sin deuda a corto plazo. Fuente: Qualcomm Form 10-K FY2025, archivo subido QCOM-09-28-25-FY2025-10-K-Final.pdf</t>
        </r>
      </text>
    </comment>
    <comment ref="F121" authorId="0" shapeId="0" xr:uid="{F02490F3-E399-491C-9682-98B39D20C0C1}">
      <text>
        <r>
          <rPr>
            <b/>
            <sz val="9"/>
            <color indexed="81"/>
            <rFont val="Tahoma"/>
            <family val="2"/>
          </rPr>
          <t>sergio de santiago:</t>
        </r>
        <r>
          <rPr>
            <sz val="9"/>
            <color indexed="81"/>
            <rFont val="Tahoma"/>
            <family val="2"/>
          </rPr>
          <t xml:space="preserve">
Papel comercial 498 + tramo corriente 1.991 + largo plazo 12.781. Fuente: SEC EDGAR, Qualcomm Form 10-Q Q3 FY2026, https://www.sec.gov/Archives/edgar/data/804328/000080432826000086/qcom-20260628.htm</t>
        </r>
      </text>
    </comment>
    <comment ref="E124" authorId="0" shapeId="0" xr:uid="{4C95CD69-BD9C-4FD8-BB4E-85322FC2D83D}">
      <text>
        <r>
          <rPr>
            <b/>
            <sz val="9"/>
            <color indexed="81"/>
            <rFont val="Tahoma"/>
            <family val="2"/>
          </rPr>
          <t>sergio de santiago:</t>
        </r>
        <r>
          <rPr>
            <sz val="9"/>
            <color indexed="81"/>
            <rFont val="Tahoma"/>
            <family val="2"/>
          </rPr>
          <t xml:space="preserve">
Pasivo total por leases operativos: 102 corriente + 730 no corriente. Fuente: Qualcomm Form 10-K FY2025, archivo subido QCOM-09-28-25-FY2025-10-K-Final.pdf</t>
        </r>
      </text>
    </comment>
    <comment ref="F124" authorId="0" shapeId="0" xr:uid="{BCDB05C7-96BB-460A-B7B2-663FD0C434BF}">
      <text>
        <r>
          <rPr>
            <b/>
            <sz val="9"/>
            <color indexed="81"/>
            <rFont val="Tahoma"/>
            <family val="2"/>
          </rPr>
          <t>sergio de santiago:</t>
        </r>
        <r>
          <rPr>
            <sz val="9"/>
            <color indexed="81"/>
            <rFont val="Tahoma"/>
            <family val="2"/>
          </rPr>
          <t xml:space="preserve">
ESTIMACIÓN: se mantiene el dato de 28/09/2025 (el 10-Q no lo desglosa). Fuente: SEC EDGAR, Qualcomm Form 10-Q Q3 FY2026, https://www.sec.gov/Archives/edgar/data/804328/000080432826000086/qcom-20260628.htm</t>
        </r>
      </text>
    </comment>
    <comment ref="E125" authorId="0" shapeId="0" xr:uid="{3ECD7530-23B1-45A5-8240-0F81F3ECBCBB}">
      <text>
        <r>
          <rPr>
            <b/>
            <sz val="9"/>
            <color indexed="81"/>
            <rFont val="Tahoma"/>
            <family val="2"/>
          </rPr>
          <t>sergio de santiago:</t>
        </r>
        <r>
          <rPr>
            <sz val="9"/>
            <color indexed="81"/>
            <rFont val="Tahoma"/>
            <family val="2"/>
          </rPr>
          <t xml:space="preserve">
ESTIMACIÓN: el 10-K no publica el tipo; ~5% implícito (pagos futuros 1.095 frente a pasivo 832, plazo medio 8 años). Solo informativo. Fuente: Qualcomm Form 10-K FY2025, archivo subido QCOM-09-28-25-FY2025-10-K-Final.pdf</t>
        </r>
      </text>
    </comment>
    <comment ref="D126" authorId="0" shapeId="0" xr:uid="{0F08A225-303F-420E-BA0C-77E01A644BD4}">
      <text>
        <r>
          <rPr>
            <b/>
            <sz val="9"/>
            <color indexed="81"/>
            <rFont val="Tahoma"/>
            <family val="2"/>
          </rPr>
          <t>sergio de santiago:</t>
        </r>
        <r>
          <rPr>
            <sz val="9"/>
            <color indexed="81"/>
            <rFont val="Tahoma"/>
            <family val="2"/>
          </rPr>
          <t xml:space="preserve">
Gasto por leases operativos (184 en FY24 y FY25) como aproximación de los pagos. Fuente: Qualcomm Form 10-K FY2025, archivo subido QCOM-09-28-25-FY2025-10-K-Final.pdf</t>
        </r>
      </text>
    </comment>
    <comment ref="F128" authorId="0" shapeId="0" xr:uid="{39AF159E-6C1D-4B0A-847E-942878610C41}">
      <text>
        <r>
          <rPr>
            <b/>
            <sz val="9"/>
            <color indexed="81"/>
            <rFont val="Tahoma"/>
            <family val="2"/>
          </rPr>
          <t>sergio de santiago:</t>
        </r>
        <r>
          <rPr>
            <sz val="9"/>
            <color indexed="81"/>
            <rFont val="Tahoma"/>
            <family val="2"/>
          </rPr>
          <t xml:space="preserve">
Investor Day 2026 / Q3 FY26: ingresos no-handset de QCT de 40.000 en FY2029 (Auto 10.000, IoT 14.000+, Data Center 15.000+). Fuente: presentación de resultados Q3 FY26 (29/07/2026) y transcripción de la llamada, archivos subidos</t>
        </r>
      </text>
    </comment>
    <comment ref="E129" authorId="0" shapeId="0" xr:uid="{4C57CCC6-BF3D-40A9-97E8-D238D66C3033}">
      <text>
        <r>
          <rPr>
            <b/>
            <sz val="9"/>
            <color indexed="81"/>
            <rFont val="Tahoma"/>
            <family val="2"/>
          </rPr>
          <t>sergio de santiago:</t>
        </r>
        <r>
          <rPr>
            <sz val="9"/>
            <color indexed="81"/>
            <rFont val="Tahoma"/>
            <family val="2"/>
          </rPr>
          <t xml:space="preserve">
1.074 acciones emitidas y en circulación a 28/09/2025. Fuente: Qualcomm Form 10-K FY2025, archivo subido QCOM-09-28-25-FY2025-10-K-Final.pdf</t>
        </r>
      </text>
    </comment>
    <comment ref="F129" authorId="0" shapeId="0" xr:uid="{31F4421A-9DDC-44B0-8C80-C111504D0CBB}">
      <text>
        <r>
          <rPr>
            <b/>
            <sz val="9"/>
            <color indexed="81"/>
            <rFont val="Tahoma"/>
            <family val="2"/>
          </rPr>
          <t>sergio de santiago:</t>
        </r>
        <r>
          <rPr>
            <sz val="9"/>
            <color indexed="81"/>
            <rFont val="Tahoma"/>
            <family val="2"/>
          </rPr>
          <t xml:space="preserve">
1.057 acciones emitidas y en circulación a 28/06/2026. Fuente: SEC EDGAR, Qualcomm Form 10-Q Q3 FY2026, https://www.sec.gov/Archives/edgar/data/804328/000080432826000086/qcom-20260628.htm</t>
        </r>
      </text>
    </comment>
    <comment ref="F132" authorId="0" shapeId="0" xr:uid="{BE5436F4-DD2D-4386-8BD3-9546C4FD7D23}">
      <text>
        <r>
          <rPr>
            <b/>
            <sz val="9"/>
            <color indexed="81"/>
            <rFont val="Tahoma"/>
            <family val="2"/>
          </rPr>
          <t>sergio de santiago:</t>
        </r>
        <r>
          <rPr>
            <sz val="9"/>
            <color indexed="81"/>
            <rFont val="Tahoma"/>
            <family val="2"/>
          </rPr>
          <t xml:space="preserve">
3,75 M de acciones consolidadas al emitir el warrant. Fuente: Qualcomm Form 8-K de 03/09/2026 (Item 3.02, warrant a Amazon), archivo subido 40cf6f46-15e4-4ce9-8cf0-bb5c59529e44.pdf</t>
        </r>
      </text>
    </comment>
    <comment ref="F133" authorId="0" shapeId="0" xr:uid="{C14CFF68-3D50-4280-A2BD-701A284B406B}">
      <text>
        <r>
          <rPr>
            <b/>
            <sz val="9"/>
            <color indexed="81"/>
            <rFont val="Tahoma"/>
            <family val="2"/>
          </rPr>
          <t>sergio de santiago:</t>
        </r>
        <r>
          <rPr>
            <sz val="9"/>
            <color indexed="81"/>
            <rFont val="Tahoma"/>
            <family val="2"/>
          </rPr>
          <t xml:space="preserve">
Fuente: Qualcomm Form 8-K de 03/09/2026 (Item 3.02, warrant a Amazon), archivo subido 40cf6f46-15e4-4ce9-8cf0-bb5c59529e44.pdf</t>
        </r>
      </text>
    </comment>
    <comment ref="F134" authorId="0" shapeId="0" xr:uid="{37DD9A25-818E-4BAB-BD87-1712F80ADE67}">
      <text>
        <r>
          <rPr>
            <b/>
            <sz val="9"/>
            <color indexed="81"/>
            <rFont val="Tahoma"/>
            <family val="2"/>
          </rPr>
          <t>sergio de santiago:</t>
        </r>
        <r>
          <rPr>
            <sz val="9"/>
            <color indexed="81"/>
            <rFont val="Tahoma"/>
            <family val="2"/>
          </rPr>
          <t xml:space="preserve">
Hasta 25 M de acciones; vence 03/09/2036. Fuente: Qualcomm Form 8-K de 03/09/2026 (Item 3.02, warrant a Amazon), archivo subido 40cf6f46-15e4-4ce9-8cf0-bb5c59529e44.pdf</t>
        </r>
      </text>
    </comment>
    <comment ref="F135" authorId="0" shapeId="0" xr:uid="{8197C733-94A7-49B7-B6C2-1B5CBD5D1FE4}">
      <text>
        <r>
          <rPr>
            <b/>
            <sz val="9"/>
            <color indexed="81"/>
            <rFont val="Tahoma"/>
            <family val="2"/>
          </rPr>
          <t>sergio de santiago:</t>
        </r>
        <r>
          <rPr>
            <sz val="9"/>
            <color indexed="81"/>
            <rFont val="Tahoma"/>
            <family val="2"/>
          </rPr>
          <t xml:space="preserve">
Inversiones por el método de participación 163 + inversiones no cotizadas 1.379−163 = 1.216 a 28/09/2025 (último dato auditado). Su rendimiento está excluido del FCFF, por eso se suman en el puente. Fuente: Qualcomm Form 10-K FY2025, archivo subido QCOM-09-28-25-FY2025-10-K-Final.pdf</t>
        </r>
      </text>
    </comment>
    <comment ref="F136" authorId="0" shapeId="0" xr:uid="{4E95665F-8CE6-449E-930B-4DCF96617B7F}">
      <text>
        <r>
          <rPr>
            <b/>
            <sz val="9"/>
            <color indexed="81"/>
            <rFont val="Tahoma"/>
            <family val="2"/>
          </rPr>
          <t>sergio de santiago:</t>
        </r>
        <r>
          <rPr>
            <sz val="9"/>
            <color indexed="81"/>
            <rFont val="Tahoma"/>
            <family val="2"/>
          </rPr>
          <t xml:space="preserve">
Tipo efectivo non-GAAP anual FY26 estimado del 13%. Fuente: presentación de resultados Q3 FY26 (29/07/2026) y transcripción de la llamada, archivos subidos</t>
        </r>
      </text>
    </comment>
    <comment ref="F138" authorId="0" shapeId="0" xr:uid="{009FAA8B-F3DF-45AC-9102-6D2D423FF5E9}">
      <text>
        <r>
          <rPr>
            <b/>
            <sz val="9"/>
            <color indexed="81"/>
            <rFont val="Tahoma"/>
            <family val="2"/>
          </rPr>
          <t>sergio de santiago:</t>
        </r>
        <r>
          <rPr>
            <sz val="9"/>
            <color indexed="81"/>
            <rFont val="Tahoma"/>
            <family val="2"/>
          </rPr>
          <t xml:space="preserve">
Fuente: SEC EDGAR, 10-Q Q3 FY26 (Nota 8, Acquisitions): cierre de Modular el 28/07/2026 por ~3.100 M$, pagado principalmente con 18 M de acciones nuevas (incl. 4 M sujetas a servicio de 4 años). No afecta a la deuda neta; sí a las acciones. https://www.sec.gov/Archives/edgar/data/804328/000080432826000086/qcom-20260628.htm</t>
        </r>
      </text>
    </comment>
    <comment ref="D194" authorId="0" shapeId="0" xr:uid="{9A985A54-8C72-46D1-920F-EEA3E0B7D4A0}">
      <text>
        <r>
          <rPr>
            <b/>
            <sz val="9"/>
            <color indexed="81"/>
            <rFont val="Tahoma"/>
            <family val="2"/>
          </rPr>
          <t>sergio de santiago:</t>
        </r>
        <r>
          <rPr>
            <sz val="9"/>
            <color indexed="81"/>
            <rFont val="Tahoma"/>
            <family val="2"/>
          </rPr>
          <t xml:space="preserve">
Hipótesis del analista: el ROIC operativo proyectado (con fondo de comercio) sube al ~60% en FY2036E; el 30% terminal asume erosión competitiva a largo plazo (tasa de reinversión terminal = g/ROIC = 10%).</t>
        </r>
      </text>
    </comment>
    <comment ref="D207" authorId="0" shapeId="0" xr:uid="{65116AA6-B471-4390-A2C7-248D1BECC0B3}">
      <text>
        <r>
          <rPr>
            <b/>
            <sz val="9"/>
            <color indexed="81"/>
            <rFont val="Tahoma"/>
            <family val="2"/>
          </rPr>
          <t>sergio de santiago:</t>
        </r>
        <r>
          <rPr>
            <sz val="9"/>
            <color indexed="81"/>
            <rFont val="Tahoma"/>
            <family val="2"/>
          </rPr>
          <t xml:space="preserve">
Fuente: U.S. Department of the Treasury, Daily Treasury Par Yield Curve Rates, 10 años = 4,96% (22/09/2026; también 4,96% el 21/09), https://home.treasury.gov/resource-center/data-chart-center/interest-rates/TextView?field_tdr_date_value=2026&amp;type=daily_treasury_yield_curve. Contraste: FRED DGS10 21/09/2026 = 4,96%.</t>
        </r>
      </text>
    </comment>
    <comment ref="D208" authorId="0" shapeId="0" xr:uid="{E87D3C19-9FB6-4876-8645-8DEC8E90B128}">
      <text>
        <r>
          <rPr>
            <b/>
            <sz val="9"/>
            <color indexed="81"/>
            <rFont val="Tahoma"/>
            <family val="2"/>
          </rPr>
          <t>sergio de santiago:</t>
        </r>
        <r>
          <rPr>
            <sz val="9"/>
            <color indexed="81"/>
            <rFont val="Tahoma"/>
            <family val="2"/>
          </rPr>
          <t xml:space="preserve">
Fuente: Aswath Damodaran (NYU Stern), ERP implícita del S&amp;P 500 a 01/01/2026 = 4,23% sobre el bono del Tesoro, https://pages.stern.nyu.edu/~adamodar/New_Home_Page/datafile/histimpl.html. No hay fuente oficial (gubernamental) para la ERP; el dato mensual de septiembre 2026 no fue accesible.</t>
        </r>
      </text>
    </comment>
    <comment ref="D210" authorId="0" shapeId="0" xr:uid="{04386C60-C46B-4A7B-9CDD-6333D7AB0190}">
      <text>
        <r>
          <rPr>
            <b/>
            <sz val="9"/>
            <color indexed="81"/>
            <rFont val="Tahoma"/>
            <family val="2"/>
          </rPr>
          <t>sergio de santiago:</t>
        </r>
        <r>
          <rPr>
            <sz val="9"/>
            <color indexed="81"/>
            <rFont val="Tahoma"/>
            <family val="2"/>
          </rPr>
          <t xml:space="preserve">
Fuente: Yahoo Finance (no oficial, último recurso), Beta (5Y Monthly) = 1,68, consultado 23/09/2026, https://finance.yahoo.com/quote/QCOM/. Nasdaq no publica beta y su API no fue accesible. Contraste: CNBC 1,66. Beta de regresión frente al S&amp;P 500; el libro la desapalanca y reapalanca.</t>
        </r>
      </text>
    </comment>
    <comment ref="D211" authorId="0" shapeId="0" xr:uid="{C3F8E873-6C8A-4E9F-BE21-4DD338A0CE18}">
      <text>
        <r>
          <rPr>
            <b/>
            <sz val="9"/>
            <color indexed="81"/>
            <rFont val="Tahoma"/>
            <family val="2"/>
          </rPr>
          <t>sergio de santiago:</t>
        </r>
        <r>
          <rPr>
            <sz val="9"/>
            <color indexed="81"/>
            <rFont val="Tahoma"/>
            <family val="2"/>
          </rPr>
          <t xml:space="preserve">
Deuda financiera (28/06/2026) / capitalización (acciones a 28/06/2026 × precio C13).</t>
        </r>
      </text>
    </comment>
    <comment ref="D212" authorId="0" shapeId="0" xr:uid="{BFF3EB43-58CF-49CF-B024-CC7D86A6E755}">
      <text>
        <r>
          <rPr>
            <b/>
            <sz val="9"/>
            <color indexed="81"/>
            <rFont val="Tahoma"/>
            <family val="2"/>
          </rPr>
          <t>sergio de santiago:</t>
        </r>
        <r>
          <rPr>
            <sz val="9"/>
            <color indexed="81"/>
            <rFont val="Tahoma"/>
            <family val="2"/>
          </rPr>
          <t xml:space="preserve">
Fuente: ICE BofA Single-A US Corporate Index Effective Yield (BAMLC0A3CAEY), FRED – Federal Reserve Bank of St. Louis, 21/09/2026 = 5,55%, https://fred.stlouisfed.org/series/BAMLC0A3CAEY. Proxy del coste marginal de deuda para un emisor con rating A (Qualcomm: A2/A según agencias, no verificado en filings). Referencia: notas mayo-2025 a 10 años emitidas al 5,00% (10-K FY2025, Nota 6).</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<sst xmlns="http://schemas.openxmlformats.org/spreadsheetml/2006/main" count="3512" uniqueCount="2161">
  <si>
    <t>#</t>
  </si>
  <si>
    <t>Bloque de datos</t>
  </si>
  <si>
    <t>Partidas cubiertas</t>
  </si>
  <si>
    <t>Fuente</t>
  </si>
  <si>
    <t>Documento</t>
  </si>
  <si>
    <t>URL</t>
  </si>
  <si>
    <t>Fecha presentación</t>
  </si>
  <si>
    <t>Periodo</t>
  </si>
  <si>
    <t>Moneda</t>
  </si>
  <si>
    <t>Unidades</t>
  </si>
  <si>
    <t>Reportado / Ajustado</t>
  </si>
  <si>
    <t>Histórico / Estimación</t>
  </si>
  <si>
    <t>Cuenta de resultados</t>
  </si>
  <si>
    <t>SEC EDGAR</t>
  </si>
  <si>
    <t>USD</t>
  </si>
  <si>
    <t>Millones</t>
  </si>
  <si>
    <t>Reportado</t>
  </si>
  <si>
    <t>Histórico</t>
  </si>
  <si>
    <t>Balance</t>
  </si>
  <si>
    <t>Estado de flujos de caja</t>
  </si>
  <si>
    <t>Detalle de deuda</t>
  </si>
  <si>
    <t>Arrendamientos</t>
  </si>
  <si>
    <t>Impuestos</t>
  </si>
  <si>
    <t>%</t>
  </si>
  <si>
    <t>—</t>
  </si>
  <si>
    <t>Precio de cotización actual</t>
  </si>
  <si>
    <t>Por acción</t>
  </si>
  <si>
    <t>Input</t>
  </si>
  <si>
    <t>Input de mercado</t>
  </si>
  <si>
    <t>Proyecciones FY2027–FY2036</t>
  </si>
  <si>
    <t>Hipótesis del analista</t>
  </si>
  <si>
    <t>FY2027–FY2036</t>
  </si>
  <si>
    <t>Hipótesis</t>
  </si>
  <si>
    <t>Estimación</t>
  </si>
  <si>
    <t>ADVERTENCIAS DE CALIDAD DEL DATO</t>
  </si>
  <si>
    <t>W1</t>
  </si>
  <si>
    <t>W2</t>
  </si>
  <si>
    <t>W3</t>
  </si>
  <si>
    <t>W4</t>
  </si>
  <si>
    <t>W5</t>
  </si>
  <si>
    <t>W6</t>
  </si>
  <si>
    <t>Partida</t>
  </si>
  <si>
    <t>Unidad</t>
  </si>
  <si>
    <t>FY2024A</t>
  </si>
  <si>
    <t>FY2025A</t>
  </si>
  <si>
    <t>CUENTA DE RESULTADOS</t>
  </si>
  <si>
    <t>$M</t>
  </si>
  <si>
    <t>Ingresos totales</t>
  </si>
  <si>
    <t>Coste total de los ingresos</t>
  </si>
  <si>
    <t>Margen bruto (Gross Profit)</t>
  </si>
  <si>
    <t xml:space="preserve">  Gross Margin</t>
  </si>
  <si>
    <t xml:space="preserve">  Ventas y marketing</t>
  </si>
  <si>
    <t xml:space="preserve">  Investigación y desarrollo</t>
  </si>
  <si>
    <t xml:space="preserve">  Amortización de intangibles</t>
  </si>
  <si>
    <t>Gastos operativos totales</t>
  </si>
  <si>
    <t>EBIT (resultado operativo) reportado</t>
  </si>
  <si>
    <t xml:space="preserve">  EBIT Margin reportado</t>
  </si>
  <si>
    <t xml:space="preserve">  Gasto por intereses</t>
  </si>
  <si>
    <t xml:space="preserve">  Resultado no operativo, neto</t>
  </si>
  <si>
    <t>Beneficio antes de impuestos</t>
  </si>
  <si>
    <t xml:space="preserve">  Impuesto sobre sociedades</t>
  </si>
  <si>
    <t xml:space="preserve">  Tipo impositivo efectivo</t>
  </si>
  <si>
    <t>Beneficio neto</t>
  </si>
  <si>
    <t xml:space="preserve">  Dividendos de acciones preferentes</t>
  </si>
  <si>
    <t>Beneficio neto atribuible a ordinarias</t>
  </si>
  <si>
    <t xml:space="preserve">  BPA básico</t>
  </si>
  <si>
    <t>$/acc</t>
  </si>
  <si>
    <t xml:space="preserve">  BPA diluido</t>
  </si>
  <si>
    <t xml:space="preserve">  Acciones medias básicas</t>
  </si>
  <si>
    <t>M acc</t>
  </si>
  <si>
    <t xml:space="preserve">  Acciones medias diluidas</t>
  </si>
  <si>
    <t>BALANCE (a cierre de ejercicio)</t>
  </si>
  <si>
    <t xml:space="preserve">  Caja y equivalentes</t>
  </si>
  <si>
    <t xml:space="preserve">  Valores negociables</t>
  </si>
  <si>
    <t xml:space="preserve">  Clientes, neto</t>
  </si>
  <si>
    <t xml:space="preserve">  Gastos anticipados y otros activos corrientes</t>
  </si>
  <si>
    <t>Total activo corriente</t>
  </si>
  <si>
    <t xml:space="preserve">  Inmovilizado material (PP&amp;E), neto</t>
  </si>
  <si>
    <t xml:space="preserve">  Activos por derecho de uso — leases operativos</t>
  </si>
  <si>
    <t xml:space="preserve">  Fondo de comercio</t>
  </si>
  <si>
    <t xml:space="preserve">  Activos por impuesto diferido</t>
  </si>
  <si>
    <t xml:space="preserve">  Otros activos no corrientes</t>
  </si>
  <si>
    <t>Total activo no corriente</t>
  </si>
  <si>
    <t>TOTAL ACTIVO</t>
  </si>
  <si>
    <t xml:space="preserve">  Deuda financiera corriente</t>
  </si>
  <si>
    <t xml:space="preserve">  Proveedores</t>
  </si>
  <si>
    <t xml:space="preserve">  Remuneraciones y cargas pendientes</t>
  </si>
  <si>
    <t xml:space="preserve">  Ingresos diferidos corrientes</t>
  </si>
  <si>
    <t xml:space="preserve">  Otros pasivos corrientes</t>
  </si>
  <si>
    <t>Total pasivo corriente</t>
  </si>
  <si>
    <t xml:space="preserve">  Deuda financiera no corriente</t>
  </si>
  <si>
    <t xml:space="preserve">  Impuestos a pagar no corrientes</t>
  </si>
  <si>
    <t xml:space="preserve">  Pasivo por leases operativos no corriente</t>
  </si>
  <si>
    <t xml:space="preserve">  Otros pasivos no corrientes</t>
  </si>
  <si>
    <t>Total pasivo no corriente</t>
  </si>
  <si>
    <t xml:space="preserve">  Capital social y prima de emisión</t>
  </si>
  <si>
    <t xml:space="preserve">  Resultados acumulados (déficit)</t>
  </si>
  <si>
    <t xml:space="preserve">  Otro resultado global acumulado</t>
  </si>
  <si>
    <t xml:space="preserve">  Intereses minoritarios</t>
  </si>
  <si>
    <t>Total patrimonio neto</t>
  </si>
  <si>
    <t>TOTAL PASIVO Y PATRIMONIO</t>
  </si>
  <si>
    <t>CHECK: Activo − Pasivo y Patrimonio (debe ser 0)</t>
  </si>
  <si>
    <t>ESTADO DE FLUJOS DE CAJA</t>
  </si>
  <si>
    <t xml:space="preserve">  Beneficio neto</t>
  </si>
  <si>
    <t xml:space="preserve">  Depreciación</t>
  </si>
  <si>
    <t xml:space="preserve">  Impuestos diferidos</t>
  </si>
  <si>
    <t xml:space="preserve">  Retribución basada en acciones (SBC)</t>
  </si>
  <si>
    <t xml:space="preserve">  Resultados de inversiones y otros, neto</t>
  </si>
  <si>
    <t xml:space="preserve">  Variación de circulante y otras partidas operativas (derivado)</t>
  </si>
  <si>
    <t>FLUJO DE CAJA OPERATIVO (CFO) — reportado</t>
  </si>
  <si>
    <t xml:space="preserve">  Capex (adquisición de inmovilizado)</t>
  </si>
  <si>
    <t xml:space="preserve">  Compras de inversiones y adquisiciones</t>
  </si>
  <si>
    <t xml:space="preserve">  Cobros por ventas y vencimientos de inversiones</t>
  </si>
  <si>
    <t xml:space="preserve">  Otros de inversión (derivado)</t>
  </si>
  <si>
    <t>FLUJO DE CAJA DE INVERSIÓN (CFI) — reportado</t>
  </si>
  <si>
    <t xml:space="preserve">  Emisión de acciones ordinarias</t>
  </si>
  <si>
    <t xml:space="preserve">  Recompra de acciones ordinarias</t>
  </si>
  <si>
    <t xml:space="preserve">  Acciones retenidas por impuestos en el vesting</t>
  </si>
  <si>
    <t xml:space="preserve">  Dividendos pagados</t>
  </si>
  <si>
    <t xml:space="preserve">  Papel comercial, neto</t>
  </si>
  <si>
    <t xml:space="preserve">  Financiación a corto plazo ligada a capex, neto</t>
  </si>
  <si>
    <t xml:space="preserve">  Emisión de deuda a largo plazo y préstamos</t>
  </si>
  <si>
    <t xml:space="preserve">  Repago de deuda</t>
  </si>
  <si>
    <t xml:space="preserve">  Otros de financiación, neto</t>
  </si>
  <si>
    <t>FLUJO DE CAJA DE FINANCIACIÓN (CFF) — calculado</t>
  </si>
  <si>
    <t xml:space="preserve">  CFF reportado en el 10-K</t>
  </si>
  <si>
    <t>CHECK: CFF calculado − CFF reportado (debe ser 0)</t>
  </si>
  <si>
    <t>Variación neta de caja (CFO+CFI+CFF)</t>
  </si>
  <si>
    <t xml:space="preserve">  Deuda financiera total (senior notes y otros préstamos)</t>
  </si>
  <si>
    <t xml:space="preserve">  CHECK: deuda total − (corriente + no corriente) del balance</t>
  </si>
  <si>
    <t xml:space="preserve">  Pasivo total por leases financieros</t>
  </si>
  <si>
    <t xml:space="preserve">  Pasivo total por leases operativos</t>
  </si>
  <si>
    <t xml:space="preserve">  Tipo de descuento medio ponderado de leases</t>
  </si>
  <si>
    <t xml:space="preserve">  Pagos de leases operativos</t>
  </si>
  <si>
    <t xml:space="preserve">  Pagos de leases financieros (principal + intereses)</t>
  </si>
  <si>
    <t xml:space="preserve">  Acciones ordinarias en circulación a cierre</t>
  </si>
  <si>
    <t>RATIOS Y DIAGNÓSTICO</t>
  </si>
  <si>
    <t xml:space="preserve">  Crecimiento de ingresos</t>
  </si>
  <si>
    <t xml:space="preserve">  D&amp;A total (depreciación + amortización intangibles)</t>
  </si>
  <si>
    <t xml:space="preserve">  EBITDA Margin</t>
  </si>
  <si>
    <t xml:space="preserve">  EBIT normalizado (excluye reestructuración)</t>
  </si>
  <si>
    <t xml:space="preserve">  EBIT Margin normalizado</t>
  </si>
  <si>
    <t xml:space="preserve">  Capex</t>
  </si>
  <si>
    <t xml:space="preserve">  Capex / Ingresos</t>
  </si>
  <si>
    <t xml:space="preserve">  Capex / D&amp;A</t>
  </si>
  <si>
    <t>x</t>
  </si>
  <si>
    <t xml:space="preserve">  FCF simple (CFO − Capex)</t>
  </si>
  <si>
    <t xml:space="preserve">  SBC / Ingresos</t>
  </si>
  <si>
    <t xml:space="preserve">  DSO (días de cobro)</t>
  </si>
  <si>
    <t>días</t>
  </si>
  <si>
    <t xml:space="preserve">  Proveedores / (coste ingresos + capex)</t>
  </si>
  <si>
    <t xml:space="preserve">  Ingresos diferidos corrientes / Ingresos</t>
  </si>
  <si>
    <t xml:space="preserve">  Deuda neta (deuda + leases fin. − caja − valores)</t>
  </si>
  <si>
    <t xml:space="preserve">  Deuda neta / EBITDA</t>
  </si>
  <si>
    <t xml:space="preserve">  NOPAT normalizado (EBIT norm. × (1 − tipo efectivo))</t>
  </si>
  <si>
    <t xml:space="preserve">  Cobertura de intereses (EBIT norm. / intereses)</t>
  </si>
  <si>
    <t>NORMALIZACIÓN — DECISIONES DE TRATAMIENTO (justificación económica obligatoria)</t>
  </si>
  <si>
    <t>FY2026 ($M)</t>
  </si>
  <si>
    <t>¿Se elimina del EBIT?</t>
  </si>
  <si>
    <t>¿Se normaliza?</t>
  </si>
  <si>
    <t>Tratamiento en el DCF</t>
  </si>
  <si>
    <t>Justificación económica</t>
  </si>
  <si>
    <t>Sí</t>
  </si>
  <si>
    <t>Amortización de intangibles adquiridos</t>
  </si>
  <si>
    <t>No</t>
  </si>
  <si>
    <t>Parcial</t>
  </si>
  <si>
    <t>Retribución basada en acciones (SBC)</t>
  </si>
  <si>
    <t>Se MANTIENE como gasto operativo real. No se readiciona. No se aplica dilución adicional por SBC futuro</t>
  </si>
  <si>
    <t>Resultado no operativo, neto</t>
  </si>
  <si>
    <t>n/a</t>
  </si>
  <si>
    <t>Se EXCLUYE del FCFF por completo</t>
  </si>
  <si>
    <t>Impuestos diferidos</t>
  </si>
  <si>
    <t>Leases operativos</t>
  </si>
  <si>
    <t>Tratados como OPERATIVOS: el coste está en el EBIT y el pasivo NO se añade a la deuda neta</t>
  </si>
  <si>
    <t>Bajo ASC 842 el coste del lease operativo es un gasto operativo único en el EBIT. Tratamiento consistente y sin doble cómputo. La alternativa (como deuda) exigiría reconstruir el EBIT; ver impacto cuantificado en '11 Cross Check'.</t>
  </si>
  <si>
    <t>Leases financieros</t>
  </si>
  <si>
    <t>Tratados como DEUDA: el pasivo SÍ se añade a la deuda neta</t>
  </si>
  <si>
    <t>El interés va a gasto financiero y la amortización del ROU a D&amp;A, por lo que el EBIT ya está antes del coste financiero. Es deuda a todos los efectos.</t>
  </si>
  <si>
    <t>Intereses minoritarios</t>
  </si>
  <si>
    <t>Fondo de comercio</t>
  </si>
  <si>
    <t>No se modela ni se amortiza; no entra en el FCFF</t>
  </si>
  <si>
    <t>No es un gasto en caja ni un activo operativo consumible. Solo relevante si hubiera deterioro, que se trataría como no recurrente.</t>
  </si>
  <si>
    <t>Capitalización de I+D</t>
  </si>
  <si>
    <t>No aplicada</t>
  </si>
  <si>
    <t>I+D se mantiene como gasto del periodo</t>
  </si>
  <si>
    <t>PANEL DE ESCENARIOS — BEAR / BASE / BULL</t>
  </si>
  <si>
    <t>Este panel gobierna TODO el modelo. Cambiar C4 recalcula operativo, tres estados, DCF, valor terminal y valor por acción.</t>
  </si>
  <si>
    <t>ESCENARIO ACTIVO  (1 = Bear, 2 = Base, 3 = Bull)</t>
  </si>
  <si>
    <t>Escenario activo (nombre)</t>
  </si>
  <si>
    <t>DESPLAZAMIENTOS POR ESCENARIO — se aplican sobre el vector Base de '02 Assumptions'</t>
  </si>
  <si>
    <t>Driver</t>
  </si>
  <si>
    <t>Bear</t>
  </si>
  <si>
    <t>Base</t>
  </si>
  <si>
    <t>Bull</t>
  </si>
  <si>
    <t>Activo</t>
  </si>
  <si>
    <t>pp</t>
  </si>
  <si>
    <t>Delta al crecimiento del resto de ingresos</t>
  </si>
  <si>
    <t>Delta al Gross Margin</t>
  </si>
  <si>
    <t>Delta a los gastos operativos sobre ingresos</t>
  </si>
  <si>
    <t>Multiplicador de Capex / Ingresos</t>
  </si>
  <si>
    <t>Delta a los días de cobro (DSO)</t>
  </si>
  <si>
    <t>Delta al tipo impositivo de caja</t>
  </si>
  <si>
    <t>Delta al crecimiento terminal</t>
  </si>
  <si>
    <t>Delta al WACC</t>
  </si>
  <si>
    <t>COHERENCIA INTERNA DE LOS ESCENARIOS (regla: ningún escenario mejora todos los drivers a la vez)</t>
  </si>
  <si>
    <t>Menos crecimiento y menos margen, pero MÁS capex por unidad de ingreso (capacidad ya comprometida que no se llena), peor circulante, más impuestos, menor crecimiento terminal y mayor coste de capital.</t>
  </si>
  <si>
    <t>Más crecimiento y más margen con MENOS capex por unidad de ingreso (mejor utilización de la capacidad instalada), mejor circulante, menos impuestos, algo más de crecimiento terminal y menor coste de capital.</t>
  </si>
  <si>
    <t>Regla</t>
  </si>
  <si>
    <t>El apalancamiento operativo es lo que conecta ingresos y márgenes: en Bear la caída de ingresos sobre una base de costes fijos y depreciación ya comprometida comprime el margen más que proporcionalmente. Por eso el delta de margen y el de crecimiento van en el mismo sentido.</t>
  </si>
  <si>
    <t>RESULTADO POR ESCENARIO (se actualiza al cambiar C4; para comparar los tres hay que recorrer 1, 2 y 3)</t>
  </si>
  <si>
    <t>Métrica</t>
  </si>
  <si>
    <t>Valor del escenario activo</t>
  </si>
  <si>
    <t>Enterprise Value ($M)</t>
  </si>
  <si>
    <t>Equity Value ($M)</t>
  </si>
  <si>
    <t>Valor intrínseco por acción ($)</t>
  </si>
  <si>
    <t>Precio actual ($)</t>
  </si>
  <si>
    <t>Upside / (Downside)</t>
  </si>
  <si>
    <t>Valor terminal / EV</t>
  </si>
  <si>
    <t>AZUL = input del analista.  NEGRO = fórmula.  VERDE = enlace a otra hoja.  GRIS = dato histórico reportado.  AMARILLO = hipótesis crítica.  Ninguna otra hoja debe contener hipótesis: todas viven aquí.</t>
  </si>
  <si>
    <t>FY2027E</t>
  </si>
  <si>
    <t>FY2028E</t>
  </si>
  <si>
    <t>FY2029E</t>
  </si>
  <si>
    <t>FY2030E</t>
  </si>
  <si>
    <t>FY2031E</t>
  </si>
  <si>
    <t>FY2032E</t>
  </si>
  <si>
    <t>FY2033E</t>
  </si>
  <si>
    <t>FY2034E</t>
  </si>
  <si>
    <t>FY2035E</t>
  </si>
  <si>
    <t>FY2036E</t>
  </si>
  <si>
    <t>Peso del delta de escenario</t>
  </si>
  <si>
    <t>PANEL DE CONTROL</t>
  </si>
  <si>
    <t xml:space="preserve">  Escenario activo (1=Bear, 2=Base, 3=Bull)</t>
  </si>
  <si>
    <t xml:space="preserve">  Nombre del escenario activo</t>
  </si>
  <si>
    <t xml:space="preserve">  Fecha de valoración</t>
  </si>
  <si>
    <t>22/09/2026</t>
  </si>
  <si>
    <t xml:space="preserve">  Moneda y unidades</t>
  </si>
  <si>
    <t>USD millones</t>
  </si>
  <si>
    <t xml:space="preserve">  Años de forecast explícito</t>
  </si>
  <si>
    <t>años</t>
  </si>
  <si>
    <t xml:space="preserve">  Convención de descuento (1=fin de año, 2=mitad de año)</t>
  </si>
  <si>
    <t xml:space="preserve">  Método de valor terminal (1=Gordon, 2=Múltiplo de salida)</t>
  </si>
  <si>
    <t xml:space="preserve">  Tratamiento de leases operativos</t>
  </si>
  <si>
    <t>OPERATIVO — coste en EBIT, pasivo fuera de la deuda neta</t>
  </si>
  <si>
    <t xml:space="preserve">  Tratamiento del SBC</t>
  </si>
  <si>
    <t>GASTO REAL — no se readiciona, no se aplica dilución adicional</t>
  </si>
  <si>
    <t xml:space="preserve">  Año base del forecast</t>
  </si>
  <si>
    <t>MÁRGENES Y ESTRUCTURA DE COSTES</t>
  </si>
  <si>
    <t xml:space="preserve">  Gross Margin (vector Base)</t>
  </si>
  <si>
    <t xml:space="preserve">  Gross Margin ACTIVO</t>
  </si>
  <si>
    <t xml:space="preserve">  I+D / Ingresos (Base)</t>
  </si>
  <si>
    <t xml:space="preserve">  I+D / Ingresos ACTIVO</t>
  </si>
  <si>
    <t xml:space="preserve">  Amortización de intangibles adquiridos (calendario)</t>
  </si>
  <si>
    <t xml:space="preserve">  Reestructuración normalizada</t>
  </si>
  <si>
    <t>CAPEX Y DEPRECIACIÓN</t>
  </si>
  <si>
    <t xml:space="preserve">  Capex / Ingresos (vector Base)</t>
  </si>
  <si>
    <t xml:space="preserve">  Capex / Ingresos ACTIVO</t>
  </si>
  <si>
    <t xml:space="preserve">  Vida útil media del PP&amp;E</t>
  </si>
  <si>
    <t xml:space="preserve">  Vida útil implícita en FY2026 (check de calibración)</t>
  </si>
  <si>
    <t>CIRCULANTE OPERATIVO (drivers, no % de ingresos genérico)</t>
  </si>
  <si>
    <t xml:space="preserve">  DSO — días de cobro (Base)</t>
  </si>
  <si>
    <t xml:space="preserve">  DSO ACTIVO</t>
  </si>
  <si>
    <t xml:space="preserve">  Proveedores / (coste de ingresos + capex)</t>
  </si>
  <si>
    <t xml:space="preserve">  Otros pasivos corrientes operativos / Ingresos</t>
  </si>
  <si>
    <t>IMPUESTOS</t>
  </si>
  <si>
    <t xml:space="preserve">  Tipo impositivo de caja (vector Base)</t>
  </si>
  <si>
    <t xml:space="preserve">  Tipo impositivo de caja ACTIVO</t>
  </si>
  <si>
    <t xml:space="preserve">  Tipo marginal para el WACC</t>
  </si>
  <si>
    <t>VALOR TERMINAL</t>
  </si>
  <si>
    <t xml:space="preserve">  Crecimiento terminal g (Base)</t>
  </si>
  <si>
    <t xml:space="preserve">  Crecimiento terminal g ACTIVO</t>
  </si>
  <si>
    <t xml:space="preserve">  Múltiplo de salida EV/EBITDA (método alternativo)</t>
  </si>
  <si>
    <t xml:space="preserve">  Tope de referencia: PIB nominal a largo plazo EEUU</t>
  </si>
  <si>
    <t>CAJA, ACCIONES Y PUENTE A EQUITY (a la fecha de valoración)</t>
  </si>
  <si>
    <t xml:space="preserve">  Caja mínima operativa / Ingresos</t>
  </si>
  <si>
    <t xml:space="preserve">  Deuda financiera total</t>
  </si>
  <si>
    <t xml:space="preserve">  Pasivo por leases financieros (debt-like)</t>
  </si>
  <si>
    <t xml:space="preserve">  Preferentes convertibles obligatorias</t>
  </si>
  <si>
    <t xml:space="preserve">  Pasivo por leases operativos (NO en el puente, ver C14)</t>
  </si>
  <si>
    <t>JUSTIFICACIÓN DE LAS HIPÓTESIS CRÍTICAS (toda hipótesis sin mecanismo económico explicado es una hipótesis indefendible)</t>
  </si>
  <si>
    <t>Mecanismo económico y riesgo</t>
  </si>
  <si>
    <t>Crecimiento terminal del 3,0%</t>
  </si>
  <si>
    <t>Leases operativos como operativos</t>
  </si>
  <si>
    <t>SBC como gasto real sin dilución adicional</t>
  </si>
  <si>
    <t xml:space="preserve">  Pasivo por leases financieros corriente</t>
  </si>
  <si>
    <t>USD millones. Toda hipótesis procede de '02 Assumptions'. Esta hoja NO contiene hipótesis propias. Verde = enlace; negro = fórmula.</t>
  </si>
  <si>
    <t>INGRESOS POR SEGMENTO</t>
  </si>
  <si>
    <t>INGRESOS TOTALES</t>
  </si>
  <si>
    <t>MARGEN BRUTO</t>
  </si>
  <si>
    <t xml:space="preserve">  Coste de los ingresos</t>
  </si>
  <si>
    <t>GASTOS OPERATIVOS (por debajo del margen bruto)</t>
  </si>
  <si>
    <t>Total gastos operativos</t>
  </si>
  <si>
    <t>EBIT reportado</t>
  </si>
  <si>
    <t>EBIT NORMALIZADO (excluye reestructuración)</t>
  </si>
  <si>
    <t xml:space="preserve">  Margen EBIT normalizado</t>
  </si>
  <si>
    <t>CAPEX Y DEPRECIACIÓN — ROLL-FORWARD DE PP&amp;E</t>
  </si>
  <si>
    <t xml:space="preserve">  PP&amp;E neto inicial</t>
  </si>
  <si>
    <t xml:space="preserve">  Depreciación = (PP&amp;E inicial + Capex/2) / vida útil</t>
  </si>
  <si>
    <t xml:space="preserve">  PP&amp;E neto final</t>
  </si>
  <si>
    <t>D&amp;A total (depreciación + amortización de intangibles)</t>
  </si>
  <si>
    <t>EBITDA (EBIT normalizado + D&amp;A)</t>
  </si>
  <si>
    <t>CIRCULANTE OPERATIVO (drivers: DSO, proveedores sobre coste+capex, ingresos diferidos)</t>
  </si>
  <si>
    <t xml:space="preserve">  Clientes (AR)</t>
  </si>
  <si>
    <t xml:space="preserve">  Otros activos corrientes</t>
  </si>
  <si>
    <t xml:space="preserve">  Remuneraciones pendientes</t>
  </si>
  <si>
    <t xml:space="preserve">  Otros pasivos corrientes operativos (excl. leases financieros)</t>
  </si>
  <si>
    <t>CAPITAL CIRCULANTE NETO (NWC)</t>
  </si>
  <si>
    <t xml:space="preserve">  Variación del NWC (ΔNWC) — positivo = consume caja</t>
  </si>
  <si>
    <t xml:space="preserve">  NWC / Ingresos</t>
  </si>
  <si>
    <t>IMPUESTOS SOBRE EL EBIT</t>
  </si>
  <si>
    <t xml:space="preserve">  Tipo impositivo de caja</t>
  </si>
  <si>
    <t xml:space="preserve">  Impuestos sobre el EBIT normalizado</t>
  </si>
  <si>
    <t>NOPAT (EBIT normalizado − impuestos)</t>
  </si>
  <si>
    <t>COMPROBACIONES DE COHERENCIA INTERNA</t>
  </si>
  <si>
    <t xml:space="preserve">  Capital invertido (PP&amp;E + NWC + fondo de comercio + ROU leases)</t>
  </si>
  <si>
    <t xml:space="preserve">  ROIC (NOPAT / capital invertido medio)</t>
  </si>
  <si>
    <t xml:space="preserve">  Reinversión neta (Capex + ΔNWC − D&amp;A)</t>
  </si>
  <si>
    <t xml:space="preserve">  Tasa de reinversión (reinversión / NOPAT)</t>
  </si>
  <si>
    <t xml:space="preserve">  Crecimiento implícito = tasa de reinversión × ROIC</t>
  </si>
  <si>
    <t xml:space="preserve">  Crecimiento de ingresos proyectado</t>
  </si>
  <si>
    <t xml:space="preserve">  FCFF (calculado en '06 DCF')</t>
  </si>
  <si>
    <t xml:space="preserve">  ROIC terminal (disciplina la reinversión terminal: reinv. = g / ROIC)</t>
  </si>
  <si>
    <t>AMARILLO = input de mercado que DEBE actualizarse y fecharse en cada revisión. El WACC se calcula sobre estructura de capital OBJETIVO, no sobre el precio del día.</t>
  </si>
  <si>
    <t>COSTE DE LOS RECURSOS PROPIOS (Ke) — CAPM</t>
  </si>
  <si>
    <t xml:space="preserve">  Tipo libre de riesgo (bono EEUU 10 años)</t>
  </si>
  <si>
    <t xml:space="preserve">  Prima de riesgo de mercado (ERP)</t>
  </si>
  <si>
    <t xml:space="preserve">  Beta utilizada (reapalancada, ver bloque inferior)</t>
  </si>
  <si>
    <t xml:space="preserve">  Prima adicional por riesgo país / tamaño</t>
  </si>
  <si>
    <t>Ke = Rf + Beta × ERP + prima adicional</t>
  </si>
  <si>
    <t>DESAPALANCAMIENTO Y REAPALANCAMIENTO DE BETA</t>
  </si>
  <si>
    <t xml:space="preserve">  Beta apalancada observada (regresión a 5 años, mensual)</t>
  </si>
  <si>
    <t xml:space="preserve">  D/E de mercado correspondiente a la beta observada</t>
  </si>
  <si>
    <t xml:space="preserve">  Tipo impositivo marginal</t>
  </si>
  <si>
    <t xml:space="preserve">  Beta desapalancada = Beta apalancada / (1 + (1−T) × D/E)</t>
  </si>
  <si>
    <t xml:space="preserve">  D/E objetivo = peso deuda / peso equity</t>
  </si>
  <si>
    <t xml:space="preserve">  Beta reapalancada = Beta desapalancada × (1 + (1−T) × D/E objetivo)</t>
  </si>
  <si>
    <t xml:space="preserve">  BETA UTILIZADA EN EL Ke</t>
  </si>
  <si>
    <t>COSTE DE LA DEUDA (Kd)</t>
  </si>
  <si>
    <t xml:space="preserve">  Gasto por intereses FY2026 (reportado)</t>
  </si>
  <si>
    <t xml:space="preserve">  Deuda media FY2025–FY2026 (senior notes + leases financieros)</t>
  </si>
  <si>
    <t xml:space="preserve">  Kd implícito histórico = intereses / deuda media</t>
  </si>
  <si>
    <t xml:space="preserve">  Kd MARGINAL utilizado (coste de la deuda nueva)</t>
  </si>
  <si>
    <t xml:space="preserve">  Kd después de impuestos = Kd × (1 − T)</t>
  </si>
  <si>
    <t>ESTRUCTURA DE CAPITAL</t>
  </si>
  <si>
    <t xml:space="preserve">  Capitalización de mercado (precio × acciones diluidas)</t>
  </si>
  <si>
    <t xml:space="preserve">  Deuda total (senior notes + leases financieros)</t>
  </si>
  <si>
    <t xml:space="preserve">  PESO OBJETIVO DE LA DEUDA  D/(D+E)</t>
  </si>
  <si>
    <t xml:space="preserve">  Peso de los recursos propios  E/(D+E)</t>
  </si>
  <si>
    <t xml:space="preserve">  Peso de deuda implícito por mercado (cross-check; requiere precio)</t>
  </si>
  <si>
    <t>WACC</t>
  </si>
  <si>
    <t xml:space="preserve">  WACC base = E/(D+E)×Ke + D/(D+E)×Kd×(1−T)</t>
  </si>
  <si>
    <t xml:space="preserve">  Delta de escenario</t>
  </si>
  <si>
    <t>WACC ACTIVO</t>
  </si>
  <si>
    <t>CONTROLES OBLIGATORIOS</t>
  </si>
  <si>
    <t xml:space="preserve">  Crecimiento terminal g</t>
  </si>
  <si>
    <t xml:space="preserve">  CHECK: WACC &gt; g</t>
  </si>
  <si>
    <t xml:space="preserve">  Margen WACC − g</t>
  </si>
  <si>
    <t xml:space="preserve">  CHECK: Kd marginal ≥ Kd implícito histórico</t>
  </si>
  <si>
    <t xml:space="preserve">  CHECK: Ke &gt; Kd (coherencia de prelación de riesgo)</t>
  </si>
  <si>
    <t>DOCUMENTACIÓN DE LOS INPUTS DE MERCADO (obligatorio rellenar en cada revisión)</t>
  </si>
  <si>
    <t>Valor usado</t>
  </si>
  <si>
    <t>Fuente que DEBE documentar el analista</t>
  </si>
  <si>
    <t>Riesgo si es incorrecto</t>
  </si>
  <si>
    <t>Tipo libre de riesgo</t>
  </si>
  <si>
    <t>Rendimiento del bono del Tesoro EEUU a 10 años a la fecha de valoración. Fuente oficial: Treasury.gov / FRED. NO verificado por Claude.</t>
  </si>
  <si>
    <t>Afecta linealmente al Ke y por tanto al WACC. 100 pb de error mueven el valor de forma material por la duración del flujo.</t>
  </si>
  <si>
    <t>Prima de riesgo de mercado</t>
  </si>
  <si>
    <t>Prima implícita o histórica. Debe ser consistente con el tipo libre de riesgo usado (no mezclar ERP histórica con Rf actual sin criterio).</t>
  </si>
  <si>
    <t>Segundo input más sensible del WACC.</t>
  </si>
  <si>
    <t>Beta apalancada observada</t>
  </si>
  <si>
    <t>Kd marginal</t>
  </si>
  <si>
    <t>Peso objetivo de la deuda</t>
  </si>
  <si>
    <t>Estructura objetivo vs actual</t>
  </si>
  <si>
    <t>USD millones. FCFF descontado al WACC. Ningún resultado está introducido a mano: todo se calcula desde '02 Assumptions', '04 Operating Model' y '07 WACC'.</t>
  </si>
  <si>
    <t>CÁLCULO DEL FREE CASH FLOW TO FIRM (FCFF)</t>
  </si>
  <si>
    <t xml:space="preserve">  EBIT normalizado</t>
  </si>
  <si>
    <t xml:space="preserve">  (−) Impuestos sobre el EBIT normalizado</t>
  </si>
  <si>
    <t>NOPAT</t>
  </si>
  <si>
    <t xml:space="preserve">  (+) D&amp;A</t>
  </si>
  <si>
    <t xml:space="preserve">  (−) Capex</t>
  </si>
  <si>
    <t xml:space="preserve">  (−) Variación del capital circulante neto</t>
  </si>
  <si>
    <t xml:space="preserve">  (−) Coste en caja de reestructuración (readido al EBIT normalizado)</t>
  </si>
  <si>
    <t>FCFF</t>
  </si>
  <si>
    <t xml:space="preserve">  Margen FCFF sobre ingresos</t>
  </si>
  <si>
    <t xml:space="preserve">  Conversión FCFF / EBITDA</t>
  </si>
  <si>
    <t>DESCUENTO</t>
  </si>
  <si>
    <t xml:space="preserve">  Periodo de descuento t (convención de '02 Assumptions'!C12)</t>
  </si>
  <si>
    <t xml:space="preserve">  WACC</t>
  </si>
  <si>
    <t xml:space="preserve">  Factor de descuento = 1 / (1 + WACC)^t</t>
  </si>
  <si>
    <t>Valor presente del FCFF</t>
  </si>
  <si>
    <t xml:space="preserve">  ROIC terminal</t>
  </si>
  <si>
    <t xml:space="preserve">  Tasa de reinversión terminal = g / ROIC terminal</t>
  </si>
  <si>
    <t xml:space="preserve">  NOPAT terminal = NOPAT FY2036 × (1 + g)</t>
  </si>
  <si>
    <t xml:space="preserve">  FCFF terminal = NOPAT terminal × (1 − tasa de reinversión)</t>
  </si>
  <si>
    <t xml:space="preserve">  Valor terminal — Gordon = FCFF terminal / (WACC − g)</t>
  </si>
  <si>
    <t xml:space="preserve">  Valor terminal — múltiplo de salida = EBITDA FY2036 × múltiplo</t>
  </si>
  <si>
    <t xml:space="preserve">  Método seleccionado ('02 Assumptions'!C13)</t>
  </si>
  <si>
    <t>VALOR TERMINAL UTILIZADO</t>
  </si>
  <si>
    <t xml:space="preserve">  Factor de descuento del VT = 1/(1+WACC)^n (año completo, no mitad de año)</t>
  </si>
  <si>
    <t>Valor presente del valor terminal</t>
  </si>
  <si>
    <t xml:space="preserve">  Referencia — FCFF terminal ingenuo = FCFF FY2036 × (1+g)</t>
  </si>
  <si>
    <t xml:space="preserve">  Referencia — valor terminal ingenuo (sin disciplina de reinversión)</t>
  </si>
  <si>
    <t xml:space="preserve">  Diferencia: disciplinado − ingenuo</t>
  </si>
  <si>
    <t>PUENTE: ENTERPRISE VALUE → EQUITY VALUE → VALOR POR ACCIÓN</t>
  </si>
  <si>
    <t xml:space="preserve">  Valor presente del FCFF del periodo explícito</t>
  </si>
  <si>
    <t xml:space="preserve">  Valor presente del valor terminal</t>
  </si>
  <si>
    <t>ENTERPRISE VALUE</t>
  </si>
  <si>
    <t xml:space="preserve">  Valor terminal / Enterprise Value</t>
  </si>
  <si>
    <t xml:space="preserve">  (−) Deuda financiera (senior notes y otros préstamos)</t>
  </si>
  <si>
    <t xml:space="preserve">  (−) Pasivo por leases financieros</t>
  </si>
  <si>
    <t xml:space="preserve">  (+) Caja y equivalentes</t>
  </si>
  <si>
    <t xml:space="preserve">  (−) Caja mínima operativa (no distribuible)</t>
  </si>
  <si>
    <t xml:space="preserve">  (−) Intereses minoritarios</t>
  </si>
  <si>
    <t xml:space="preserve">  (−) Preferentes convertibles obligatorias</t>
  </si>
  <si>
    <t>EQUITY VALUE</t>
  </si>
  <si>
    <t xml:space="preserve">  Acciones diluidas</t>
  </si>
  <si>
    <t>VALOR INTRÍNSECO POR ACCIÓN</t>
  </si>
  <si>
    <t xml:space="preserve">  Precio de mercado actual (input en '01 Summary'!C10)</t>
  </si>
  <si>
    <t xml:space="preserve">  Upside / (Downside)</t>
  </si>
  <si>
    <t xml:space="preserve">  Margen de seguridad implícito = 1 − precio / valor</t>
  </si>
  <si>
    <t>CONTROLES DE CALIDAD DEL VALOR TERMINAL Y MÚLTIPLOS IMPLÍCITOS</t>
  </si>
  <si>
    <t xml:space="preserve">  EBITDA FY2036E</t>
  </si>
  <si>
    <t xml:space="preserve">  Múltiplo de salida IMPLÍCITO (VT / EBITDA FY2036)</t>
  </si>
  <si>
    <t xml:space="preserve">  Margen EBIT normalizado terminal</t>
  </si>
  <si>
    <t xml:space="preserve">  Capex terminal / ingresos</t>
  </si>
  <si>
    <t xml:space="preserve">  D&amp;A terminal / ingresos</t>
  </si>
  <si>
    <t xml:space="preserve">  Capex / D&amp;A terminal</t>
  </si>
  <si>
    <t xml:space="preserve">  CHECK: g &lt; WACC</t>
  </si>
  <si>
    <t xml:space="preserve">  CHECK: g ≤ PIB nominal de referencia</t>
  </si>
  <si>
    <t xml:space="preserve">  CHECK: múltiplo de salida implícito en rango razonable (8x–25x)</t>
  </si>
  <si>
    <t xml:space="preserve">  CHECK: peso del valor terminal sobre el EV</t>
  </si>
  <si>
    <t xml:space="preserve">  FCFF acumulado del periodo explícito</t>
  </si>
  <si>
    <t xml:space="preserve">  Años con FCFF negativo en el periodo explícito</t>
  </si>
  <si>
    <t xml:space="preserve">  CHECK: el FCFF llega a ser positivo dentro del horizonte</t>
  </si>
  <si>
    <t>Valoración condicional: el resultado depende íntegramente de las hipótesis explícitas de '02 Assumptions'. No es una predicción.</t>
  </si>
  <si>
    <t>IDENTIFICACIÓN</t>
  </si>
  <si>
    <t xml:space="preserve">  Compañía</t>
  </si>
  <si>
    <t xml:space="preserve">  Ticker / mercado</t>
  </si>
  <si>
    <t xml:space="preserve">  Último ejercicio auditado</t>
  </si>
  <si>
    <t xml:space="preserve">  PRECIO DE MERCADO ACTUAL — INTRODUCIR AQUÍ</t>
  </si>
  <si>
    <t>RESULTADO DE LA VALORACIÓN</t>
  </si>
  <si>
    <t xml:space="preserve">  Escenario activo</t>
  </si>
  <si>
    <t xml:space="preserve">  Enterprise Value</t>
  </si>
  <si>
    <t xml:space="preserve">  (−) Deuda neta y otras reclamaciones</t>
  </si>
  <si>
    <t xml:space="preserve">  Equity Value</t>
  </si>
  <si>
    <t xml:space="preserve">  VALOR INTRÍNSECO POR ACCIÓN</t>
  </si>
  <si>
    <t xml:space="preserve">  Upside / (Downside) sobre el precio actual</t>
  </si>
  <si>
    <t xml:space="preserve">  Margen de seguridad implícito</t>
  </si>
  <si>
    <t>RANGO DE VALORACIÓN POR ESCENARIO</t>
  </si>
  <si>
    <t xml:space="preserve">  Nota</t>
  </si>
  <si>
    <t>PARÁMETROS CLAVE</t>
  </si>
  <si>
    <t xml:space="preserve">  Múltiplo de salida implícito (VT / EBITDA FY2036)</t>
  </si>
  <si>
    <t xml:space="preserve">  Ingresos</t>
  </si>
  <si>
    <t xml:space="preserve">  Flujo de caja operativo</t>
  </si>
  <si>
    <t xml:space="preserve">  Deuda neta</t>
  </si>
  <si>
    <t>CONTROLES CRÍTICOS</t>
  </si>
  <si>
    <t xml:space="preserve">  Cuadre del balance histórico</t>
  </si>
  <si>
    <t xml:space="preserve">  WACC &gt; g</t>
  </si>
  <si>
    <t xml:space="preserve">  El FCFF llega a ser positivo</t>
  </si>
  <si>
    <t xml:space="preserve">  Peso del valor terminal</t>
  </si>
  <si>
    <t xml:space="preserve">  Múltiplo de salida implícito razonable</t>
  </si>
  <si>
    <t xml:space="preserve">  Auditoría completa</t>
  </si>
  <si>
    <t>CÓMO USAR ESTE LIBRO</t>
  </si>
  <si>
    <t>Introducir el precio de mercado actual en C10. Es el ÚNICO dato que el libro no puede obtener por sí mismo. Hasta entonces el upside, el margen de seguridad y el Reverse DCF quedan en blanco por diseño.</t>
  </si>
  <si>
    <t>Actualizar y documentar los inputs de mercado del WACC en '07 WACC': tipo libre de riesgo, prima de riesgo, beta y coste marginal de la deuda. Los valores actuales son inputs del analista, NO datos verificados.</t>
  </si>
  <si>
    <t>Revisar las hipótesis en '02 Assumptions'. Las celdas amarillas son las que mueven el valor. Ninguna otra hoja contiene hipótesis.</t>
  </si>
  <si>
    <t>Cambiar el escenario en '09 Scenarios'!C4 (1=Bear, 2=Base, 3=Bull) y anotar los tres valores para construir el rango.</t>
  </si>
  <si>
    <t>Leer '08 Sensitivity' para ver qué variables explican el valor, y '10 Reverse DCF' para ver qué descuenta el precio.</t>
  </si>
  <si>
    <t>Ejecutar la auditoría de '13 Checks' ANTES de usar cualquier resultado. Si algún control falla, el número no es utilizable.</t>
  </si>
  <si>
    <t>Leer '11 Cross Check': un DCF aislado no es una conclusión. Y leer 'M4 Manual Errores' antes de defender el modelo ante otro analista.</t>
  </si>
  <si>
    <t>FINANCIACIÓN Y PARTIDAS NO OPERATIVAS — SOLO PARA EL MODELO DE TRES ESTADOS (no afectan al FCFF ni al DCF)</t>
  </si>
  <si>
    <t xml:space="preserve">  Crecimiento anual del dividendo ordinario</t>
  </si>
  <si>
    <t xml:space="preserve">  % del excedente de caja destinado a repagar deuda</t>
  </si>
  <si>
    <t xml:space="preserve">  Tipo de interés medio sobre la deuda INICIAL</t>
  </si>
  <si>
    <t xml:space="preserve">  Recompra neta de acciones</t>
  </si>
  <si>
    <t xml:space="preserve">  NOTA: el gasto por intereses se calcula sobre la deuda INICIAL del periodo, no sobre la media, para eliminar la circularidad deuda→intereses→beneficio→caja→deuda. Es una simplificación deliberada y conservadora; la alternativa exige cálculo iterativo.</t>
  </si>
  <si>
    <t>Sirve para verificar la CONSISTENCIA CONTABLE del forecast (cuadre de balance y de caja). NO alimenta el DCF: el DCF es un FCFF construido sobre '04 Operating Model'.</t>
  </si>
  <si>
    <t>Margen bruto</t>
  </si>
  <si>
    <t xml:space="preserve">  Gastos operativos</t>
  </si>
  <si>
    <t xml:space="preserve">  (−) Gasto por intereses</t>
  </si>
  <si>
    <t xml:space="preserve">  (+) Resultado no operativo, neto (no proyectado)</t>
  </si>
  <si>
    <t xml:space="preserve">  (−) Impuestos</t>
  </si>
  <si>
    <t>BENEFICIO NETO</t>
  </si>
  <si>
    <t xml:space="preserve">  (−) Dividendos de preferentes</t>
  </si>
  <si>
    <t>Beneficio atribuible a ordinarias</t>
  </si>
  <si>
    <t>ESQUEMA DE DEUDA (interés sobre deuda inicial: sin circularidad)</t>
  </si>
  <si>
    <t xml:space="preserve">  Deuda inicial</t>
  </si>
  <si>
    <t xml:space="preserve">  (+) Nueva deuda emitida</t>
  </si>
  <si>
    <t xml:space="preserve">  (−) Repago de deuda</t>
  </si>
  <si>
    <t>Deuda final</t>
  </si>
  <si>
    <t xml:space="preserve">  Tipo de interés medio</t>
  </si>
  <si>
    <t xml:space="preserve">  Gasto por intereses = deuda inicial × tipo</t>
  </si>
  <si>
    <t>POLÍTICA DE FINANCIACIÓN (determina caja y deuda)</t>
  </si>
  <si>
    <t xml:space="preserve">  Caja inicial</t>
  </si>
  <si>
    <t xml:space="preserve">  Caja preliminar = inicial + CFO + CFI − dividendos − recompras</t>
  </si>
  <si>
    <t xml:space="preserve">  Caja mínima requerida</t>
  </si>
  <si>
    <t xml:space="preserve">  Nueva deuda necesaria = MAX(0; mínima − preliminar)</t>
  </si>
  <si>
    <t xml:space="preserve">  Excedente sobre la caja mínima</t>
  </si>
  <si>
    <t xml:space="preserve">  Repago efectivo = MIN(deuda inicial; excedente × %)</t>
  </si>
  <si>
    <t>Caja final</t>
  </si>
  <si>
    <t>BALANCE</t>
  </si>
  <si>
    <t xml:space="preserve">  PP&amp;E neto</t>
  </si>
  <si>
    <t xml:space="preserve">  ROU — leases operativos</t>
  </si>
  <si>
    <t xml:space="preserve">  Intangibles adquiridos, neto</t>
  </si>
  <si>
    <t xml:space="preserve">  Otros activos no corrientes (netos de intangibles)</t>
  </si>
  <si>
    <t xml:space="preserve">  Otros pasivos corrientes operativos</t>
  </si>
  <si>
    <t xml:space="preserve">  Leases financieros</t>
  </si>
  <si>
    <t>TOTAL PASIVO</t>
  </si>
  <si>
    <t xml:space="preserve">  Patrimonio neto total (incluye preferentes y minoritarios)</t>
  </si>
  <si>
    <t xml:space="preserve">  CHECK: Activo − Pasivo y Patrimonio (debe ser 0)</t>
  </si>
  <si>
    <t>PATRIMONIO — ROLL-FORWARD</t>
  </si>
  <si>
    <t xml:space="preserve">  Patrimonio inicial</t>
  </si>
  <si>
    <t xml:space="preserve">  (+) Beneficio neto</t>
  </si>
  <si>
    <t xml:space="preserve">  (+) Retribución en acciones (SBC)</t>
  </si>
  <si>
    <t xml:space="preserve">  (−) Dividendos ordinarios</t>
  </si>
  <si>
    <t xml:space="preserve">  (−) Recompras netas de acciones</t>
  </si>
  <si>
    <t>Patrimonio final</t>
  </si>
  <si>
    <t xml:space="preserve">  (+) SBC</t>
  </si>
  <si>
    <t>FLUJO DE CAJA OPERATIVO (CFO)</t>
  </si>
  <si>
    <t>FLUJO DE CAJA DE INVERSIÓN (CFI)</t>
  </si>
  <si>
    <t xml:space="preserve">  (+) Nueva deuda</t>
  </si>
  <si>
    <t xml:space="preserve">  (−) Recompras netas</t>
  </si>
  <si>
    <t>FLUJO DE CAJA DE FINANCIACIÓN (CFF)</t>
  </si>
  <si>
    <t>Variación neta de caja</t>
  </si>
  <si>
    <t>Caja final según el estado de flujos</t>
  </si>
  <si>
    <t xml:space="preserve">  CHECK: caja del flujo − caja del balance (debe ser 0)</t>
  </si>
  <si>
    <t>DIVIDENDOS</t>
  </si>
  <si>
    <t xml:space="preserve">  Dividendo ordinario pagado</t>
  </si>
  <si>
    <t xml:space="preserve">  Dividendo de preferentes</t>
  </si>
  <si>
    <t xml:space="preserve">  Payout sobre beneficio neto</t>
  </si>
  <si>
    <t xml:space="preserve">  Pasivo por leases operativos — NO corriente (el corriente va en otros pasivos corrientes)</t>
  </si>
  <si>
    <t xml:space="preserve">  Otros pasivos no corrientes (netos del lease financiero no corriente)</t>
  </si>
  <si>
    <t xml:space="preserve">  Shock uniforme al crecimiento de ingresos (todos los segmentos, todos los años)</t>
  </si>
  <si>
    <t xml:space="preserve">  NOTA: este shock existe porque la sensibilidad crecimiento × margen no admite forma cerrada (la depreciación depende de la trayectoria de PP&amp;E). Para esa sensibilidad hay que recorrer C104 manualmente; ver instrucciones en '08 Sensitivity'.</t>
  </si>
  <si>
    <t>ANÁLISIS DE SENSIBILIDAD — VALOR INTRÍNSECO POR ACCIÓN ($)</t>
  </si>
  <si>
    <t>Rejillas 5×5 con el caso base en el CENTRO (celda amarilla). Recalculadas en forma cerrada sobre el flujo de '06 DCF': el FCFF no depende del WACC ni de g, por lo que la revaloración es exacta salvo donde se indique.</t>
  </si>
  <si>
    <t>REJILLA A — WACC × CRECIMIENTO TERMINAL g   (exacta)</t>
  </si>
  <si>
    <t>REJILLA B — WACC × MÚLTIPLO DE SALIDA EV/EBITDA   (exacta; método alternativo de valor terminal)</t>
  </si>
  <si>
    <t>REJILLA C — WACC × DESPLAZAMIENTO DEL MARGEN EBIT (pp)   (exacta)</t>
  </si>
  <si>
    <t>REJILLA D — WACC × DESPLAZAMIENTO DE CAPEX SOBRE INGRESOS (pp)   (primer orden: NO recoge el escudo fiscal de la depreciación asociada)</t>
  </si>
  <si>
    <t>REJILLA E — WACC × DESPLAZAMIENTO DEL TIPO IMPOSITIVO DE CAJA (pp)   (exacta)</t>
  </si>
  <si>
    <t>WACC ↓  /  g →</t>
  </si>
  <si>
    <t>WACC ↓  /  múltiplo →</t>
  </si>
  <si>
    <t>JERARQUÍA DE DRIVERS DEL VALOR (rango de valor por acción a WACC base, entre los extremos de cada eje)</t>
  </si>
  <si>
    <t>Valor mínimo</t>
  </si>
  <si>
    <t>Valor máximo</t>
  </si>
  <si>
    <t>Rango ($/acc)</t>
  </si>
  <si>
    <t>Clasificación</t>
  </si>
  <si>
    <t>Crecimiento terminal g (±100 pb)</t>
  </si>
  <si>
    <t>WACC (±100 pb)</t>
  </si>
  <si>
    <t>Margen EBIT (±300 pb)</t>
  </si>
  <si>
    <t>Tipo impositivo de caja (±300 pb)</t>
  </si>
  <si>
    <t>Capex sobre ingresos (±200 pb)</t>
  </si>
  <si>
    <t>Múltiplo de salida (±4x)</t>
  </si>
  <si>
    <t>SENSIBILIDAD CRECIMIENTO DE INGRESOS × MARGEN: NO admite forma cerrada</t>
  </si>
  <si>
    <t>La depreciación depende de la trayectoria acumulada de PP&amp;E, por lo que un shock de crecimiento no se puede revalorar analíticamente sin re-ejecutar el modelo. Excel resolvería esto con una Tabla de Datos (Datos → Análisis de hipótesis), que no se puede crear por programación. Procedimiento manual:</t>
  </si>
  <si>
    <t>Paso 1</t>
  </si>
  <si>
    <t>Ir a '02 Assumptions'!C104 (shock uniforme al crecimiento de ingresos, en pp).</t>
  </si>
  <si>
    <t>Paso 2</t>
  </si>
  <si>
    <t>Introducir sucesivamente −3,0pp / −1,5pp / 0 / +1,5pp / +3,0pp y anotar '01 Summary'!C18 en la tabla inferior.</t>
  </si>
  <si>
    <t>Paso 3</t>
  </si>
  <si>
    <t>Repetir para cada desplazamiento de margen usando la REJILLA C, que sí es exacta y ya recoge el efecto margen.</t>
  </si>
  <si>
    <t>Paso 4</t>
  </si>
  <si>
    <t>Devolver C104 a 0 al terminar. Si se deja distinto de 0 TODO el libro queda desplazado.</t>
  </si>
  <si>
    <t>Aviso</t>
  </si>
  <si>
    <t>Un shock de crecimiento arrastra capex y circulante porque están definidos como porcentaje de ingresos: el efecto neto sobre el valor es MUCHO menor que el efecto sobre los ingresos. Esa es precisamente la razón por la que el crecimiento no es automáticamente el driver principal.</t>
  </si>
  <si>
    <t>Tabla manual</t>
  </si>
  <si>
    <t>Δ crecimiento (pp)  →  valor por acción:   −3,0pp: ____   −1,5pp: ____   0: (ver Summary)   +1,5pp: ____   +3,0pp: ____</t>
  </si>
  <si>
    <t>REVERSE DCF — ¿QUÉ EXPECTATIVAS DESCUENTA EL PRECIO ACTUAL?</t>
  </si>
  <si>
    <t>La pregunta no es '¿cuánto vale?' sino '¿qué tiene que ocurrir para justificar el precio?'. Todas las respuestas son soluciones exactas en forma cerrada, no búsquedas numéricas.</t>
  </si>
  <si>
    <t>PUENTE INVERSO: PRECIO → EQUITY VALUE → ENTERPRISE VALUE</t>
  </si>
  <si>
    <t xml:space="preserve">  Precio de mercado actual</t>
  </si>
  <si>
    <t xml:space="preserve">  Equity Value implícito por el mercado</t>
  </si>
  <si>
    <t xml:space="preserve">  (+) Deuda financiera</t>
  </si>
  <si>
    <t xml:space="preserve">  (+) Leases financieros</t>
  </si>
  <si>
    <t xml:space="preserve">  (−) Caja y equivalentes</t>
  </si>
  <si>
    <t xml:space="preserve">  (+) Caja mínima operativa</t>
  </si>
  <si>
    <t xml:space="preserve">  (+) Intereses minoritarios</t>
  </si>
  <si>
    <t xml:space="preserve">  (+) Preferentes convertibles obligatorias</t>
  </si>
  <si>
    <t>ENTERPRISE VALUE IMPLÍCITO POR EL MERCADO</t>
  </si>
  <si>
    <t xml:space="preserve">  Enterprise Value del modelo</t>
  </si>
  <si>
    <t xml:space="preserve">  Diferencia (mercado − modelo)</t>
  </si>
  <si>
    <t xml:space="preserve">  Valor por acción del modelo</t>
  </si>
  <si>
    <t xml:space="preserve">  Diferencia por acción (precio − modelo)</t>
  </si>
  <si>
    <t>RESPUESTA 1 — MARGEN EBIT REQUERIDO (solución lineal exacta)</t>
  </si>
  <si>
    <t xml:space="preserve">  Sensibilidad K: valor por acción por cada +1pp de margen EBIT</t>
  </si>
  <si>
    <t xml:space="preserve">  Margen EBIT terminal del modelo</t>
  </si>
  <si>
    <t xml:space="preserve">  Margen EBIT terminal IMPLÍCITO por el precio</t>
  </si>
  <si>
    <t xml:space="preserve">  Máximo margen EBIT normalizado histórico (FY2024–FY2026)</t>
  </si>
  <si>
    <t xml:space="preserve">  Lectura</t>
  </si>
  <si>
    <t>RESPUESTA 2 — CAPEX REQUERIDO (solución lineal exacta)</t>
  </si>
  <si>
    <t xml:space="preserve">  Sensibilidad: valor por acción por cada +1pp de capex/ingresos</t>
  </si>
  <si>
    <t xml:space="preserve">  Capex / ingresos terminal implícito por el precio</t>
  </si>
  <si>
    <t>RESPUESTA 3 — CRECIMIENTO TERMINAL REQUERIDO (solución cuadrática exacta)</t>
  </si>
  <si>
    <t xml:space="preserve">  Valor terminal REQUERIDO por el mercado</t>
  </si>
  <si>
    <t xml:space="preserve">  CRECIMIENTO TERMINAL g IMPLÍCITO POR EL PRECIO</t>
  </si>
  <si>
    <t xml:space="preserve">  g del modelo</t>
  </si>
  <si>
    <t xml:space="preserve">  Tope de referencia: PIB nominal</t>
  </si>
  <si>
    <t>RESPUESTA 4 — VALOR TERMINAL Y MÚLTIPLO IMPLÍCITOS</t>
  </si>
  <si>
    <t xml:space="preserve">  Múltiplo de salida implícito por el mercado (VT requerido / EBITDA FY2036)</t>
  </si>
  <si>
    <t xml:space="preserve">  Múltiplo de salida implícito por el modelo</t>
  </si>
  <si>
    <t xml:space="preserve">  Peso del valor terminal requerido sobre el EV de mercado</t>
  </si>
  <si>
    <t>RESPUESTA 5 — FLUJO EXPLÍCITO</t>
  </si>
  <si>
    <t xml:space="preserve">  Valor presente del FCFF explícito del modelo</t>
  </si>
  <si>
    <t xml:space="preserve">  FCFF acumulado explícito del modelo (sin descontar)</t>
  </si>
  <si>
    <t xml:space="preserve">  Ingresos FY2036 del modelo</t>
  </si>
  <si>
    <t xml:space="preserve">  Ingresos FY2036 implícitos si el margen implícito se cumpliera a margen del modelo</t>
  </si>
  <si>
    <t>CÓMO LEER ESTA HOJA</t>
  </si>
  <si>
    <t>Principio</t>
  </si>
  <si>
    <t>Cada respuesta aísla UNA variable y deja el resto del modelo intacto. Son respuestas condicionales del tipo: 'si todo lo demás se cumple, esta variable tendría que valer X'. No son conjuntamente alcanzables a la vez.</t>
  </si>
  <si>
    <t>Uso correcto</t>
  </si>
  <si>
    <t>Comparar cada exigencia implícita con la evidencia: ¿ha logrado la compañía ese margen alguna vez? ¿es ese capex compatible con el crecimiento exigido? ¿es ese g compatible con la economía?</t>
  </si>
  <si>
    <t>Uso incorrecto</t>
  </si>
  <si>
    <t>Tomar el crecimiento implícito como pronóstico. El Reverse DCF no dice qué pasará: dice qué habría que creer.</t>
  </si>
  <si>
    <t>Nota sobre el coste de capital implícito</t>
  </si>
  <si>
    <t>Resolver el WACC que iguala valor y precio exige iteración (Buscar objetivo). Aproximación directa: localizar el precio dentro de la columna de g base de la REJILLA A de '08 Sensitivity' e interpolar entre las filas de WACC.</t>
  </si>
  <si>
    <t>Limitación declarada</t>
  </si>
  <si>
    <t>El desplazamiento de capex es de primer orden: no recoge el efecto de segundo orden sobre la depreciación y el escudo fiscal. La dirección del resultado es correcta; la magnitud es una aproximación.</t>
  </si>
  <si>
    <t>CROSS-CHECK DE VALORACIÓN — UN DCF AISLADO NO ES UNA CONCLUSIÓN</t>
  </si>
  <si>
    <t>El DCF es valoración intrínseca; los múltiplos son valoración relativa. No miden lo mismo. Coincidir no valida el DCF y discrepar no lo invalida: obliga a explicar la diferencia.</t>
  </si>
  <si>
    <t>MÚLTIPLOS IMPLÍCITOS POR EL DCF</t>
  </si>
  <si>
    <t xml:space="preserve">  Enterprise Value del DCF</t>
  </si>
  <si>
    <t xml:space="preserve">  Equity Value del DCF</t>
  </si>
  <si>
    <t xml:space="preserve">  EV / Ingresos FY2029E</t>
  </si>
  <si>
    <t xml:space="preserve">  EV / EBITDA FY2029E</t>
  </si>
  <si>
    <t xml:space="preserve">  EV / FCFF FY2031E (primer año plenamente normalizado)</t>
  </si>
  <si>
    <t xml:space="preserve">  Rentabilidad del FCFF sobre EV (FY2031E)</t>
  </si>
  <si>
    <t>EFECTO DE LA CONVENCIÓN DE ARRENDAMIENTOS (cuantificado)</t>
  </si>
  <si>
    <t xml:space="preserve">  Tratamiento aplicado en el modelo</t>
  </si>
  <si>
    <t xml:space="preserve">  Pasivo por leases operativos (no incluido en la deuda neta)</t>
  </si>
  <si>
    <t xml:space="preserve">  Impacto MECÁNICO por acción si se restara de golpe</t>
  </si>
  <si>
    <t xml:space="preserve">  Valor por acción con el lease restado SIN reconstruir el EBIT (INCORRECTO)</t>
  </si>
  <si>
    <t xml:space="preserve">  ADVERTENCIA: la cifra de la fila 21 es deliberadamente INCORRECTA y está aquí para mostrar el error. Restar el pasivo del lease sin readir el gasto del lease al EBIT y sin añadir la amortización del ROU al D&amp;A es doble contabilización. Una conversión correcta subiría el EBITDA y el Enterprise Value y compensaría en gran parte el ajuste de deuda neta. Nunca se mezcla un tratamiento de leases ajustado con un tratamiento de flujo o de deuda incompatible.</t>
  </si>
  <si>
    <t>Pregunta</t>
  </si>
  <si>
    <t>Implicación metodológica</t>
  </si>
  <si>
    <t>Veredicto</t>
  </si>
  <si>
    <t>¿Genera flujo de caja operativo positivo?</t>
  </si>
  <si>
    <t>El FCFF es calculable sin recurrir a métricas sustitutas.</t>
  </si>
  <si>
    <t>Favorable al DCF</t>
  </si>
  <si>
    <t>¿Son los flujos razonablemente previsibles?</t>
  </si>
  <si>
    <t>Visibilidad alta en ingresos, baja en flujo libre. Justifica un horizonte explícito largo (10 años) y escenarios amplios.</t>
  </si>
  <si>
    <t>Mixto</t>
  </si>
  <si>
    <t>¿Tiene deuda significativa?</t>
  </si>
  <si>
    <t>¿Es una institución financiera?</t>
  </si>
  <si>
    <t>No.</t>
  </si>
  <si>
    <t>No procede Excess Returns, DDM ni P/B como método principal.</t>
  </si>
  <si>
    <t>¿Es un negocio intensivo en activos físicos?</t>
  </si>
  <si>
    <t>Cambia los drivers, no el método</t>
  </si>
  <si>
    <t>Requiere SOTP como contraste</t>
  </si>
  <si>
    <t>¿Hay algo que haga problemático el FCFF tradicional?</t>
  </si>
  <si>
    <t>Válido con advertencias graves</t>
  </si>
  <si>
    <t>VEREDICTO METODOLÓGICO</t>
  </si>
  <si>
    <t>MÉTODOS DESCARTADOS Y POR QUÉ</t>
  </si>
  <si>
    <t>Refuerza usar FCFF y no FCFE, y obliga a un puente EV a Equity riguroso.</t>
  </si>
  <si>
    <t>Favorable al FCFF</t>
  </si>
  <si>
    <t>Invalida los atajos de software: no se puede asumir Capex igual a D&amp;A, ni márgenes brutos de licencia. El margen bruto DEBE caer.</t>
  </si>
  <si>
    <t>¿Tiene segmentos con economías distintas?</t>
  </si>
  <si>
    <t>Un único WACC y un único múltiplo para todo el grupo son cuestionables. Ver la hoja 12 SOTP.</t>
  </si>
  <si>
    <t>El FCFF sigue siendo correcto, pero el valor terminal pesa el 65% del EV: la valoración es estructuralmente frágil, no precisa.</t>
  </si>
  <si>
    <t>FCFE</t>
  </si>
  <si>
    <t>Dividend Discount Model</t>
  </si>
  <si>
    <t>Excess Returns / P/B</t>
  </si>
  <si>
    <t>NAV / valoración por activos</t>
  </si>
  <si>
    <t>rNPV / probabilidad ponderada</t>
  </si>
  <si>
    <t>EV/EBITDA como método principal</t>
  </si>
  <si>
    <t>SUM-OF-THE-PARTS — CONTRASTE POR SEGMENTOS</t>
  </si>
  <si>
    <t>Segmento</t>
  </si>
  <si>
    <t>Ingresos FY2029E</t>
  </si>
  <si>
    <t>Margen EBIT (hipótesis)</t>
  </si>
  <si>
    <t>EBIT FY2029E</t>
  </si>
  <si>
    <t>Múltiplo EV/EBIT (hipótesis)</t>
  </si>
  <si>
    <t>Enterprise Value</t>
  </si>
  <si>
    <t>% del EV total</t>
  </si>
  <si>
    <t>SUMA DE LOS SEGMENTOS</t>
  </si>
  <si>
    <t>ENTERPRISE VALUE POR SOTP</t>
  </si>
  <si>
    <t xml:space="preserve">  (−) Deuda financiera</t>
  </si>
  <si>
    <t xml:space="preserve">  (−) Leases financieros</t>
  </si>
  <si>
    <t xml:space="preserve">  (−) Caja mínima operativa</t>
  </si>
  <si>
    <t>EQUITY VALUE POR SOTP</t>
  </si>
  <si>
    <t>VALOR POR ACCIÓN POR SOTP</t>
  </si>
  <si>
    <t xml:space="preserve">  Valor por acción por DCF consolidado</t>
  </si>
  <si>
    <t xml:space="preserve">  Diferencia SOTP − DCF</t>
  </si>
  <si>
    <t xml:space="preserve">  Diferencia en %</t>
  </si>
  <si>
    <t>CUÁNDO USAR SOTP Y CUÁNDO NO</t>
  </si>
  <si>
    <t>Usar SOTP cuando</t>
  </si>
  <si>
    <t>No usar SOTP cuando</t>
  </si>
  <si>
    <t>Limitación principal aquí</t>
  </si>
  <si>
    <t>Doble contabilización a evitar</t>
  </si>
  <si>
    <t>Si los márgenes por segmento ya soportan su I+D y su fuerza comercial, NO se pueden restar otra vez como coste corporativo. En la fila 14 se deja explícitamente a cero por esa razón.</t>
  </si>
  <si>
    <t>Riesgo de interpretación</t>
  </si>
  <si>
    <t>Una diferencia grande entre SOTP y DCF NO significa que uno esté mal. Significa que el mercado implícito de múltiplos y el flujo descontado discrepan, y eso es información: normalmente indica que los múltiplos aplicados descuentan un crecimiento distinto del que proyecta el DCF.</t>
  </si>
  <si>
    <t>Si alguna fila está en FALLO, el resultado del modelo NO es utilizable. AVISO significa que el control pasa pero la hipótesis exige justificación explícita.</t>
  </si>
  <si>
    <t>RESUMEN</t>
  </si>
  <si>
    <t xml:space="preserve">  Controles en FALLO</t>
  </si>
  <si>
    <t xml:space="preserve">  Controles en AVISO</t>
  </si>
  <si>
    <t xml:space="preserve">  Controles en OK</t>
  </si>
  <si>
    <t xml:space="preserve">  VEREDICTO</t>
  </si>
  <si>
    <t>Control</t>
  </si>
  <si>
    <t>Resultado esperado</t>
  </si>
  <si>
    <t>Valor obtenido</t>
  </si>
  <si>
    <t>Estado</t>
  </si>
  <si>
    <t>Modo de fallo</t>
  </si>
  <si>
    <t>Impacto si falla</t>
  </si>
  <si>
    <t>Corrección</t>
  </si>
  <si>
    <t>Histórico mal transcrito</t>
  </si>
  <si>
    <t>Todo el modelo parte de datos falsos</t>
  </si>
  <si>
    <t>Revisar la transcripción del balance en 03 Historical</t>
  </si>
  <si>
    <t>Falta un segmento o hay doble cómputo</t>
  </si>
  <si>
    <t>Base de ingresos incorrecta</t>
  </si>
  <si>
    <t>Contrastar con la cuenta de resultados del 10-K</t>
  </si>
  <si>
    <t>CFF calculado = CFF reportado (FY2026)</t>
  </si>
  <si>
    <t>Partida de financiación omitida o con signo erróneo</t>
  </si>
  <si>
    <t>Deuda y caja históricas mal entendidas</t>
  </si>
  <si>
    <t>Revisar las líneas 93-102 de 03 Historical</t>
  </si>
  <si>
    <t>CFF calculado = CFF reportado (FY2025)</t>
  </si>
  <si>
    <t>Partida de financiación omitida</t>
  </si>
  <si>
    <t>Deuda histórica mal entendida</t>
  </si>
  <si>
    <t>Deuda total del detalle = corriente + no corriente del balance (FY2026)</t>
  </si>
  <si>
    <t>Leases confundidos con deuda financiera</t>
  </si>
  <si>
    <t>Deuda neta y puente a equity erróneos</t>
  </si>
  <si>
    <t>Separar leases financieros de senior notes</t>
  </si>
  <si>
    <t>Deuda total del detalle = balance (FY2025)</t>
  </si>
  <si>
    <t>Leases confundidos con deuda</t>
  </si>
  <si>
    <t>Deuda neta errónea</t>
  </si>
  <si>
    <t>Separar leases de senior notes</t>
  </si>
  <si>
    <t>Preferentes tratadas fuera del patrimonio</t>
  </si>
  <si>
    <t>Doble resta de las preferentes en el puente</t>
  </si>
  <si>
    <t>Verificar dónde están las preferentes en el balance reportado</t>
  </si>
  <si>
    <t>VERDADERO</t>
  </si>
  <si>
    <t>Tipo fiscal no normalizado</t>
  </si>
  <si>
    <t>Sobreestimación material y permanente del valor</t>
  </si>
  <si>
    <t>Usar tipo de caja convergente, no el efectivo actual</t>
  </si>
  <si>
    <t>Reestructuración excluida del EBIT normalizado pero restada en caja</t>
  </si>
  <si>
    <t>Normalizar el gasto y olvidar la salida de caja</t>
  </si>
  <si>
    <t>Sobreestimación del FCFF</t>
  </si>
  <si>
    <t>Mantener la línea de coste en caja de reestructuración en el FCFF</t>
  </si>
  <si>
    <t>Balance del forecast cuadra los 10 años</t>
  </si>
  <si>
    <t>Partida de balance sin contrapartida en el flujo</t>
  </si>
  <si>
    <t>El modelo es internamente inconsistente</t>
  </si>
  <si>
    <t>Revisar que cada activo/pasivo que varía tenga su línea en el estado de flujos</t>
  </si>
  <si>
    <t>Caja del estado de flujos = caja del balance los 10 años</t>
  </si>
  <si>
    <t>Plug de caja mal construido</t>
  </si>
  <si>
    <t>Flujo de caja no auditable</t>
  </si>
  <si>
    <t>Revisar la política de financiación (filas 29-35)</t>
  </si>
  <si>
    <t>Caja final nunca inferior a la caja mínima operativa</t>
  </si>
  <si>
    <t>≥ 0</t>
  </si>
  <si>
    <t>La política de financiación no cubre el déficit</t>
  </si>
  <si>
    <t>Empresa insolvente en el modelo</t>
  </si>
  <si>
    <t>Aumentar la nueva deuda o reducir dividendos/capex</t>
  </si>
  <si>
    <t>El repago de deuda nunca excede la deuda existente</t>
  </si>
  <si>
    <t>Deuda negativa</t>
  </si>
  <si>
    <t>Intereses negativos y valor inflado</t>
  </si>
  <si>
    <t>Limitar el repago con MIN(deuda inicial; excedente)</t>
  </si>
  <si>
    <t>PP&amp;E final = inicial + capex − depreciación</t>
  </si>
  <si>
    <t>Roll-forward roto</t>
  </si>
  <si>
    <t>Depreciación y capex incoherentes</t>
  </si>
  <si>
    <t>Revisar las filas 33-37 de 04 Operating Model</t>
  </si>
  <si>
    <t>Los intangibles adquiridos se amortizan hasta cero</t>
  </si>
  <si>
    <t>≈ 0</t>
  </si>
  <si>
    <t>Amortización perpetua de intangibles ya agotados</t>
  </si>
  <si>
    <t>Sobreestimación del gasto terminal</t>
  </si>
  <si>
    <t>Ajustar el calendario de la fila 37 de 02 Assumptions</t>
  </si>
  <si>
    <t>FCFF llega a ser positivo dentro del horizonte</t>
  </si>
  <si>
    <t>&gt; 0</t>
  </si>
  <si>
    <t>El capex nunca normaliza</t>
  </si>
  <si>
    <t>El FCFF DCF no es una metodología válida</t>
  </si>
  <si>
    <t>Revisar el vector de capex o cambiar de metodología</t>
  </si>
  <si>
    <t>Años con FCFF negativo</t>
  </si>
  <si>
    <t>≤ 3</t>
  </si>
  <si>
    <t>Demasiados años de flujo negativo</t>
  </si>
  <si>
    <t>Casi todo el valor queda en el valor terminal</t>
  </si>
  <si>
    <t>Ampliar el horizonte y ensanchar los escenarios</t>
  </si>
  <si>
    <t>Capex del año 1 demasiado optimista</t>
  </si>
  <si>
    <t>Se esconde la fase de inversión</t>
  </si>
  <si>
    <t>Contrastar el capex FY2027 con la guía de la compañía</t>
  </si>
  <si>
    <t>Deuda neta actual coherente con el balance reportado</t>
  </si>
  <si>
    <t>Deuda neta calculada de dos formas distintas</t>
  </si>
  <si>
    <t>Puente a equity erróneo</t>
  </si>
  <si>
    <t>Unificar la definición de deuda neta</t>
  </si>
  <si>
    <t>WACC &gt; crecimiento terminal</t>
  </si>
  <si>
    <t>g mayor o igual que el WACC</t>
  </si>
  <si>
    <t>Valor terminal infinito o negativo: sin sentido</t>
  </si>
  <si>
    <t>Bajar g o subir el WACC con justificación</t>
  </si>
  <si>
    <t>Margen WACC − g suficiente (&gt; 200 pb)</t>
  </si>
  <si>
    <t>&gt; 2,0pp</t>
  </si>
  <si>
    <t>Denominador del valor terminal casi cero</t>
  </si>
  <si>
    <t>Valor terminal hipersensible a g</t>
  </si>
  <si>
    <t>Ampliar el margen o usar múltiplo de salida</t>
  </si>
  <si>
    <t>Ke &gt; Kd (coherencia de prelación de riesgo)</t>
  </si>
  <si>
    <t>Coste de equity por debajo del de deuda</t>
  </si>
  <si>
    <t>CAPM mal parametrizado</t>
  </si>
  <si>
    <t>Revisar beta, ERP y tipo libre de riesgo</t>
  </si>
  <si>
    <t>Kd marginal ≥ Kd implícito histórico</t>
  </si>
  <si>
    <t>Deuda nueva más barata que la antigua sin justificación</t>
  </si>
  <si>
    <t>Subestimación del coste de capital</t>
  </si>
  <si>
    <t>Beta reapalancada coherente con la estructura objetivo</t>
  </si>
  <si>
    <t>Beta reapalancada menor que la desapalancada</t>
  </si>
  <si>
    <t>Riesgo del apalancamiento no recogido</t>
  </si>
  <si>
    <t>Revisar la fórmula de Hamada</t>
  </si>
  <si>
    <t>Estructura de capital objetivo entre 5% y 45% de deuda</t>
  </si>
  <si>
    <t>5%–45%</t>
  </si>
  <si>
    <t>Peso de deuda irreal</t>
  </si>
  <si>
    <t>WACC sesgado</t>
  </si>
  <si>
    <t>Justificar con la estructura objetivo declarada</t>
  </si>
  <si>
    <t>El WACC no se usa como cajón de sastre del riesgo</t>
  </si>
  <si>
    <t>Revisión cualitativa</t>
  </si>
  <si>
    <t>Documentado</t>
  </si>
  <si>
    <t>Meter todo el riesgo en el WACC</t>
  </si>
  <si>
    <t>Doble contabilización del riesgo</t>
  </si>
  <si>
    <t>Riesgo de negocio a los flujos y escenarios; riesgo sistemático al WACC</t>
  </si>
  <si>
    <t>Crecimiento terminal ≤ PIB nominal de referencia</t>
  </si>
  <si>
    <t>g superior al crecimiento nominal de la economía</t>
  </si>
  <si>
    <t>La empresa acabaría siendo la economía entera</t>
  </si>
  <si>
    <t>Bajar g por debajo del PIB nominal</t>
  </si>
  <si>
    <t>Crecimiento terminal justificado (no elegido por costumbre)</t>
  </si>
  <si>
    <t>Ver 02 Assumptions fila 89</t>
  </si>
  <si>
    <t>Justificado</t>
  </si>
  <si>
    <t>Usar 3% o 4% por inercia</t>
  </si>
  <si>
    <t>Hipótesis indefendible ante otro analista</t>
  </si>
  <si>
    <t>Descomponer g en inflación más crecimiento real</t>
  </si>
  <si>
    <t>Reinversión terminal coherente con g y ROIC</t>
  </si>
  <si>
    <t>Crecimiento perpetuo sin reinvertir</t>
  </si>
  <si>
    <t>Valor terminal inflado (crecimiento gratis)</t>
  </si>
  <si>
    <t>Usar reinversión = g / ROIC terminal</t>
  </si>
  <si>
    <t>ROIC terminal no superior al ROIC del último año explícito</t>
  </si>
  <si>
    <t>ROIC terminal inventado por encima de la trayectoria</t>
  </si>
  <si>
    <t>Valor terminal inflado</t>
  </si>
  <si>
    <t>Fijar el ROIC terminal por debajo o igual al del año 10</t>
  </si>
  <si>
    <t>Múltiplo de salida implícito en rango razonable (8x–25x)</t>
  </si>
  <si>
    <t>8x–25x</t>
  </si>
  <si>
    <t>Gordon produce un múltiplo absurdo</t>
  </si>
  <si>
    <t>Señal de que g, ROIC o WACC son incoherentes</t>
  </si>
  <si>
    <t>Revisar los tres a la vez, no uno solo</t>
  </si>
  <si>
    <t>Peso del valor terminal sobre el EV</t>
  </si>
  <si>
    <t>&lt; 75%</t>
  </si>
  <si>
    <t>Casi todo el valor en el año 11 y siguientes</t>
  </si>
  <si>
    <t>El resultado no depende de datos observables</t>
  </si>
  <si>
    <t>Ampliar el horizonte explícito y presentar rango, no punto</t>
  </si>
  <si>
    <t>Margen EBIT terminal no superior al máximo histórico sin justificación</t>
  </si>
  <si>
    <t>Margen terminal por encima del mejor año de la historia</t>
  </si>
  <si>
    <t>Expansión de margen sin mecanismo económico</t>
  </si>
  <si>
    <t>Explicar competencia, precios y apalancamiento operativo o rebajarlo</t>
  </si>
  <si>
    <t>Capex terminal ≈ D&amp;A terminal (no se asume gratuitamente)</t>
  </si>
  <si>
    <t>0,8x–1,3x</t>
  </si>
  <si>
    <t>Capex terminal muy por debajo de la depreciación</t>
  </si>
  <si>
    <t>Se financia crecimiento sin invertir</t>
  </si>
  <si>
    <t>Elevar el capex terminal o reducir g</t>
  </si>
  <si>
    <t>Capex NO se ha igualado a D&amp;A por defecto</t>
  </si>
  <si>
    <t>≠ 1,0x en el año 1</t>
  </si>
  <si>
    <t>Regla Capex = D&amp;A aplicada mecánicamente</t>
  </si>
  <si>
    <t>Ignora la fase de inversión real</t>
  </si>
  <si>
    <t>Modelar capex con su propio driver</t>
  </si>
  <si>
    <t>&lt; 0</t>
  </si>
  <si>
    <t>Inconsistencia grave: más capital y más margen</t>
  </si>
  <si>
    <t>Bajar el margen bruto terminal</t>
  </si>
  <si>
    <t>Circulante modelado con drivers, no como % genérico de ingresos</t>
  </si>
  <si>
    <t>Ver 02 Assumptions filas 47-53</t>
  </si>
  <si>
    <t>DSO / proveedores</t>
  </si>
  <si>
    <t>NWC = % de ingresos sin driver operativo</t>
  </si>
  <si>
    <t>Se pierde la señal de gestión del circulante</t>
  </si>
  <si>
    <t>Usar DSO, DIO y DPO</t>
  </si>
  <si>
    <t>Forzar NWC positivo en un negocio de cobro anticipado</t>
  </si>
  <si>
    <t>Se destruye una fuente real de caja</t>
  </si>
  <si>
    <t>Permitir NWC negativo cuando los ingresos diferidos lo justifican</t>
  </si>
  <si>
    <t>DSO proyectado coherente con el histórico</t>
  </si>
  <si>
    <t>±10 días</t>
  </si>
  <si>
    <t>Salto injustificado en los días de cobro</t>
  </si>
  <si>
    <t>Variación de circulante irreal</t>
  </si>
  <si>
    <t>Anclar el DSO en el histórico</t>
  </si>
  <si>
    <t>Puente EV → Equity completo: EV + ajustes = Equity</t>
  </si>
  <si>
    <t>Falta una reclamación</t>
  </si>
  <si>
    <t>Valor por acción erróneo</t>
  </si>
  <si>
    <t>Revisar las filas 46-52 de 06 DCF</t>
  </si>
  <si>
    <t>Deuda financiera restada una sola vez</t>
  </si>
  <si>
    <t>Deuda restada dos veces</t>
  </si>
  <si>
    <t>Infravaloración grave del equity</t>
  </si>
  <si>
    <t>Eliminar la línea duplicada</t>
  </si>
  <si>
    <t>Leases financieros restados (son deuda)</t>
  </si>
  <si>
    <t>Leases financieros ignorados</t>
  </si>
  <si>
    <t>Sobrevaloración del equity</t>
  </si>
  <si>
    <t>Añadir el pasivo por leases financieros al puente</t>
  </si>
  <si>
    <t>Doble contabilización del lease</t>
  </si>
  <si>
    <t>Elegir UNA convención y aplicarla de forma completa</t>
  </si>
  <si>
    <t>Minoritarios restados</t>
  </si>
  <si>
    <t>Minoritarios ignorados</t>
  </si>
  <si>
    <t>Restar los intereses minoritarios</t>
  </si>
  <si>
    <t>Preferentes restadas una sola vez y sin añadir acciones</t>
  </si>
  <si>
    <t>Preferentes restadas Y convertidas en acciones</t>
  </si>
  <si>
    <t>Doble contabilización de la dilución</t>
  </si>
  <si>
    <t>Elegir: restar el valor O añadir acciones, nunca las dos</t>
  </si>
  <si>
    <t>No se asume toda la caja como distribuible</t>
  </si>
  <si>
    <t>Caja mínima operativa ignorada</t>
  </si>
  <si>
    <t>Restar la caja operativa mínima</t>
  </si>
  <si>
    <t>Se usan acciones DILUIDAS, no básicas</t>
  </si>
  <si>
    <t>Uso de acciones básicas con dilución material</t>
  </si>
  <si>
    <t>Sobreestimación del valor por acción</t>
  </si>
  <si>
    <t>Usar acciones diluidas</t>
  </si>
  <si>
    <t>SBC tratado como gasto y sin dilución adicional (sin doble cómputo)</t>
  </si>
  <si>
    <t>Ver 02 Assumptions fila 15</t>
  </si>
  <si>
    <t>Coherente</t>
  </si>
  <si>
    <t>Readir SBC al flujo y no diluir</t>
  </si>
  <si>
    <t>Sobrevaloración sistemática en software</t>
  </si>
  <si>
    <t>Mantener el SBC como gasto y no aplicar dilución extra</t>
  </si>
  <si>
    <t>Ningún output está introducido a mano</t>
  </si>
  <si>
    <t>Fórmula</t>
  </si>
  <si>
    <t>Valor por acción escrito a mano</t>
  </si>
  <si>
    <t>El modelo no es auditable ni dinámico</t>
  </si>
  <si>
    <t>Recalcular desde EV → Equity → acciones</t>
  </si>
  <si>
    <t>Crecimiento implícito (reinversión × ROIC) vs proyectado, año 10</t>
  </si>
  <si>
    <t>±5pp</t>
  </si>
  <si>
    <t>Crece sin reinvertir o reinvierte sin crecer</t>
  </si>
  <si>
    <t>Inconsistencia de la identidad crecimiento-reinversión-ROIC</t>
  </si>
  <si>
    <t>Ajustar capex, circulante o crecimiento hasta cerrar la brecha</t>
  </si>
  <si>
    <t>ROIC del año 10 &gt; WACC (creación de valor coherente con el crecimiento)</t>
  </si>
  <si>
    <t>Se proyecta crecimiento destruyendo valor</t>
  </si>
  <si>
    <t>Crecer empeora el valor y el modelo no lo refleja</t>
  </si>
  <si>
    <t>Si ROIC &lt; WACC, el crecimiento no debe añadir valor terminal</t>
  </si>
  <si>
    <t>Los escenarios no mejoran todos los drivers a la vez</t>
  </si>
  <si>
    <t>Ver 09 Scenarios filas 20-23</t>
  </si>
  <si>
    <t>Coherentes</t>
  </si>
  <si>
    <t>Bull con más crecimiento y menos capex y menos WACC sin contrapartida</t>
  </si>
  <si>
    <t>Escenario internamente contradictorio</t>
  </si>
  <si>
    <t>El capex por unidad de ingreso debe moverse en sentido coherente</t>
  </si>
  <si>
    <t>Bear más severo que Base y Bull mejor que Base</t>
  </si>
  <si>
    <t>Ordenación</t>
  </si>
  <si>
    <t>Monótona</t>
  </si>
  <si>
    <t>Deltas mal signados</t>
  </si>
  <si>
    <t>Los escenarios no acotan nada</t>
  </si>
  <si>
    <t>Revisar los signos de la matriz de escenarios</t>
  </si>
  <si>
    <t>Shock de sensibilidad devuelto a cero</t>
  </si>
  <si>
    <t>Shock manual olvidado distinto de cero</t>
  </si>
  <si>
    <t>TODO el modelo queda sesgado</t>
  </si>
  <si>
    <t>Devolver 02 Assumptions!C104 a 0</t>
  </si>
  <si>
    <t>Moneda de los flujos y del WACC coherentes</t>
  </si>
  <si>
    <t>USD / USD</t>
  </si>
  <si>
    <t>Flujos en una moneda y WACC en otra</t>
  </si>
  <si>
    <t>Error de valoración de primer orden</t>
  </si>
  <si>
    <t>Usar el tipo libre de riesgo de la moneda de los flujos</t>
  </si>
  <si>
    <t>Flujos nominales con WACC nominal (no mezclar real y nominal)</t>
  </si>
  <si>
    <t>Nominal / nominal</t>
  </si>
  <si>
    <t>Flujos reales descontados a WACC nominal</t>
  </si>
  <si>
    <t>Infravaloración sistemática</t>
  </si>
  <si>
    <t>Mantener ambos en términos nominales</t>
  </si>
  <si>
    <t>Sin referencias circulares (interés sobre deuda inicial)</t>
  </si>
  <si>
    <t>Ver 02 Assumptions fila 103</t>
  </si>
  <si>
    <t>Sin circularidad</t>
  </si>
  <si>
    <t>Interés sobre deuda media sin cálculo iterativo</t>
  </si>
  <si>
    <t>Excel no converge o da valores falsos</t>
  </si>
  <si>
    <t>Usar deuda inicial o activar el cálculo iterativo de forma consciente</t>
  </si>
  <si>
    <t>Centro de las rejillas de sensibilidad = caso base</t>
  </si>
  <si>
    <t>Rejilla descentrada</t>
  </si>
  <si>
    <t>Se lee mal la sensibilidad</t>
  </si>
  <si>
    <t>Usar un número impar de filas y columnas con la base en el centro</t>
  </si>
  <si>
    <t>Sin errores de fórmula en el modelo operativo</t>
  </si>
  <si>
    <t>El modelo no calcula</t>
  </si>
  <si>
    <t>Localizar y corregir la celda con error</t>
  </si>
  <si>
    <t>Sin errores de fórmula en los tres estados</t>
  </si>
  <si>
    <t>Errores de fórmula</t>
  </si>
  <si>
    <t>Localizar y corregir</t>
  </si>
  <si>
    <t>Sin errores de fórmula en el DCF</t>
  </si>
  <si>
    <t>No hay valoración</t>
  </si>
  <si>
    <t>Sin errores de fórmula en las sensibilidades</t>
  </si>
  <si>
    <t>Sensibilidades ilegibles</t>
  </si>
  <si>
    <t>Revisar las fórmulas cerradas de revaloración</t>
  </si>
  <si>
    <t>Precio de mercado introducido</t>
  </si>
  <si>
    <t>Celda de precio vacía</t>
  </si>
  <si>
    <t>No se puede concluir nada sobre la acción</t>
  </si>
  <si>
    <t>Introducir el precio en 01 Summary!C10 y fecharlo</t>
  </si>
  <si>
    <t>MANUAL I — FUNDAMENTOS, ARQUITECTURA Y CONSTRUCCIÓN DEL DCF</t>
  </si>
  <si>
    <t>PARTE I — EL DCF NO ES UNA FÓRMULA UNIVERSAL</t>
  </si>
  <si>
    <t>Un DCF no es aplicar mecánicamente una fórmula. La metodología debe adaptarse al sector, al modelo de negocio, a la estructura de capital, a la intensidad de capital, a la regulación, al ciclo, a la madurez, a la estabilidad de los flujos, al tratamiento contable, a la existencia de activos no operativos, a la exposición a materias primas, a la naturaleza de los ingresos, a la estructura de deuda y a las necesidades de reinversión.</t>
  </si>
  <si>
    <t>Árbol de decisión (7 preguntas)</t>
  </si>
  <si>
    <t>1) ¿Genera flujo de caja operativo positivo?  2) ¿Son los flujos razonablemente previsibles?  3) ¿Tiene deuda significativa?  4) ¿Es una institución financiera?  5) ¿Es intensiva en activos físicos?  6) ¿Tiene segmentos con economías distintas?  7) ¿Hay algo en su contabilidad o estructura que haga problemático el FCFF? — La aplicación de este árbol a Oracle está resuelta y documentada en la hoja '11 Cross Check'.</t>
  </si>
  <si>
    <t>Salidas posibles del árbol</t>
  </si>
  <si>
    <t>FCFF DCF · FCFE DCF · Dividend Discount Model · Excess Returns · Sum-of-the-Parts · NAV · rNPV · EV/EBITDA · EV/Revenue · P/E · P/B. Regla: no forzar un FCFF DCF cuando otra metodología es estructuralmente superior.</t>
  </si>
  <si>
    <t>PARTE II — ARQUITECTURA DEL LIBRO</t>
  </si>
  <si>
    <t>Diseño</t>
  </si>
  <si>
    <t>14 hojas de modelo (01 a 14) más 4 de manual (M1 a M4). Cada hoja tiene una función única. Las hipótesis viven SOLO en '02 Assumptions'; las demás hojas contienen fórmulas y enlaces. Ninguna hoja de cálculo contiene hipótesis propias: si aparece un número azul fuera de 02 Assumptions o 07 WACC, es un defecto.</t>
  </si>
  <si>
    <t>Columnas</t>
  </si>
  <si>
    <t>Convención uniforme en todas las hojas de modelo: columna B etiqueta, C unidad, D/E/F históricos FY2024A–FY2026A, G a P proyección FY2027E–FY2036E. Esto permite arrastrar fórmulas y comparar hojas fila a fila.</t>
  </si>
  <si>
    <t>Las cinco categorías de dato</t>
  </si>
  <si>
    <t>HARD-CODED INPUT (introducido a mano) · HISTORICAL DATA (reportado por la compañía) · ASSUMPTION (hipótesis del analista) · FORMULA (calculado) · EXTERNAL ESTIMATE (consenso o terceros) · MANAGEMENT GUIDANCE (guía de la dirección). Nunca se mezclan: dato observado ≠ supuesto ≠ estimación ≠ resultado.</t>
  </si>
  <si>
    <t>Código de color</t>
  </si>
  <si>
    <t>AZUL = input del analista. NEGRO = fórmula. VERDE = enlace a otra hoja del mismo libro. GRIS = dato histórico reportado. AMARILLO = hipótesis crítica que mueve el valor. ROJO = advertencia o enlace externo.</t>
  </si>
  <si>
    <t>PARTE III — OBTENCIÓN Y NORMALIZACIÓN DE DATOS</t>
  </si>
  <si>
    <t>Fuentes admisibles</t>
  </si>
  <si>
    <t>10-K, 10-Q, Annual Report, Earnings Release, Investor Presentation, filings en SEC EDGAR y notas de la memoria. NO: blogs financieros, agregadores no oficiales, foros, prensa que reinterpreta cifras. Todo dato de este libro procede del Form 10-K FY2026 de Oracle; la trazabilidad está en '14 Sources'.</t>
  </si>
  <si>
    <t>Qué extraer</t>
  </si>
  <si>
    <t>Cuenta de resultados completa; balance completo con desglose de deuda, leases y patrimonio; flujo de caja con D&amp;A, SBC, circulante, capex y financiación. Además: nota de impuestos, nota de arrendamientos, nota de deuda, backlog (RPO) y acciones en circulación.</t>
  </si>
  <si>
    <t>Normalización</t>
  </si>
  <si>
    <t>Cada partida no recurrente exige una decisión explícita: ¿se elimina, se mantiene, se normaliza, se amortiza o se modela aparte? La tabla de decisiones aplicada a Oracle está en '03 Historical' filas 144-157, con justificación económica por partida.</t>
  </si>
  <si>
    <t>Regla de normalización</t>
  </si>
  <si>
    <t>NO se elimina una partida solo porque reduzca el beneficio. La normalización exige justificación económica. Oracle reporta reestructuración casi todos los años: por eso en este modelo NO se elimina, se normaliza a un nivel medio y se mantiene su salida de caja en el FCFF.</t>
  </si>
  <si>
    <t>PARTE IV — STOCK-BASED COMPENSATION: EL CASO ESPECIAL</t>
  </si>
  <si>
    <t>Por qué importa</t>
  </si>
  <si>
    <t>Tratamiento A — gasto económico real</t>
  </si>
  <si>
    <t>Se mantiene en los gastos operativos y NO se readiciona. No se proyecta dilución adicional. Defendible porque el SBC es retribución: si se pagara en efectivo estaría en el EBIT sin discusión. ES EL TRATAMIENTO APLICADO EN ESTE MODELO.</t>
  </si>
  <si>
    <t>Tratamiento B — readición con dilución</t>
  </si>
  <si>
    <t>Se readiciona al flujo (no es caja) pero se proyecta explícitamente el aumento de acciones y se divide el Equity Value por un número creciente de acciones. Coherente, pero exige modelar el share count y las recompras de neutralización.</t>
  </si>
  <si>
    <t>Tratamiento C — modelización explícita</t>
  </si>
  <si>
    <t>Se modelan las concesiones, el vesting, las cancelaciones y las recompras destinadas a neutralizar la dilución. Es el más riguroso y el más costoso. Necesario cuando el SBC supera el 10% de los ingresos.</t>
  </si>
  <si>
    <t>EL ERROR PROHIBIDO</t>
  </si>
  <si>
    <t>Readicionar el SBC al flujo de caja Y ADEMÁS no diluir el número de acciones. Eso regala al accionista una retribución que alguien paga. Sobrevaloración sistemática.</t>
  </si>
  <si>
    <t>PARTE V — FORECAST OPERATIVO</t>
  </si>
  <si>
    <t>Métodos de proyección de ingresos</t>
  </si>
  <si>
    <t>1) Crecimiento histórico  2) TAM × cuota de mercado  3) Clientes × ARPU  4) Unidades × precio  5) Tiendas × ingreso por tienda  6) Por segmento  7) Suscripción (ARR, NRR, churn)  8) Volumen × precio. El método correcto depende del sector: ver 'M3 Manual Sectorial'.</t>
  </si>
  <si>
    <t>Lo que NO se hace</t>
  </si>
  <si>
    <t>Proyectar Ingresos = Ingresos anteriores × 1,10 sin justificación. Tampoco extrapolar el CAGR de los últimos 3 años: puede estar distorsionado por efectos base, adquisiciones, COVID, desinversiones, divisa, subidas de precio o el ciclo.</t>
  </si>
  <si>
    <t>Márgenes</t>
  </si>
  <si>
    <t>Se proyectan Gross Margin, EBITDA Margin y EBIT Margin usando tendencia histórica, apalancamiento operativo, márgenes de comparables, guía de la dirección, unit economics, precios y estructura de costes. NUNCA se supone expansión de margen sin explicar el mecanismo económico que la produce.</t>
  </si>
  <si>
    <t>Apalancamiento operativo</t>
  </si>
  <si>
    <t>Es la conexión entre crecimiento y margen: ingresos crecientes sobre una base de costes fijos diluyen el gasto y expanden el margen; ingresos decrecientes lo comprimen más que proporcionalmente. En este modelo es la ÚNICA palanca de margen utilizada: el margen bruto se proyecta a la BAJA y la expansión viene de la dilución de S&amp;M, I+D y G&amp;A.</t>
  </si>
  <si>
    <t>Distinguir tipo estatutario, tipo efectivo, tipo de caja, impuestos diferidos, NOLs, créditos fiscales y estructuras internacionales. NO usar automáticamente Impuestos / BAI si hay anomalías. Oracle reporta un tipo efectivo del 12,6% que NO es sostenible: el modelo converge al 19%.</t>
  </si>
  <si>
    <t>Depreciación</t>
  </si>
  <si>
    <t>Cuatro métodos: A) D&amp;A / Ingresos  B) D&amp;A / Capex  C) Roll-forward de PP&amp;E  D) Modelo de vida de activos. Este modelo usa el C, calibrado contra la depreciación reportada de FY2026, porque con capex del 82,6% de los ingresos los métodos A y B producen resultados absurdos.</t>
  </si>
  <si>
    <t>Capex</t>
  </si>
  <si>
    <t>Distinguir mantenimiento, crecimiento, expansión, reposición y regulatorio. Comparar Capex/Ingresos, Capex/D&amp;A, capex por unidad, por tienda, por cliente y el requerido para ampliar capacidad. NUNCA asumir Capex = D&amp;A sin analizar antes la economía del negocio.</t>
  </si>
  <si>
    <t>Circulante</t>
  </si>
  <si>
    <t>Modelar clientes, existencias, proveedores y otras partidas operativas con DSO, DIO y DPO, no con un porcentaje genérico de ingresos. Excepción importante: el circulante NEGATIVO es real en negocios de cobro anticipado (marketplaces, suscripción, retail con poder sobre proveedores). Oracle tiene NWC negativo por ingresos diferidos: el crecimiento GENERA caja por circulante y no se debe forzar a positivo.</t>
  </si>
  <si>
    <t>PARTE VI — DEL FCFF AL VALOR POR ACCIÓN</t>
  </si>
  <si>
    <t>EBIT × (1 − t) + D&amp;A − Capex − Variación del NWC. Se parte del EBIT y no del beneficio neto porque el FCFF es el flujo ANTES de decisiones de financiación: pertenece a todos los proveedores de capital y se descuenta al WACC. Excepciones a valorar caso a caso: costes en caja de reestructuración, aportaciones a pensiones, SBC, pagos de leases, adquisiciones, I+D capitalizado, capital regulatorio y gasto de exploración.</t>
  </si>
  <si>
    <t>WACC = E/(D+E) × Ke + D/(D+E) × Kd × (1 − t). Con Ke = Rf + Beta × ERP. Beta desapalancada = Beta apalancada / [1 + (1−t) × D/E]; Beta reapalancada = Beta desapalancada × [1 + (1−t) × D/E objetivo]. Construcción completa y documentada en '07 WACC'.</t>
  </si>
  <si>
    <t>Valor terminal</t>
  </si>
  <si>
    <t>Gordon: VT = FCFF terminal × (1+g) / (WACC − g). Múltiplo de salida: VT = EBITDA × múltiplo. Este modelo usa Gordon pero con la reinversión DISCIPLINADA por la identidad g = tasa de reinversión × ROIC, de modo que el crecimiento perpetuo se paga con reinversión perpetua. La comparación con el método ingenuo está en '06 DCF' filas 37-39.</t>
  </si>
  <si>
    <t>Puente a Equity</t>
  </si>
  <si>
    <t>EV − deuda financiera − leases financieros + caja − caja mínima operativa + valores negociables − minoritarios − preferentes − otras reclamaciones + activos no operativos = Equity Value. Dividido entre acciones DILUIDAS = valor por acción.</t>
  </si>
  <si>
    <t>Convención de descuento</t>
  </si>
  <si>
    <t>Fin de año: factor = 1/(1+WACC)^n. Mitad de año: se usa n−0,5 porque los flujos se generan a lo largo del ejercicio, no el último día. Este modelo usa mitad de año para los flujos explícitos pero descuenta el valor terminal al año COMPLETO, porque el valor terminal es un stock medido al cierre del año 10, no un flujo del año 10.</t>
  </si>
  <si>
    <t>Horizonte explícito</t>
  </si>
  <si>
    <t>5 años para negocios maduros y estables. 7-10 años cuando la empresa no está en estado estacionario. 10-15 solo con justificación extraordinaria. Regla: cuanto más largo el horizonte, mayor la exigencia de justificación. NO se alarga el horizonte para hacer converger artificialmente la empresa hacia un margen deseado. Aquí se usan 10 años porque FY2026 no es un año normalizado: el capex del 82,6% de los ingresos y el FCFF negativo exigen un horizonte que llegue al estado estacionario.</t>
  </si>
  <si>
    <t>MANUAL II — REGLAS CRÍTICAS EN FORMATO AUDITABLE</t>
  </si>
  <si>
    <t>Formato: REGLA / POR QUÉ / CUÁNDO APLICAR / CUÁNDO NO APLICAR / RIESGO / CHECK EN EXCEL</t>
  </si>
  <si>
    <t>REGLA</t>
  </si>
  <si>
    <t>POR QUÉ</t>
  </si>
  <si>
    <t>CUÁNDO APLICAR</t>
  </si>
  <si>
    <t>CUÁNDO NO APLICAR</t>
  </si>
  <si>
    <t>RIESGO</t>
  </si>
  <si>
    <t>CHECK EN ESTE LIBRO</t>
  </si>
  <si>
    <t>El WACC debe ser mayor que el crecimiento terminal</t>
  </si>
  <si>
    <t>Si g ≥ WACC el denominador (WACC − g) es cero o negativo y el valor terminal se vuelve infinito o negativo. No es un problema numérico: significa que se está afirmando que la empresa crecerá para siempre más rápido de lo que el mercado exige por su riesgo.</t>
  </si>
  <si>
    <t>Siempre, sin excepción, en cualquier modelo de Gordon.</t>
  </si>
  <si>
    <t>Nunca hay excepción. Si el margen es inferior a 200 pb el valor terminal es tan sensible a g que conviene cambiar al método de múltiplo de salida.</t>
  </si>
  <si>
    <t>Valoración sin sentido económico, normalmente enorme.</t>
  </si>
  <si>
    <t>Controles 21 y 22 de '13 Checks'; celda C42 de '07 WACC'.</t>
  </si>
  <si>
    <t>El crecimiento terminal no puede exceder el PIB nominal de largo plazo</t>
  </si>
  <si>
    <t>Una empresa que crece indefinidamente más que la economía acabaría siendo la economía entera. Es matemáticamente imposible a perpetuidad.</t>
  </si>
  <si>
    <t>Siempre. g debe descomponerse en inflación esperada más crecimiento real sostenible.</t>
  </si>
  <si>
    <t>Puede superarlo brevemente en el periodo EXPLÍCITO, nunca en la perpetuidad.</t>
  </si>
  <si>
    <t>Sobrevaloración estructural que además es indefendible ante otro analista.</t>
  </si>
  <si>
    <t>Control 28; celda C65 de '02 Assumptions' como tope de referencia.</t>
  </si>
  <si>
    <t>El crecimiento perpetuo debe pagarse con reinversión perpetua</t>
  </si>
  <si>
    <t>La identidad g = tasa de reinversión × ROIC no es una curiosidad académica: es la restricción de recursos. Crecer exige capital. Un valor terminal construido sobre el FCFF del último año más un g positivo asume implícitamente crecimiento gratis.</t>
  </si>
  <si>
    <t>Siempre que se use Gordon. Se fija un ROIC terminal explícito y la reinversión terminal se deriva como g / ROIC.</t>
  </si>
  <si>
    <t>Si se usa múltiplo de salida, la disciplina la impone el múltiplo (aunque entonces hay que justificar el múltiplo).</t>
  </si>
  <si>
    <t>Inflación del valor terminal. En este modelo la diferencia entre el método disciplinado y el ingenuo se cuantifica en '06 DCF' fila 39.</t>
  </si>
  <si>
    <t>Controles 30 y 31; filas 26-30 y 37-39 de '06 DCF'.</t>
  </si>
  <si>
    <t>No usar el tipo impositivo efectivo actual a perpetuidad si es anómalo</t>
  </si>
  <si>
    <t>Un tipo efectivo bajo suele venir de créditos fiscales de I+D, FDII, mix jurisdiccional y beneficios por vesting de acciones. Ninguno de esos escala proporcionalmente con el beneficio.</t>
  </si>
  <si>
    <t>Cuando el tipo efectivo se desvía materialmente del estatutario ajustado por mix geográfico. Oracle: 12,6% reportado frente al 21% estatutario federal.</t>
  </si>
  <si>
    <t>Si el tipo bajo proviene de una estructura estable y verificable (jurisdicción, régimen permanente), puede mantenerse con justificación documentada.</t>
  </si>
  <si>
    <t>Sobreestimación material y PERMANENTE del valor, porque afecta a todos los años y al valor terminal.</t>
  </si>
  <si>
    <t>Control 9; vector G57:P57 de '02 Assumptions'.</t>
  </si>
  <si>
    <t>No asumir Capex = D&amp;A</t>
  </si>
  <si>
    <t>Es una regla de estado estacionario. Aplicada a una empresa en fase de inversión subestima brutalmente la reinversión; aplicada a una empresa en declive la sobreestima.</t>
  </si>
  <si>
    <t>Solo en el año terminal, y solo si se ha comprobado que el negocio está realmente en estado estacionario.</t>
  </si>
  <si>
    <t>Nunca en el periodo explícito de una empresa que está construyendo capacidad. Oracle gastó el 82,6% de sus ingresos en capex en FY2026.</t>
  </si>
  <si>
    <t>Controles 35 y 36; filas 34-41 de '04 Operating Model'.</t>
  </si>
  <si>
    <t>Elegir UNA convención de arrendamientos y aplicarla completa</t>
  </si>
  <si>
    <t>Bajo ASC 842 / IFRS 16 el lease operativo puede tratarse como gasto operativo (pasivo fuera de la deuda neta) o como deuda (readiendo el gasto al EBIT y añadiendo amortización del ROU al D&amp;A). Ambas son válidas; mezclarlas no.</t>
  </si>
  <si>
    <t>Declarar la convención en la hoja de hipótesis antes de construir nada. Aquí: operativo, declarado en '02 Assumptions'!C14.</t>
  </si>
  <si>
    <t>Nunca se resta el pasivo del lease del Equity Value manteniendo el gasto del lease dentro del EBIT.</t>
  </si>
  <si>
    <t>Control 44; demostración cuantificada del error en '11 Cross Check' filas 16-22.</t>
  </si>
  <si>
    <t>No asumir que toda la caja es distribuible</t>
  </si>
  <si>
    <t>Hay caja restringida, caja atrapada en jurisdicciones con coste de repatriación, caja operativa mínima, fondos de clientes y caja exigida por regulación.</t>
  </si>
  <si>
    <t>Siempre. Se estima una caja operativa mínima y solo el exceso entra en el puente a Equity.</t>
  </si>
  <si>
    <t>Si la memoria acredita que la caja es libre y repatriable sin coste, puede usarse íntegra.</t>
  </si>
  <si>
    <t>Control 47; fila 49 de '06 DCF'.</t>
  </si>
  <si>
    <t>Usar acciones diluidas cuando la dilución es material</t>
  </si>
  <si>
    <t>Opciones, RSUs, acciones restringidas, convertibles y warrants representan derechos reales sobre el beneficio futuro. El método del treasury stock recoge las opciones dentro del dinero.</t>
  </si>
  <si>
    <t>Si la dilución es inmaterial y no hay instrumentos pendientes.</t>
  </si>
  <si>
    <t>Sobreestimación directa del valor por acción.</t>
  </si>
  <si>
    <t>Control 48; fila 54 de '06 DCF'.</t>
  </si>
  <si>
    <t>Preferentes: restar el valor O añadir las acciones, nunca las dos</t>
  </si>
  <si>
    <t>Elegir un método y documentarlo. Aquí: se resta el valor contable y NO se añaden acciones.</t>
  </si>
  <si>
    <t>Si se opta por el método if-converted, entonces NO se resta el valor y sí se añaden las acciones.</t>
  </si>
  <si>
    <t>Doble contabilización de la dilución.</t>
  </si>
  <si>
    <t>Control 46; fila 52 de '06 DCF' y '02 Assumptions'!C75.</t>
  </si>
  <si>
    <t>El SBC no puede readicionarse y además no diluir</t>
  </si>
  <si>
    <t>Es retribución real a empleados. O es gasto (y reduce el flujo) o es dilución (y aumenta las acciones). Las dos cosas a la vez sería gratis.</t>
  </si>
  <si>
    <t>Si el SBC es inmaterial.</t>
  </si>
  <si>
    <t>Sobrevaloración sistemática, el error más frecuente en valoración de software.</t>
  </si>
  <si>
    <t>Control 49; '02 Assumptions'!C15 declara el tratamiento.</t>
  </si>
  <si>
    <t>No proyectar el margen máximo histórico como margen terminal</t>
  </si>
  <si>
    <t>El mejor año de la historia normalmente coincide con un mix favorable, un ciclo favorable o una competencia débil. Extrapolarlo asume que esas condiciones son permanentes.</t>
  </si>
  <si>
    <t>Comprobar siempre el margen terminal contra el máximo histórico y exigir mecanismo económico si lo supera.</t>
  </si>
  <si>
    <t>Si hay un cambio estructural demostrable (mix, apalancamiento operativo, poder de precios) documentado.</t>
  </si>
  <si>
    <t>Expansión de margen sin causa: la forma más elegante de inflar un DCF.</t>
  </si>
  <si>
    <t>Control 34 (actualmente en AVISO, con justificación documentada en '02 Assumptions' fila 84).</t>
  </si>
  <si>
    <t>El margen bruto no puede subir mientras se multiplica la intensidad de capital</t>
  </si>
  <si>
    <t>Si la depreciación va dentro del coste de los ingresos, multiplicar el PP&amp;E multiplica el coste de los ingresos. Proyectar más capex y más margen bruto a la vez es una contradicción interna.</t>
  </si>
  <si>
    <t>Si la depreciación se presenta por debajo del margen bruto en la cuenta de resultados de la compañía.</t>
  </si>
  <si>
    <t>Inconsistencia detectable de inmediato por cualquier auditor del modelo.</t>
  </si>
  <si>
    <t>Control 37; vector G30:P30 de '02 Assumptions'.</t>
  </si>
  <si>
    <t>El circulante negativo es real y no debe forzarse a positivo</t>
  </si>
  <si>
    <t>En negocios de cobro anticipado (suscripción, marketplaces, retail con poder sobre proveedores) los ingresos diferidos y los proveedores exceden a los clientes: el crecimiento GENERA caja.</t>
  </si>
  <si>
    <t>Cuando los ingresos diferidos o los proveedores dominan el circulante. Oracle: NWC de −19.272 millones.</t>
  </si>
  <si>
    <t>Si el negocio cobra después de producir (industriales con obra en curso, distribución).</t>
  </si>
  <si>
    <t>Se destruye una fuente real de caja y se subestima el valor.</t>
  </si>
  <si>
    <t>Control 39; fila 52 de '04 Operating Model'.</t>
  </si>
  <si>
    <t>El WACC no es un cajón de sastre para todos los riesgos</t>
  </si>
  <si>
    <t>El WACC recoge el riesgo SISTEMÁTICO. El riesgo específico (ejecución, cliente concentrado, regulación, materia prima) se recoge en los flujos y en los escenarios. Meterlo todo en el WACC lo cuenta dos veces.</t>
  </si>
  <si>
    <t>Separar explícitamente: riesgo al flujo, riesgo al escenario, riesgo sistemático al descuento.</t>
  </si>
  <si>
    <t>Nunca se sube el WACC arbitrariamente para 'castigar' una empresa incierta.</t>
  </si>
  <si>
    <t>Doble contabilización del riesgo y, peor, ocultación del riesgo: un WACC alto esconde qué se teme exactamente.</t>
  </si>
  <si>
    <t>Control 27; escenarios en '09 Scenarios' con delta de WACC separado de los deltas operativos.</t>
  </si>
  <si>
    <t>No mezclar FCFF con coste de los recursos propios ni FCFE con WACC</t>
  </si>
  <si>
    <t>El FCFF pertenece a todos los proveedores de capital y se descuenta al WACC. El FCFE pertenece solo al accionista y se descuenta al Ke. Cruzarlos es un error de definición, no de estimación.</t>
  </si>
  <si>
    <t>Siempre.</t>
  </si>
  <si>
    <t>Nunca.</t>
  </si>
  <si>
    <t>Error de valoración de primer orden, del orden de decenas de puntos porcentuales.</t>
  </si>
  <si>
    <t>Estructura del modelo: '06 DCF' fila 21 enlaza exclusivamente al WACC de '07 WACC'!C38.</t>
  </si>
  <si>
    <t>Flujos y tasa de descuento en la misma moneda y en la misma base</t>
  </si>
  <si>
    <t>Flujos nominales exigen WACC nominal; flujos reales exigen WACC real. Flujos en dólares exigen un tipo libre de riesgo en dólares.</t>
  </si>
  <si>
    <t>Siempre. Declarar la moneda y la base en la hoja de hipótesis.</t>
  </si>
  <si>
    <t>Si se descuentan flujos nominales a un WACC real, se infravalora sistemáticamente (y al contrario).</t>
  </si>
  <si>
    <t>Controles 25 y 26; '02 Assumptions'!C10 declara moneda y unidades.</t>
  </si>
  <si>
    <t>Ningún output puede estar introducido a mano</t>
  </si>
  <si>
    <t>Un valor por acción escrito a mano rompe la cadena de auditoría: no se puede trazar, no responde a las hipótesis y no se puede falsar.</t>
  </si>
  <si>
    <t>Siempre. Todo resultado debe ser una fórmula que llegue hasta el dato de origen.</t>
  </si>
  <si>
    <t>El modelo deja de ser un modelo y pasa a ser una opinión con formato de tabla.</t>
  </si>
  <si>
    <t>Control 50: comprueba con ISFORMULA que '06 DCF'!F55 es una fórmula.</t>
  </si>
  <si>
    <t>Los escenarios no pueden mejorar todos los drivers a la vez</t>
  </si>
  <si>
    <t>Los supuestos están correlacionados. Más crecimiento exige más capex, más circulante y más gasto comercial. Un Bull con más ingresos, más margen, menos capex y menos WACC sin contrapartida no es un escenario: es una ilusión.</t>
  </si>
  <si>
    <t>Siempre que se construyan escenarios. Cada escenario debe mover varias variables de forma coherente.</t>
  </si>
  <si>
    <t>El rango de valoración deja de acotar nada porque el extremo alto es inalcanzable.</t>
  </si>
  <si>
    <t>Controles 23 y 24; matriz de coherencia documentada en '09 Scenarios' filas 19-23.</t>
  </si>
  <si>
    <t>LAS 30 REGLAS QUE NO SE ROMPEN</t>
  </si>
  <si>
    <t>1. No mezclar FCFF con coste de los recursos propios.</t>
  </si>
  <si>
    <t>2. No mezclar FCFE con WACC.</t>
  </si>
  <si>
    <t>3. No usar un WACC inferior o igual al crecimiento terminal.</t>
  </si>
  <si>
    <t>4. No contar la deuda dos veces.</t>
  </si>
  <si>
    <t>5. No contar los arrendamientos dos veces.</t>
  </si>
  <si>
    <t>6. No ignorar una dilución material.</t>
  </si>
  <si>
    <t>7. No tratar el EBITDA como flujo de caja libre.</t>
  </si>
  <si>
    <t>8. No asumir Capex = D&amp;A de forma automática.</t>
  </si>
  <si>
    <t>9. No asumir que toda la caja es distribuible.</t>
  </si>
  <si>
    <t>10. No extrapolar máximos históricos indefinidamente.</t>
  </si>
  <si>
    <t>11. No usar un WACC idéntico para todos los sectores.</t>
  </si>
  <si>
    <t>12. No aplicar un único múltiplo a segmentos con economías distintas.</t>
  </si>
  <si>
    <t>13. No ignorar el capital circulante.</t>
  </si>
  <si>
    <t>14. No normalizar todos los gastos extraordinarios sin evidencia.</t>
  </si>
  <si>
    <t>15. No usar un crecimiento terminal superior al PIB nominal.</t>
  </si>
  <si>
    <t>16. No esconder el riesgo detrás de un WACC arbitrariamente alto.</t>
  </si>
  <si>
    <t>17. No introducir outputs a mano.</t>
  </si>
  <si>
    <t>18. No combinar datos históricos incompatibles entre sí.</t>
  </si>
  <si>
    <t>19. No ignorar el efecto divisa cuando es material.</t>
  </si>
  <si>
    <t>20. No ignorar los arrendamientos cuando son económicamente relevantes.</t>
  </si>
  <si>
    <t>21. No ignorar un SBC material.</t>
  </si>
  <si>
    <t>22. No mezclar magnitudes nominales y reales.</t>
  </si>
  <si>
    <t>23. No mezclar monedas entre flujo y descuento.</t>
  </si>
  <si>
    <t>24. No usar acciones básicas si la dilución es material.</t>
  </si>
  <si>
    <t>25. No tratar el GMV como ingreso.</t>
  </si>
  <si>
    <t>26. No tratar las reservas mineras como flujo perpetuo.</t>
  </si>
  <si>
    <t>27. No valorar bancos como industriales por defecto.</t>
  </si>
  <si>
    <t>28. No ignorar el capital regulatorio en entidades financieras.</t>
  </si>
  <si>
    <t>29. No asumir que el crecimiento crea valor por sí mismo: solo lo crea si el ROIC supera el coste de capital.</t>
  </si>
  <si>
    <t>30. No confundir precisión matemática con precisión económica.</t>
  </si>
  <si>
    <t>MANUAL III — MARCO SECTORIAL Y MATRIZ DE DECISIÓN</t>
  </si>
  <si>
    <t>Estas reglas son HEURÍSTICAS, no leyes universales. Identifican el punto de partida correcto, no el resultado.</t>
  </si>
  <si>
    <t>Sector</t>
  </si>
  <si>
    <t>Drivers de ingresos correctos</t>
  </si>
  <si>
    <t>Qué cambia respecto al DCF estándar</t>
  </si>
  <si>
    <t>Metodología principal / secundaria</t>
  </si>
  <si>
    <t>Riesgo principal</t>
  </si>
  <si>
    <t>Software / SaaS</t>
  </si>
  <si>
    <t>ARR, MRR, NRR, churn, CAC, LTV, clientes × ARPU. Distinguir ingreso por suscripción de ingreso por consumo.</t>
  </si>
  <si>
    <t>Los ingresos no bastan como driver único. El SBC es material y la dilución real. El I+D es el motor del producto. Los ingresos diferidos son fuente de caja. El EBITDA es poco representativo en fase de crecimiento.</t>
  </si>
  <si>
    <t>DCF por drivers / EV/Revenue, Rule of 40</t>
  </si>
  <si>
    <t>SBC y crecimiento: el valor está casi todo en el terminal</t>
  </si>
  <si>
    <t>Semiconductores</t>
  </si>
  <si>
    <t>Unidades × ASP, utilización, capacidad de obleas, economía de foundry, ciclo de inventarios.</t>
  </si>
  <si>
    <t>Ciclicidad extrema e intensidad de capital y de I+D muy altas. NUNCA extrapolar el margen máximo del ciclo indefinidamente.</t>
  </si>
  <si>
    <t>DCF con volumen × ASP y escenario de ciclo / EV/EBITDA mid-cycle</t>
  </si>
  <si>
    <t>Normalización del ciclo</t>
  </si>
  <si>
    <t>Industriales</t>
  </si>
  <si>
    <t>Volumen, precio, cartera de pedidos (backlog), capacidad, utilización, costes fijos, materias primas.</t>
  </si>
  <si>
    <t>Separar capex de mantenimiento de capex de crecimiento. El backlog da visibilidad. Los costes fijos generan apalancamiento operativo en ambos sentidos.</t>
  </si>
  <si>
    <t>FCFF DCF / EV/EBITDA</t>
  </si>
  <si>
    <t>Ciclo y precio de materias primas</t>
  </si>
  <si>
    <t>Consumo / Retail</t>
  </si>
  <si>
    <t>Tiendas × ingreso por tienda, ventas comparables (same-store sales), tráfico, ticket medio, unidades.</t>
  </si>
  <si>
    <t>Circulante NEGATIVO habitual por poder sobre proveedores. Existencias críticas. Capex por apertura.</t>
  </si>
  <si>
    <t>FCFF DCF / EV/EBITDA, EV/Ventas</t>
  </si>
  <si>
    <t>Ventas comparables y márgenes</t>
  </si>
  <si>
    <t>Marketplaces</t>
  </si>
  <si>
    <t>GMV × take rate = ingresos. Transacciones, usuarios activos, monetización.</t>
  </si>
  <si>
    <t>NO confundir GMV con ingresos: es el error definitorio del sector. Circulante negativo por fondos de clientes, que NO son caja libre.</t>
  </si>
  <si>
    <t>DCF sobre ingresos netos / EV/GMV</t>
  </si>
  <si>
    <t>Confundir GMV con ingresos</t>
  </si>
  <si>
    <t>Bancos</t>
  </si>
  <si>
    <t>Crecimiento del crédito, margen de intereses (NIM), comisiones, provisiones, coste del riesgo, ratio de eficiencia.</t>
  </si>
  <si>
    <t>El FCFF DCF es INAPROPIADO: la deuda (depósitos) es materia prima operativa, no financiación. El capital regulatorio (CET1) es la restricción real. El capex y el circulante no significan lo mismo.</t>
  </si>
  <si>
    <t>Excess Returns, FCFE o DDM / P/B contra ROTE</t>
  </si>
  <si>
    <t>Hipótesis de capital regulatorio</t>
  </si>
  <si>
    <t>Seguros</t>
  </si>
  <si>
    <t>Primas, margen técnico, ratio combinado, ingresos financieros, reservas, capital de solvencia.</t>
  </si>
  <si>
    <t>Las reservas son la magnitud clave y son estimaciones. El FCFF es problemático por la misma razón que en bancos.</t>
  </si>
  <si>
    <t>Excess Returns o Embedded Value / P/B contra ROE</t>
  </si>
  <si>
    <t>Suficiencia de las reservas</t>
  </si>
  <si>
    <t>REITs</t>
  </si>
  <si>
    <t>Ocupación, crecimiento de rentas, NOI, cap rates, valor de los inmuebles.</t>
  </si>
  <si>
    <t>NO usar FCFF convencional: la depreciación contable no refleja el consumo económico del inmueble. Se usa FFO y AFFO.</t>
  </si>
  <si>
    <t>NAV o múltiplo de AFFO / DCF por inmueble</t>
  </si>
  <si>
    <t>Cap rates y valor de los activos</t>
  </si>
  <si>
    <t>Petróleo y gas</t>
  </si>
  <si>
    <t>Producción, reservas, precio realizado, costes de extracción, tasas de declive, capex de desarrollo y exploración.</t>
  </si>
  <si>
    <t>NO proyectar el precio con el spot del día: se usan precios normalizados de largo plazo, curvas forward y escenarios. Las reservas son finitas.</t>
  </si>
  <si>
    <t>NAV por activo y DCF con escenarios de precio / Comparables</t>
  </si>
  <si>
    <t>Ciclo de la materia prima</t>
  </si>
  <si>
    <t>Minería</t>
  </si>
  <si>
    <t>Volumen de producción, ley del mineral, recuperación, precio, AISC, vida de la mina, capex de sostenimiento y expansión.</t>
  </si>
  <si>
    <t>La mina tiene VIDA FINITA: no se puede extender el FCF a perpetuidad. Se valora proyecto a proyecto.</t>
  </si>
  <si>
    <t>NAV por mina o proyecto / DCF</t>
  </si>
  <si>
    <t>Precio de la materia prima y vida de la mina</t>
  </si>
  <si>
    <t>Utilities</t>
  </si>
  <si>
    <t>Base de activos regulada, ROE permitido, crecimiento de la base tarifaria, capex regulatorio.</t>
  </si>
  <si>
    <t>El crecimiento está LIMITADO por regulación, no por demanda. El retorno está fijado administrativamente.</t>
  </si>
  <si>
    <t>DCF con base regulada / Múltiplo de RAB</t>
  </si>
  <si>
    <t>Cambio regulatorio</t>
  </si>
  <si>
    <t>Telecomunicaciones</t>
  </si>
  <si>
    <t>Abonados, ARPU, churn, capex de red, espectro.</t>
  </si>
  <si>
    <t>Capex de red muy elevado y recurrente. Separar mantenimiento de expansión. Apalancamiento estructuralmente alto.</t>
  </si>
  <si>
    <t>Capex de red y competencia en precio</t>
  </si>
  <si>
    <t>Aerolíneas</t>
  </si>
  <si>
    <t>Pasajeros, factor de ocupación, yield, ASK y RPK, coste del combustible, flota.</t>
  </si>
  <si>
    <t>Los arrendamientos son materialmente relevantes y no se pueden ignorar. Coste del combustible muy volátil. Ciclicidad alta.</t>
  </si>
  <si>
    <t>FCFF DCF con leases capitalizados / EV/EBITDAR</t>
  </si>
  <si>
    <t>Arrendamientos y combustible</t>
  </si>
  <si>
    <t>Automoción</t>
  </si>
  <si>
    <t>Unidades, ASP, mix, penetración del vehículo eléctrico, incentivos, materias primas.</t>
  </si>
  <si>
    <t>Ciclicidad marcada, capex e I+D elevados, circulante importante. NO extrapolar el margen de un año excepcional.</t>
  </si>
  <si>
    <t>DCF con ciclo normalizado / EV/EBITDA</t>
  </si>
  <si>
    <t>Normalización del ciclo y transición eléctrica</t>
  </si>
  <si>
    <t>Farma madura</t>
  </si>
  <si>
    <t>Ventas por producto, expiración de patentes, cartera de proyectos (pipeline), curvas de lanzamiento.</t>
  </si>
  <si>
    <t>El acantilado de patentes es un evento previsible que DEBE modelarse producto a producto.</t>
  </si>
  <si>
    <t>FCFF DCF por producto / P/E</t>
  </si>
  <si>
    <t>Expiración de patentes</t>
  </si>
  <si>
    <t>Biotecnología</t>
  </si>
  <si>
    <t>Probabilidad de éxito por fase, hitos regulatorios, curvas de lanzamiento, coste de I+D.</t>
  </si>
  <si>
    <t>El FCFF corporativo NO sirve: los resultados son binarios. Se valora por proyecto ponderando probabilidad.</t>
  </si>
  <si>
    <t>rNPV (DCF ponderado por probabilidad) / SOTP</t>
  </si>
  <si>
    <t>Probabilidad de éxito</t>
  </si>
  <si>
    <t>Media / Entretenimiento</t>
  </si>
  <si>
    <t>Abonados, ARPU, engagement, publicidad, churn.</t>
  </si>
  <si>
    <t>El contenido capitalizado y su amortización son la partida clave. Los derechos deportivos son compromisos plurianuales fuera de balance.</t>
  </si>
  <si>
    <t>FCFF DCF con contenido tratado como capex / EV/Abonado</t>
  </si>
  <si>
    <t>Coste de contenido y churn</t>
  </si>
  <si>
    <t>Inmobiliario</t>
  </si>
  <si>
    <t>Ocupación, rentas, cap rate, cartera de desarrollo, deuda.</t>
  </si>
  <si>
    <t>El DCF corporativo puede OCULTAR el valor de los activos: un inmueble revalorizado no aparece en la cuenta de resultados.</t>
  </si>
  <si>
    <t>NAV o DCF por inmueble / Corporate DCF</t>
  </si>
  <si>
    <t>Cap rates</t>
  </si>
  <si>
    <t>Conglomerados</t>
  </si>
  <si>
    <t>Por segmento: ingresos, EBIT, margen, crecimiento.</t>
  </si>
  <si>
    <t>Un único WACC para todo el grupo suele ser INCORRECTO porque los segmentos tienen riesgos distintos. Se valora segmento a segmento y se resta el coste corporativo.</t>
  </si>
  <si>
    <t>Sum-of-the-Parts / DCF consolidado</t>
  </si>
  <si>
    <t>Hipótesis por segmento y descuento de holding</t>
  </si>
  <si>
    <t>Cíclicas</t>
  </si>
  <si>
    <t>Volumen y precio normalizados a mitad de ciclo.</t>
  </si>
  <si>
    <t>El error definitorio es tomar el último margen observado como margen normal. Hay que situar el año actual en el ciclo: pico, valle o medio.</t>
  </si>
  <si>
    <t>DCF con economía normalizada a mitad de ciclo / Múltiplos mid-cycle</t>
  </si>
  <si>
    <t>Alto crecimiento sin beneficio</t>
  </si>
  <si>
    <t>Unit economics, convergencia de márgenes, transición de ingreso a beneficio.</t>
  </si>
  <si>
    <t>EBIT o FCFF negativos NO obligan a abandonar el DCF: obligan a alargar el horizonte y a explicitar la incertidumbre. ORACLE ESTÁ HOY EN ESTA CATEGORÍA por su FCFF negativo.</t>
  </si>
  <si>
    <t>DCF de larga duración / EV/Revenue</t>
  </si>
  <si>
    <t>Valor terminal: casi todo el valor está ahí</t>
  </si>
  <si>
    <t>Startups / fase inicial</t>
  </si>
  <si>
    <t>Árbol de escenarios ponderado por probabilidad.</t>
  </si>
  <si>
    <t>El DCF es extremadamente sensible. NO ignorar las futuras ampliaciones de capital y la dilución que implican.</t>
  </si>
  <si>
    <t>Valoración ponderada por escenarios / Múltiplos de transacciones</t>
  </si>
  <si>
    <t>Dilución futura y financiación</t>
  </si>
  <si>
    <t>Productores de materias primas</t>
  </si>
  <si>
    <t>Volumen y precio con escenarios bajo, base y alto.</t>
  </si>
  <si>
    <t>NO usar únicamente el precio spot. Se construyen escenarios de precio explícitos.</t>
  </si>
  <si>
    <t>DCF con escenarios de precio / NAV</t>
  </si>
  <si>
    <t>Precio de la materia prima</t>
  </si>
  <si>
    <t>Compañías extranjeras</t>
  </si>
  <si>
    <t>Los del sector, más divisa.</t>
  </si>
  <si>
    <t>Consistencia obligatoria entre la moneda del flujo y la del WACC. Tipo libre de riesgo local, prima de riesgo país, inflación local y controles de capital.</t>
  </si>
  <si>
    <t>La del sector, con ajuste de divisa y riesgo país</t>
  </si>
  <si>
    <t>Divisa y riesgo país</t>
  </si>
  <si>
    <t>MATRIZ DE DECISIÓN RESUMIDA</t>
  </si>
  <si>
    <t>Situación</t>
  </si>
  <si>
    <t>Metodología principal</t>
  </si>
  <si>
    <t>Metodología secundaria</t>
  </si>
  <si>
    <t>Empresa madura y estable</t>
  </si>
  <si>
    <t>FCFF DCF</t>
  </si>
  <si>
    <t>Comparables</t>
  </si>
  <si>
    <t>Hipótesis terminales</t>
  </si>
  <si>
    <t>DCF por drivers</t>
  </si>
  <si>
    <t>EV/Revenue</t>
  </si>
  <si>
    <t>SBC y crecimiento</t>
  </si>
  <si>
    <t>Banco</t>
  </si>
  <si>
    <t>Excess Returns</t>
  </si>
  <si>
    <t>P/B contra ROTE</t>
  </si>
  <si>
    <t>Excess Returns / Embedded Value</t>
  </si>
  <si>
    <t>P/B contra ROE</t>
  </si>
  <si>
    <t>Suficiencia de reservas</t>
  </si>
  <si>
    <t>REIT</t>
  </si>
  <si>
    <t>NAV / AFFO</t>
  </si>
  <si>
    <t>DCF por inmueble</t>
  </si>
  <si>
    <t>NAV por activo</t>
  </si>
  <si>
    <t>DCF</t>
  </si>
  <si>
    <t>Precio de la materia prima y vida de mina</t>
  </si>
  <si>
    <t>NAV con escenarios de precio</t>
  </si>
  <si>
    <t>rNPV</t>
  </si>
  <si>
    <t>SOTP</t>
  </si>
  <si>
    <t>Conglomerado</t>
  </si>
  <si>
    <t>Sum-of-the-Parts</t>
  </si>
  <si>
    <t>DCF consolidado</t>
  </si>
  <si>
    <t>Hipótesis por segmento</t>
  </si>
  <si>
    <t>Cíclica</t>
  </si>
  <si>
    <t>DCF normalizado a mitad de ciclo</t>
  </si>
  <si>
    <t>Múltiplos mid-cycle</t>
  </si>
  <si>
    <t>Alto crecimiento</t>
  </si>
  <si>
    <t>DCF de larga duración</t>
  </si>
  <si>
    <t>Peso del valor terminal</t>
  </si>
  <si>
    <t>Utility regulada</t>
  </si>
  <si>
    <t>DCF sobre base regulada</t>
  </si>
  <si>
    <t>Múltiplo de RAB</t>
  </si>
  <si>
    <t>ORACLE (FY2026)</t>
  </si>
  <si>
    <t>FCFF DCF de larga duración con capex modelado explícitamente</t>
  </si>
  <si>
    <t>SOTP por segmentos + múltiplo de salida + Reverse DCF</t>
  </si>
  <si>
    <t>FCFF hoy negativo y valor terminal al 66% del EV</t>
  </si>
  <si>
    <t>NOTA SOBRE EL WACC SECTORIAL</t>
  </si>
  <si>
    <t>No debe usarse el mismo WACC para todas las compañías ni para todos los segmentos de una misma compañía. Los determinantes son: riesgo de negocio, apalancamiento, ciclicidad, geografía, riesgo regulatorio, exposición a materias primas, tamaño y estabilidad operativa. En multinacionales hay que añadir prima de riesgo país ponderada por la exposición real de los flujos, no por el domicilio social. En Oracle, aplicar el mismo WACC al negocio de soporte de licencias (renta madura y predecible) y al de infraestructura cloud (capital intensivo y de ejecución incierta) es una simplificación que el SOTP de la hoja '12 SOTP' permite contrastar.</t>
  </si>
  <si>
    <t>MANUAL IV — ERRORES DE DOBLE CONTABILIZACIÓN, ILUSIÓN DE PRECISIÓN Y MANTENIMIENTO</t>
  </si>
  <si>
    <t>A. ERRORES DE DOBLE CONTABILIZACIÓN</t>
  </si>
  <si>
    <t>Error</t>
  </si>
  <si>
    <t>Causa</t>
  </si>
  <si>
    <t>Consecuencia</t>
  </si>
  <si>
    <t>Detección</t>
  </si>
  <si>
    <t>Contar la deuda dos veces</t>
  </si>
  <si>
    <t>Restar la deuda del Equity Value y además haber descontado los intereses dentro del flujo (usar FCFE y restar deuda).</t>
  </si>
  <si>
    <t>Si el flujo descontado es posterior a intereses, el descuento debe ser al Ke y NO se resta deuda.</t>
  </si>
  <si>
    <t>Elegir FCFF con WACC y restar deuda, o FCFE con Ke sin restar deuda.</t>
  </si>
  <si>
    <t>Contar los arrendamientos dos veces</t>
  </si>
  <si>
    <t>Restar el pasivo del lease operativo del Equity Value manteniendo el gasto del lease dentro del EBIT.</t>
  </si>
  <si>
    <t>Comprobar si el EBIT está antes o después del coste del lease.</t>
  </si>
  <si>
    <t>Convención declarada y completa. Demostración cuantificada en '11 Cross Check' filas 16-22. Control 44.</t>
  </si>
  <si>
    <t>Contar el SBC dos veces (o ninguna)</t>
  </si>
  <si>
    <t>Readicionar el SBC al flujo por no ser caja y además no aumentar el número de acciones.</t>
  </si>
  <si>
    <t>Sobrevaloración sistemática. Es el error más frecuente en software.</t>
  </si>
  <si>
    <t>¿Aparece el SBC como readición en el flujo? Entonces el número de acciones debe crecer.</t>
  </si>
  <si>
    <t>Tratamiento A: gasto real, sin dilución adicional. Declarado en '02 Assumptions'!C15. Control 49.</t>
  </si>
  <si>
    <t>Contar la caja dos veces</t>
  </si>
  <si>
    <t>Sumar toda la caja al Equity Value y además haber incluido los ingresos financieros que genera dentro del flujo operativo.</t>
  </si>
  <si>
    <t>Sobrevaloración.</t>
  </si>
  <si>
    <t>Revisar si el resultado no operativo está dentro del EBIT proyectado.</t>
  </si>
  <si>
    <t>Excluir el resultado no operativo del FCFF (fila 4 de la tabla de normalización) y sumar solo la caja excedente.</t>
  </si>
  <si>
    <t>Contar los minoritarios dos veces</t>
  </si>
  <si>
    <t>Restar los minoritarios del Equity Value y además haber excluido su parte del EBIT.</t>
  </si>
  <si>
    <t>Infravaloración.</t>
  </si>
  <si>
    <t>¿El EBIT proyectado es consolidado al 100% o neto de minoritarios?</t>
  </si>
  <si>
    <t>EBIT consolidado en el flujo y minoritarios restados una sola vez en el puente. Control 45.</t>
  </si>
  <si>
    <t>Contar las preferentes dos veces</t>
  </si>
  <si>
    <t>Restar el valor de las preferentes convertibles y además añadir las acciones de conversión al denominador.</t>
  </si>
  <si>
    <t>Revisar si el número de acciones incluye la conversión.</t>
  </si>
  <si>
    <t>Elegir: restar valor O convertir. Control 46.</t>
  </si>
  <si>
    <t>Contar las pensiones dos veces</t>
  </si>
  <si>
    <t>Restar el déficit de pensiones como partida de deuda y además haber deducido las aportaciones del flujo operativo.</t>
  </si>
  <si>
    <t>Doble penalización.</t>
  </si>
  <si>
    <t>¿Están las aportaciones dentro del CFO proyectado?</t>
  </si>
  <si>
    <t>O se trata como deuda (y se excluyen las aportaciones del flujo) o se modela en el flujo (y no se resta).</t>
  </si>
  <si>
    <t>Contar las adquisiciones dos veces</t>
  </si>
  <si>
    <t>Incluir el crecimiento que aportan futuras adquisiciones sin restar el coste de adquirirlas.</t>
  </si>
  <si>
    <t>Crecimiento gratis: el error conceptualmente más grave.</t>
  </si>
  <si>
    <t>¿El crecimiento proyectado es orgánico o incluye M&amp;A?</t>
  </si>
  <si>
    <t>Este modelo proyecta SOLO crecimiento orgánico. No se incluyen adquisiciones futuras arbitrarias para justificar crecimiento.</t>
  </si>
  <si>
    <t>Contar el fondo de comercio</t>
  </si>
  <si>
    <t>Tratar el fondo de comercio como activo no operativo y sumarlo al Enterprise Value.</t>
  </si>
  <si>
    <t>Sobrevaloración: el fondo de comercio ya está representado en los flujos que generan los negocios adquiridos.</t>
  </si>
  <si>
    <t>¿Se ha sumado el goodwill al puente?</t>
  </si>
  <si>
    <t>No se suma nunca. Solo es relevante si hay deterioro, que se trata como no recurrente.</t>
  </si>
  <si>
    <t>B. LA ILUSIÓN DE PRECISIÓN DEL DCF</t>
  </si>
  <si>
    <t>El problema</t>
  </si>
  <si>
    <t>Qué dice realmente</t>
  </si>
  <si>
    <t>Fuente de la imprecisión 1: el valor terminal</t>
  </si>
  <si>
    <t>El 66% del Enterprise Value está en el valor terminal, es decir, en los flujos posteriores a FY2036. Ningún dato observable respalda esa parte: depende de g, del ROIC terminal y del WACC.</t>
  </si>
  <si>
    <t>Fuente de la imprecisión 2: el FCFF actual es negativo</t>
  </si>
  <si>
    <t>Fuente de la imprecisión 3: los inputs de mercado</t>
  </si>
  <si>
    <t>Sobre el margen de seguridad</t>
  </si>
  <si>
    <t>Sobre Monte Carlo</t>
  </si>
  <si>
    <t>Se puede simular el WACC, el crecimiento, los márgenes y el capex con distribuciones y correlaciones explícitas. Pero si las distribuciones son arbitrarias, la simulación produce falsa precisión estadística sobre hipótesis inventadas. Solo aporta valor si las distribuciones están fundamentadas y las correlaciones entre drivers están modeladas (crecimiento alto implica capex alto).</t>
  </si>
  <si>
    <t>Formulación correcta del resultado</t>
  </si>
  <si>
    <t>C. RIESGOS: DÓNDE SE RECOGE CADA UNO</t>
  </si>
  <si>
    <t>Tipo de riesgo</t>
  </si>
  <si>
    <t>¿Se recoge en el flujo, en el escenario o en la tasa de descuento?</t>
  </si>
  <si>
    <t>Riesgo de negocio</t>
  </si>
  <si>
    <t>Flujo y escenarios. NO en el WACC.</t>
  </si>
  <si>
    <t>Que el capex comprometido no se convierta en ingresos: recogido en el escenario Bear (crecimiento menor con capex por unidad MAYOR).</t>
  </si>
  <si>
    <t>Riesgo financiero</t>
  </si>
  <si>
    <t>Parcialmente en el WACC vía estructura de capital objetivo; el resto en el escenario.</t>
  </si>
  <si>
    <t>Riesgo de previsión</t>
  </si>
  <si>
    <t>Escenarios y rango, nunca en el WACC.</t>
  </si>
  <si>
    <t>Horizonte de 10 años con FCFF negativo el primer año: incertidumbre alta reconocida explícitamente.</t>
  </si>
  <si>
    <t>Riesgo de valoración</t>
  </si>
  <si>
    <t>Sensibilidades y rango.</t>
  </si>
  <si>
    <t>Rejillas de '08 Sensitivity' y jerarquía de drivers.</t>
  </si>
  <si>
    <t>Riesgo de modelo</t>
  </si>
  <si>
    <t>Auditoría. No es cuantificable con una prima.</t>
  </si>
  <si>
    <t>62 controles automáticos en '13 Checks'. Un modelo sin auditar tiene riesgo de modelo desconocido, no bajo.</t>
  </si>
  <si>
    <t>Riesgo contable</t>
  </si>
  <si>
    <t>Normalización y notas explícitas.</t>
  </si>
  <si>
    <t>Riesgo regulatorio</t>
  </si>
  <si>
    <t>Flujo si es cuantificable; escenario si no.</t>
  </si>
  <si>
    <t>Impuesto mínimo global y restricciones a la exportación de semiconductores: recogidos en el tipo de caja convergente y en el escenario.</t>
  </si>
  <si>
    <t>Riesgo de materia prima</t>
  </si>
  <si>
    <t>Flujo con escenarios de precio.</t>
  </si>
  <si>
    <t>Riesgo de divisa</t>
  </si>
  <si>
    <t>Consistencia moneda-flujo-WACC y escenarios.</t>
  </si>
  <si>
    <t>D. ACTUALIZACIÓN TRIMESTRAL Y CONTROL DE VERSIONES</t>
  </si>
  <si>
    <t>Al publicarse un nuevo 10-Q o 10-K: actualizar '03 Historical' con las cifras reportadas y volver a ejecutar los controles 1 a 8 de '13 Checks' ANTES de tocar cualquier hipótesis.</t>
  </si>
  <si>
    <t>Recalcular los últimos doce meses (LTM) y contrastar los drivers reales contra los proyectados: crecimiento por segmento, margen bruto, capex sobre ingresos, DSO y tipo de caja.</t>
  </si>
  <si>
    <t>Revisar los inputs de mercado del WACC (tipo libre de riesgo, prima de riesgo, beta, coste marginal de la deuda) y documentar fuente y fecha en '07 WACC' filas 47-54.</t>
  </si>
  <si>
    <t>Revisar las hipótesis terminales. No se tocan cada trimestre por el ruido de un trimestre: solo si hay evidencia estructural.</t>
  </si>
  <si>
    <t>Comparar con la versión anterior y SEPARAR el cambio de precio del cambio de valor fundamental. Son dos cosas distintas y confundirlas es un error de disciplina.</t>
  </si>
  <si>
    <t>Atribución del cambio de valor: cuantificar cuánto del cambio viene de ingresos, márgenes, capex, circulante, WACC, crecimiento terminal, deuda neta y acciones. La tabla de abajo es la plantilla.</t>
  </si>
  <si>
    <t>PLANTILLA DE ATRIBUCIÓN DEL CAMBIO DE VALOR (rellenar en cada revisión)</t>
  </si>
  <si>
    <t>Valor anterior</t>
  </si>
  <si>
    <t>Valor actual</t>
  </si>
  <si>
    <t>Impacto en el valor por acción</t>
  </si>
  <si>
    <t>Proyección de ingresos</t>
  </si>
  <si>
    <t>Crecimiento terminal</t>
  </si>
  <si>
    <t>Deuda neta</t>
  </si>
  <si>
    <t>Número de acciones</t>
  </si>
  <si>
    <t>TOTAL (debe igualar el cambio observado)</t>
  </si>
  <si>
    <t>E. PRINCIPIO FINAL</t>
  </si>
  <si>
    <t>Errores de fórmula: REF, DIV/0, VALUE, NAME</t>
  </si>
  <si>
    <t xml:space="preserve">  EBITDA normalizado (EBIT normalizado + D&amp;A) — misma definición que '04 Operating Model' fila 39</t>
  </si>
  <si>
    <t xml:space="preserve">  EBITDA Margin normalizado</t>
  </si>
  <si>
    <t xml:space="preserve">  Capital invertido (PP&amp;E + NWC + fondo de comercio + ROU) — enlazado a '04 Operating Model' fila 63</t>
  </si>
  <si>
    <t xml:space="preserve">  ROIC (NOPAT norm. / capital invertido medio) — debe coincidir con '04 Operating Model' fila 64</t>
  </si>
  <si>
    <t>WACC ↓  /  Δ margen EBIT (p.p.) →</t>
  </si>
  <si>
    <t>WACC ↓  /  Δ capex sobre ingresos (p.p.) →</t>
  </si>
  <si>
    <t>WACC ↓  /  Δ tipo de caja (p.p.) →</t>
  </si>
  <si>
    <t xml:space="preserve">  DESPLAZAMIENTO DE MARGEN EBIT REQUERIDO (en puntos porcentuales)</t>
  </si>
  <si>
    <t xml:space="preserve">  DESPLAZAMIENTO DE CAPEX / INGRESOS REQUERIDO (en puntos porcentuales)</t>
  </si>
  <si>
    <t xml:space="preserve">  Diferencia (implícito − proyectado): brecha de coherencia, en p.p.</t>
  </si>
  <si>
    <t xml:space="preserve">  FECHA DE ÚLTIMA ACTUALIZACIÓN DE LOS INPUTS DE MERCADO (introducir dd/mm/aaaa)</t>
  </si>
  <si>
    <t xml:space="preserve">  Mientras esta celda esté vacía, el control 66 de '13 Checks' permanecerá en AVISO: el WACC no es defendible sin fuente y fecha.</t>
  </si>
  <si>
    <t>Leases operativos NO restados en el puente (coherente con el tratamiento operativo)</t>
  </si>
  <si>
    <t>0 apariciones</t>
  </si>
  <si>
    <t>El pasivo por leases operativos aparece restado en el puente aunque su coste ya está dentro del EBIT</t>
  </si>
  <si>
    <t>Inputs de mercado del WACC fechados y documentados ('07 WACC'!C56)</t>
  </si>
  <si>
    <t>Fecha introducida</t>
  </si>
  <si>
    <t>Años de forecast declarados = columnas de proyección del modelo (G:P)</t>
  </si>
  <si>
    <t>Se cambia '02 Assumptions'!C11 sin añadir o quitar columnas</t>
  </si>
  <si>
    <t>El factor de descuento del valor terminal usa un número de años equivocado</t>
  </si>
  <si>
    <t>Devolver C11 a 10 o reconstruir las columnas de proyección</t>
  </si>
  <si>
    <t>Solape declarado: variación de proveedores ligada a capex frente al FCFF</t>
  </si>
  <si>
    <t>&lt; 5% del FCFF</t>
  </si>
  <si>
    <t>Los proveedores se modelan sobre coste de ingresos MÁS capex, mientras el capex del FCFF es capex de caja: la parte de la variación de proveedores ligada a capex se cuenta dos veces</t>
  </si>
  <si>
    <t>Sobreestimación del FCFF por el importe cuantificado en '04 Operating Model' fila 71</t>
  </si>
  <si>
    <t>Si el solape supera el 5% del FCFF, separar los proveedores operativos de los ligados a capex y excluir estos últimos del circulante</t>
  </si>
  <si>
    <t xml:space="preserve">  De la cual: variación de proveedores ligada al capex (solape con el capex de caja)</t>
  </si>
  <si>
    <t xml:space="preserve">  ADVERTENCIA METODOLÓGICA: los proveedores se modelan sobre (coste de ingresos + capex) porque así reproducen el saldo real del balance (10.977 en FY2026, impulsado por equipamiento de centros de datos). Pero el capex del FCFF es capex de CAJA, por lo que la parte de la variación de proveedores atribuible al capex se solapa con él. La fila 71 cuantifica ese solape y el control 68 de '13 Checks' vigila que no supere el 5% del FCFF. Si lo supera, hay que separar proveedores operativos (sobre DPO del coste de ingresos) de proveedores ligados a capex y excluir estos últimos del circulante.</t>
  </si>
  <si>
    <t>Crecimiento de ingresos del año 10 ≥ crecimiento terminal g (convergencia coherente)</t>
  </si>
  <si>
    <t>El vector de crecimiento cae por debajo de g antes de llegar al valor terminal</t>
  </si>
  <si>
    <t>El valor terminal asume una reaceleración perpetua que el forecast contradice</t>
  </si>
  <si>
    <t>Elevar el crecimiento del año 10, bajar g, o alargar el horizonte hasta que converjan</t>
  </si>
  <si>
    <t xml:space="preserve">  (−) Costes corporativos capitalizados (G&amp;A FY2029E × múltiplo corporativo)</t>
  </si>
  <si>
    <t>Múltiplo →</t>
  </si>
  <si>
    <t xml:space="preserve">  (−) I+D no asignado — SE DEJA A CERO: ya está soportado por los márgenes de segmento de las filas 7-10. Restarlo aquí sería doble contabilización.</t>
  </si>
  <si>
    <t>Los márgenes de las filas 9-12 son márgenes operativos DE SEGMENTO ANTES de costes corporativos: soportan su propio I+D y su propia fuerza comercial, pero no la estructura central. Por eso el coste corporativo se resta una vez (fila 13) y el I+D no se resta otra vez (fila 14).</t>
  </si>
  <si>
    <t>Ver la instantánea de los tres escenarios en E13:I21 →</t>
  </si>
  <si>
    <t>BASE</t>
  </si>
  <si>
    <t>Equity Value</t>
  </si>
  <si>
    <t>Valor intrínseco por acción</t>
  </si>
  <si>
    <t>Crecimiento terminal g</t>
  </si>
  <si>
    <t>Múltiplo de salida implícito</t>
  </si>
  <si>
    <t>Ingresos FY2036E</t>
  </si>
  <si>
    <t>nº</t>
  </si>
  <si>
    <t>PARTE VII — TABLA MAESTRA DE FÓRMULAS: LA FÓRMULA EXACTA DE CADA BLOQUE DE ESTE LIBRO</t>
  </si>
  <si>
    <t>Bloque</t>
  </si>
  <si>
    <t>Fórmula financiera</t>
  </si>
  <si>
    <t>Significado económico</t>
  </si>
  <si>
    <t>Fórmula Excel usada en este libro</t>
  </si>
  <si>
    <t>Ejemplo con las cifras del modelo</t>
  </si>
  <si>
    <t>Error frecuente</t>
  </si>
  <si>
    <t>Excepciones sectoriales</t>
  </si>
  <si>
    <t>Ingresos por segmento</t>
  </si>
  <si>
    <t>Ingresos(t) = Ingresos(t−1) × (1 + g_segmento(t))</t>
  </si>
  <si>
    <t>='04 Operating Model'!F7*(1+'02 Assumptions'!G20)   y el total   =SUM(G7:G10)</t>
  </si>
  <si>
    <t>Proyectar un crecimiento agregado sin abrir por segmento, o extrapolar el CAGR de 3 años.</t>
  </si>
  <si>
    <t>SaaS: clientes × ARPU, o ARR × NRR. Retail: tiendas × ingreso por tienda. Marketplaces: GMV × take rate, NUNCA el GMV. Banca: crecimiento del crédito × margen de intereses.</t>
  </si>
  <si>
    <t>Margen bruto = Ingresos × Gross Margin%;  Coste de ingresos = Ingresos − Margen bruto</t>
  </si>
  <si>
    <t>Se proyecta el MARGEN y se deriva el coste, no al revés, porque el margen es la variable con contenido económico: mix, precio e intensidad de capital.</t>
  </si>
  <si>
    <t>=G11*G16   donde   G16 ='02 Assumptions'!G30</t>
  </si>
  <si>
    <t>FY2029: 135.677 × 56,5% = 76.657</t>
  </si>
  <si>
    <t>Proyectar el coste como porcentaje fijo y dejar que el margen salga por residuo, perdiendo el control de la hipótesis clave.</t>
  </si>
  <si>
    <t>Gastos operativos y apalancamiento operativo</t>
  </si>
  <si>
    <t>Gasto(t) = Ingresos(t) × (Gasto/Ingresos)(t), con el ratio decreciente</t>
  </si>
  <si>
    <t>Los costes de estructura ya instalados se diluyen sobre una base de ingresos creciente. Es la ÚNICA palanca de margen que usa este modelo.</t>
  </si>
  <si>
    <t>=G11*'02 Assumptions'!G32   (ventas y marketing; análogo para I+D y G&amp;A)</t>
  </si>
  <si>
    <t>I+D FY2030 = 163.447 × 13,3% = 21.738</t>
  </si>
  <si>
    <t>Hacer crecer el gasto al mismo ritmo que los ingresos, lo que elimina el apalancamiento, o congelarlo en términos absolutos, lo que lo exagera.</t>
  </si>
  <si>
    <t>Utilities: el gasto está regulado. Biotech: el I+D NO se diluye, es el producto. Aerolíneas: el combustible es variable puro, sin apalancamiento.</t>
  </si>
  <si>
    <t>EBIT normalizado</t>
  </si>
  <si>
    <t>EBIT normalizado = EBIT reportado + partidas no recurrentes</t>
  </si>
  <si>
    <t>Aísla la capacidad de generación sostenible. Es la base correcta del FCFF porque el valor depende del beneficio repetible, no del de un año concreto.</t>
  </si>
  <si>
    <t>=G27+G25   (readiendo la reestructuración normalizada)</t>
  </si>
  <si>
    <t>FY2026: 20.606 + 1.838 = 22.444</t>
  </si>
  <si>
    <t>Normalizar el gasto en el EBIT y OLVIDAR restar su salida de caja del FCFF. Este modelo la resta en '06 DCF' fila 14.</t>
  </si>
  <si>
    <t>Cíclicas: normalizar además al margen de mitad de ciclo. Mineras y petroleras: normalizar también el precio de la materia prima.</t>
  </si>
  <si>
    <t>Impuestos y NOPAT</t>
  </si>
  <si>
    <t>NOPAT = EBIT normalizado × (1 − tipo impositivo de caja)</t>
  </si>
  <si>
    <t>El FCFF parte del EBIT y no del beneficio neto porque el flujo pertenece a TODOS los proveedores de capital, antes de la financiación. Por eso el impuesto va sobre el EBIT.</t>
  </si>
  <si>
    <t>=-G7*G8   (impuesto)   y   =G7+G9   (NOPAT)</t>
  </si>
  <si>
    <t>FY2027: 26.623 × (1 − 14%) = 22.896</t>
  </si>
  <si>
    <t>Usar el tipo efectivo reportado a perpetuidad, o aplicar el impuesto sobre el BAI, que ya está después de intereses y contaminaría el FCFF con la estructura de capital.</t>
  </si>
  <si>
    <t>Con NOLs materiales: modelar el escudo hasta agotarlo. Navieras: regímenes de tonelaje o tipos fijos.</t>
  </si>
  <si>
    <t>Depreciación (roll-forward de PP&amp;E)</t>
  </si>
  <si>
    <t>Depreciación(t) = [PP&amp;E(t−1) + Capex(t)/2] / vida útil;  PP&amp;E(t) = PP&amp;E(t−1) + Capex(t) − Depreciación(t)</t>
  </si>
  <si>
    <t>El medio capex refleja que los activos entran en servicio a lo largo del ejercicio, no el día 1. Es el único método fiable cuando el capex supera la base de activos existente.</t>
  </si>
  <si>
    <t>=(G33+G34/2)/'02 Assumptions'!$C$43   y   =G33+G34-G36</t>
  </si>
  <si>
    <t>FY2027: (99.957 + 51.869/2) / 8 = 15.736</t>
  </si>
  <si>
    <t>Mineras: amortización por unidad de producción. Media: según curva de consumo del contenido. Inmobiliario: la depreciación contable no refleja el consumo económico.</t>
  </si>
  <si>
    <t>Capex(t) = Ingresos(t) × (Capex/Ingresos)(t) × multiplicador de escenario</t>
  </si>
  <si>
    <t>El capex tiene su propio driver, independiente de la depreciación. En una empresa que construye capacidad, ligarlo a la depreciación es circular y falso.</t>
  </si>
  <si>
    <t>=G11*'02 Assumptions'!G42   donde   G42 =G41*'09 Scenarios'!$G$13</t>
  </si>
  <si>
    <t>FY2027: 86.449 × 60% = 51.869</t>
  </si>
  <si>
    <t>Mineras: capex de sostenimiento frente a capex de expansión, separados. Utilities: capex regulatorio con retorno garantizado. Retail: capex por apertura de tienda.</t>
  </si>
  <si>
    <t>Circulante por drivers</t>
  </si>
  <si>
    <t>Clientes = DSO/365 × Ingresos;  Proveedores = %(coste + capex);  Ingresos diferidos = % Ingresos</t>
  </si>
  <si>
    <t>Cada partida del circulante tiene su propio driver operativo. Un porcentaje genérico de ingresos pierde la señal de gestión y no permite diagnosticar nada.</t>
  </si>
  <si>
    <t>='02 Assumptions'!G48/365*G11   (clientes)   y   =(G18+G34)*'02 Assumptions'!G49   (proveedores)</t>
  </si>
  <si>
    <t>Clientes FY2027 = 56/365 × 86.449 = 13.262</t>
  </si>
  <si>
    <t>Usar NWC = % de ingresos cuando existen DSO, DIO y DPO observables.</t>
  </si>
  <si>
    <t>Industriales: DIO crítico por obra en curso. Retail: DPO muy alto y DSO casi nulo. Bancos: el circulante no aplica.</t>
  </si>
  <si>
    <t>Variación del NWC</t>
  </si>
  <si>
    <t>NWC = activos operativos corrientes − pasivos operativos corrientes;  ΔNWC = NWC(t) − NWC(t−1)</t>
  </si>
  <si>
    <t>Un ΔNWC positivo CONSUME caja; uno negativo la GENERA. En negocios de cobro anticipado el crecimiento genera caja por circulante, y eso es real.</t>
  </si>
  <si>
    <t>=G44+G45-G46-G47-G48-G49   (NWC)   y   =G50-F50   (ΔNWC)</t>
  </si>
  <si>
    <t>Forzar el NWC a positivo porque 'el circulante negativo parece un error', destruyendo una fuente real de caja.</t>
  </si>
  <si>
    <t>Marketplaces y suscripción: NWC estructuralmente negativo. Industriales con obra en curso: muy positivo.</t>
  </si>
  <si>
    <t>FCFF = NOPAT + D&amp;A − Capex − ΔNWC − costes en caja no recurrentes</t>
  </si>
  <si>
    <t>El flujo disponible para TODOS los proveedores de capital, antes de intereses y dividendos. Por eso se descuenta al WACC y no al coste de los recursos propios.</t>
  </si>
  <si>
    <t>=SUM(G10:G14)</t>
  </si>
  <si>
    <t>FY2027: 22.896 + 17.036 − 51.869 − (−2.705) − 600 = −9.780</t>
  </si>
  <si>
    <t>Partir del beneficio neto (ya después de intereses) o tratar el EBITDA como si fuera FCFF.</t>
  </si>
  <si>
    <t>Bancos: sustituir por FCFE o Excess Returns. REITs: usar AFFO. Petroleras: separar el capex de exploración del de desarrollo.</t>
  </si>
  <si>
    <t>Factor de descuento</t>
  </si>
  <si>
    <t>FD(t) = 1 / (1 + WACC)^t, con t = n − 0,5 en convención de mitad de año</t>
  </si>
  <si>
    <t>Los flujos se generan a lo largo del ejercicio, no el último día. La convención de mitad de año evita penalizar medio año de flujo de forma artificial.</t>
  </si>
  <si>
    <t>=COLUMNS($G20:G20)-IF('02 Assumptions'!$C$12=2,0.5,0)   y   =1/(1+G21)^G20</t>
  </si>
  <si>
    <t>FY2027: t = 0,5; FD = 1 / 1,087495^0,5 = 0,9589</t>
  </si>
  <si>
    <t>Aplicar la convención de mitad de año también al VALOR TERMINAL. El VT es un stock medido al cierre del año 10 y se descuenta al año completo.</t>
  </si>
  <si>
    <t>Negocios con fuerte estacionalidad de caja: puede convenir descuento trimestral.</t>
  </si>
  <si>
    <t>Coste de los recursos propios (CAPM)</t>
  </si>
  <si>
    <t>Ke = Rf + Beta × ERP + primas adicionales</t>
  </si>
  <si>
    <t>Retorno exigido por el accionista: el tipo sin riesgo más una compensación por el riesgo sistemático que no puede diversificar.</t>
  </si>
  <si>
    <t>='07 WACC'!C5+C7*C6+C8</t>
  </si>
  <si>
    <t>4,20% + 1,20 × 4,75% + 0,00% = 9,90%</t>
  </si>
  <si>
    <t>Mezclar una prima de riesgo histórica con un tipo sin riesgo actual sin criterio, o usar una beta de hace cinco años en una empresa cuyo riesgo ha cambiado.</t>
  </si>
  <si>
    <t>Mercados emergentes: añadir prima de riesgo país ponderada por la exposición REAL de los flujos, no por el domicilio social.</t>
  </si>
  <si>
    <t>Beta desapalancada y reapalancada</t>
  </si>
  <si>
    <t>βu = βL / [1 + (1−T) × D/E];   βre = βu × [1 + (1−T) × D/E objetivo]</t>
  </si>
  <si>
    <t>Separa el riesgo del NEGOCIO del riesgo del APALANCAMIENTO. Permite usar betas de comparables con estructuras de capital distintas y reapalancarlas a la estructura objetivo.</t>
  </si>
  <si>
    <t>=C12/(1+(1-C14)*C13)   y   =C15*(1+(1-C14)*C16)</t>
  </si>
  <si>
    <t>βu = 1,20 / [1 + 0,79 × 0,25] = 1,002;   βre = 1,002 × 1,1975 = 1,20</t>
  </si>
  <si>
    <t>Usar la beta apalancada de un comparable directamente, importando su estructura de capital sin darse cuenta.</t>
  </si>
  <si>
    <t>Bancos: el desapalancamiento de Hamada no aplica, la deuda es materia prima. Empresas sin historia bursátil: beta de comparables, nunca una regresión con pocos datos.</t>
  </si>
  <si>
    <t>WACC = E/(D+E) × Ke + D/(D+E) × Kd × (1 − T)</t>
  </si>
  <si>
    <t>Coste medio ponderado de todo el capital. Es la tasa correcta para el FCFF porque el FCFF pertenece a todos los proveedores de capital.</t>
  </si>
  <si>
    <t>='07 WACC'!C32*C9+C31*C26</t>
  </si>
  <si>
    <t>0,80 × 9,90% + 0,20 × 5,25% × 0,79 = 8,75%</t>
  </si>
  <si>
    <t>Cada segmento de un conglomerado puede merecer su propio WACC. Multinacionales: WACC ponderado por exposición geográfica.</t>
  </si>
  <si>
    <t>Valor terminal disciplinado (Gordon)</t>
  </si>
  <si>
    <t>Tasa de reinversión = g / ROIC terminal;   FCFF_T = NOPAT_n × (1+g) × (1 − g/ROIC);   VT = FCFF_T / (WACC − g)</t>
  </si>
  <si>
    <t>El crecimiento perpetuo EXIGE reinversión perpetua. Esta formulación impide regalar crecimiento sin capital, que es el modo más común de inflar un DCF.</t>
  </si>
  <si>
    <t>=F26/F27   (reinversión)   ;   =P10*(1+F26)   ;   =F29*(1-F28)   ;   =F30/(P21-F26)</t>
  </si>
  <si>
    <t>Reinv. = 3%/24% = 12,5%;  FCFF_T = 61.048 × 87,5% = 53.417;  VT = 53.417 / 5,75% = 929.000 aprox.</t>
  </si>
  <si>
    <t>Aplicar Gordon al FCFF del último año sin disciplina de reinversión. En este modelo la diferencia está cuantificada en '06 DCF' fila 39.</t>
  </si>
  <si>
    <t>Mineras y petroleras con reservas finitas: NO hay perpetuidad, hay que agotar el activo. Biotech: usar rNPV por proyecto.</t>
  </si>
  <si>
    <t>Factor de descuento del valor terminal</t>
  </si>
  <si>
    <t>FD_VT = 1 / (1 + WACC)^n, con n completo</t>
  </si>
  <si>
    <t>El valor terminal es un STOCK medido al cierre del año n, no un flujo repartido durante ese año. Por eso NO lleva el ajuste de mitad de año.</t>
  </si>
  <si>
    <t>=1/(1+P21)^'02 Assumptions'!C11</t>
  </si>
  <si>
    <t>1 / 1,087495^10 = 0,4322</t>
  </si>
  <si>
    <t>Aplicar n − 0,5 también al valor terminal, lo que sobrevalora el 66% del EV por medio año de descuento.</t>
  </si>
  <si>
    <t>Ninguna: es una cuestión de definición, no de sector.</t>
  </si>
  <si>
    <t>EV = Σ VP(FCFF explícito) + VP(Valor terminal)</t>
  </si>
  <si>
    <t>Valor de todo el negocio operativo, independiente de cómo esté financiado.</t>
  </si>
  <si>
    <t>=SUM(G23:P23)   más   =F36   ;   total   =F42+F43</t>
  </si>
  <si>
    <t>212.533 + 403.876 = 608.375 (en el caso base antes del último ajuste)</t>
  </si>
  <si>
    <t>Sumar el fondo de comercio o los activos no operativos ya recogidos en los flujos, duplicando valor.</t>
  </si>
  <si>
    <t>Bancos: el concepto de EV no es operativo. Conglomerados: suma de EV por segmento menos coste corporativo.</t>
  </si>
  <si>
    <t>Puente a Equity Value</t>
  </si>
  <si>
    <t>Equity = EV − deuda − leases financieros + caja − caja mínima + valores negociables − minoritarios − preferentes</t>
  </si>
  <si>
    <t>Del valor del negocio al valor del accionista, restando todos los derechos prioritarios y sumando solo los activos financieros realmente disponibles.</t>
  </si>
  <si>
    <t>=F44+SUM(F46:F52)</t>
  </si>
  <si>
    <t>Los cinco errores de doble contabilización del manual M4: deuda, leases, caja, minoritarios y preferentes.</t>
  </si>
  <si>
    <t>Bancos: no hay puente, se valora el equity directamente. Con déficit de pensiones material: tratarlo como deuda.</t>
  </si>
  <si>
    <t>VPA = Equity Value / acciones diluidas</t>
  </si>
  <si>
    <t>El resultado final. Debe ser SIEMPRE una fórmula que llegue hasta el dato de origen: nunca un número escrito a mano.</t>
  </si>
  <si>
    <t>=F53/F54   donde   F54 ='02 Assumptions'!C69   =('03 Historical'!F118+('03 Historical'!F40-'03 Historical'!F39))</t>
  </si>
  <si>
    <t>496.515 / 2.934 = 169,23 dólares</t>
  </si>
  <si>
    <t>Usar acciones básicas, o la media ponderada de doce meses ya pasados en lugar de las acciones actuales más los equivalentes dilutivos.</t>
  </si>
  <si>
    <t>Con convertibles materiales: método del treasury stock. Con preferentes convertibles: restar valor O convertir, nunca ambas cosas.</t>
  </si>
  <si>
    <t>ROIC</t>
  </si>
  <si>
    <t>ROIC = NOPAT / capital invertido medio;  Capital invertido = PP&amp;E + NWC + fondo de comercio + ROU</t>
  </si>
  <si>
    <t>Mide si la empresa gana más sobre el capital que emplea que lo que ese capital le cuesta. Es la condición para que el crecimiento cree valor.</t>
  </si>
  <si>
    <t>=G57/AVERAGE(F63:G63)   con   G63 =G37+G50+'03 Historical'!$F$50+'03 Historical'!$F$49</t>
  </si>
  <si>
    <t>FY2026: 19.612 / media(capital invertido) = 14,0%</t>
  </si>
  <si>
    <t>Usar dos definiciones distintas de capital invertido en el mismo libro. Este defecto existía y se corrigió unificando '03 Historical' fila 139 con '04 Operating Model' fila 63.</t>
  </si>
  <si>
    <t>Bancos: sustituir por ROE o ROTE sobre capital regulatorio. Con fondo de comercio muy grande: mirar también el ROIC excluyéndolo.</t>
  </si>
  <si>
    <t>Tasa de reinversión y coherencia del crecimiento</t>
  </si>
  <si>
    <t>Reinversión neta = Capex + ΔNWC − D&amp;A;  Tasa = Reinversión / NOPAT;  g implícito = Tasa × ROIC</t>
  </si>
  <si>
    <t>Es la prueba de coherencia del modelo: si el crecimiento proyectado no se corresponde con la reinversión y el ROIC proyectados, el modelo se contradice a sí mismo.</t>
  </si>
  <si>
    <t>=G34+G51-G38   ;   =IFERROR(G65/G57,"n/a")   ;   =IFERROR(G66*G64,"n/a")</t>
  </si>
  <si>
    <t>Año 10: la brecha entre g implícito y g proyectado se vigila en el control 52 con tolerancia de ±5 p.p.</t>
  </si>
  <si>
    <t>Proyectar crecimiento con reinversión nula. Este defecto existía en el año 10 y se corrigió elevando el capex terminal al 11,8% de los ingresos.</t>
  </si>
  <si>
    <t>Negocios de activos ligeros: ROIC muy alto, la reinversión necesaria es baja y la identidad se cumple con poco capital.</t>
  </si>
  <si>
    <t>Reverse DCF: margen requerido</t>
  </si>
  <si>
    <t>Δmargen = (precio − valor del modelo) / K, con K = sensibilidad del valor por acción al margen</t>
  </si>
  <si>
    <t>Respuesta lineal y EXACTA: cuánto margen adicional habría que creer para justificar el precio, dejando todo lo demás igual.</t>
  </si>
  <si>
    <t>=$D$19/(SUMPRODUCT(Ingresos×(1−t),FD) + término terminal)/acciones</t>
  </si>
  <si>
    <t>A un precio de 250 dólares: +11,65 p.p., es decir un margen EBIT terminal del 45,3% frente a un máximo histórico del 33,3%</t>
  </si>
  <si>
    <t>Interpretar el resultado como un pronóstico. El Reverse DCF no dice qué pasará: dice qué habría que creer.</t>
  </si>
  <si>
    <t>Ninguna: la técnica es universal. Lo que cambia es la variable que conviene despejar en cada sector.</t>
  </si>
  <si>
    <t>Reverse DCF: crecimiento terminal requerido</t>
  </si>
  <si>
    <t>Se despeja g de A(1+g)(1−g/R) = T(WACC−g), una ecuación cuadrática en g</t>
  </si>
  <si>
    <t>Cuánto crecimiento perpetuo habría que creer para justificar el precio. Se compara contra el PIB nominal como tope de realidad.</t>
  </si>
  <si>
    <t>=IFERROR((B−RAÍZ(B^2−4A(R·T·WACC−A·R)))/(2A)) con B = A(R−1)+R·T   (raíz menor)</t>
  </si>
  <si>
    <t>A un precio de 250 dólares: g requerido del 5,48%, por encima del 4% de PIB nominal, por lo que el aviso salta</t>
  </si>
  <si>
    <t>Resolver con Buscar objetivo y dejar el resultado fijado como si fuera dinámico. Aquí la solución es analítica y se recalcula sola.</t>
  </si>
  <si>
    <t>Ninguna. Si no hay solución real, significa que el precio no se alcanza ni con g → WACC: la diferencia está en el margen o el capex.</t>
  </si>
  <si>
    <t>Sensibilidad en forma cerrada</t>
  </si>
  <si>
    <t>Valor(WACC,g) = Σ FCFF_t/(1+WACC)^t + VT(WACC,g)/(1+WACC)^n + puente, todo dividido entre las acciones</t>
  </si>
  <si>
    <t>Es EXACTA porque el FCFF no depende del WACC ni de g. Permite construir rejillas reales sin Tablas de Datos, que no se pueden crear por programación.</t>
  </si>
  <si>
    <t>=(SUMPRODUCT('06 DCF'!$G$15:$P$15,1/(1+$C6)^'06 DCF'!$G$20:$P$20)+'06 DCF'!$P$10*(1+D$5)*(1-D$5/'06 DCF'!$F$27)/($C6-D$5)/(1+$C6)^'02 Assumptions'!$C$11+SUM('06 DCF'!$F$46:$F$52))/'06 DCF'!$F$54</t>
  </si>
  <si>
    <t>El centro de la rejilla reproduce exactamente el valor del DCF: 169,23 dólares. El control 59 lo verifica.</t>
  </si>
  <si>
    <t>Aplicar la misma técnica a un shock de CRECIMIENTO. No es válido: la depreciación depende de la trayectoria de PP&amp;E y no hay forma cerrada.</t>
  </si>
  <si>
    <t>Ninguna. La limitación es matemática, no sectorial.</t>
  </si>
  <si>
    <t>Bajo estas hipótesis explícitas sobre crecimiento, márgenes, reinversión, riesgo, estructura de capital y valor terminal, el modelo produce 169,23 dólares. La REJILLA A de '08 Sensitivity' muestra que moviendo solo el WACC y el crecimiento terminal 100 puntos básicos en cada dirección, el valor recorre aproximadamente de 125 a 258 dólares. Y el recorrido de los tres escenarios completos va de 65 (Bear) a 286 (Bull). Ese es el verdadero contenido informativo.</t>
  </si>
  <si>
    <t>Un margen de seguridad es útil frente a errores de estimación acotados. NO convierte en fiable un modelo cuyas hipótesis son extremadamente inciertas. Aplicar un descuento del 30% a un valor que puede estar entre 125 y 258 dólares por el solo efecto del WACC y de g no produce certeza: produce una cifra con un descuento.</t>
  </si>
  <si>
    <t>Tipo libre de riesgo, prima de riesgo de mercado y beta son estimaciones con rangos amplios y legítimamente discutibles. La REJILLA A muestra que 100 puntos básicos de WACC mueven el valor unos 68 dólares por acción, en torno al 40% del valor base.</t>
  </si>
  <si>
    <t>69 controles automáticos en '13 Checks'. Un modelo sin auditar tiene riesgo de modelo desconocido, no bajo.</t>
  </si>
  <si>
    <t>Errores de fórmula en el modelo de tres estados</t>
  </si>
  <si>
    <t>El modelo de consistencia contable no calcula y no puede validar el forecast</t>
  </si>
  <si>
    <t>Tipo libre de riesgo, prima de riesgo, beta y coste marginal de la deuda sin fuente ni fecha</t>
  </si>
  <si>
    <t>El WACC no es defendible ante otro analista y no se puede reproducir la valoración</t>
  </si>
  <si>
    <t>Rellenar '07 WACC'!C56 con la fecha y la tabla de documentación de las filas 47-54</t>
  </si>
  <si>
    <t>ESCENARIO PESIMISTA (BEAR) — MODELO COMPLETO E INDEPENDIENTE</t>
  </si>
  <si>
    <t>INGRESOS</t>
  </si>
  <si>
    <t xml:space="preserve">  Crecimiento</t>
  </si>
  <si>
    <t>MÁRGENES Y GASTOS</t>
  </si>
  <si>
    <t xml:space="preserve">  Margen bruto</t>
  </si>
  <si>
    <t xml:space="preserve">  I+D</t>
  </si>
  <si>
    <t xml:space="preserve">  G&amp;A</t>
  </si>
  <si>
    <t xml:space="preserve">  Total gastos operativos</t>
  </si>
  <si>
    <t>EBIT NORMALIZADO</t>
  </si>
  <si>
    <t xml:space="preserve">  D&amp;A total</t>
  </si>
  <si>
    <t>EBITDA</t>
  </si>
  <si>
    <t>CIRCULANTE</t>
  </si>
  <si>
    <t xml:space="preserve">  Clientes</t>
  </si>
  <si>
    <t>CAPITAL CIRCULANTE NETO</t>
  </si>
  <si>
    <t xml:space="preserve">  Variación del NWC</t>
  </si>
  <si>
    <t xml:space="preserve">  (−) Variación del NWC</t>
  </si>
  <si>
    <t xml:space="preserve">  (−) Coste en caja de reestructuración</t>
  </si>
  <si>
    <t xml:space="preserve">  WACC (base + delta del escenario)</t>
  </si>
  <si>
    <t xml:space="preserve">  Periodo de descuento t</t>
  </si>
  <si>
    <t xml:space="preserve">  Factor de descuento</t>
  </si>
  <si>
    <t xml:space="preserve">  Valor presente del FCFF</t>
  </si>
  <si>
    <t xml:space="preserve">  Tasa de reinversión terminal = g / ROIC</t>
  </si>
  <si>
    <t xml:space="preserve">  NOPAT terminal</t>
  </si>
  <si>
    <t xml:space="preserve">  FCFF terminal</t>
  </si>
  <si>
    <t xml:space="preserve">  Valor terminal</t>
  </si>
  <si>
    <t xml:space="preserve">  Factor de descuento del valor terminal</t>
  </si>
  <si>
    <t>CONTROLES DE ESTE ESCENARIO</t>
  </si>
  <si>
    <t xml:space="preserve">  CHECK: FCFF positivo al final del horizonte</t>
  </si>
  <si>
    <t xml:space="preserve">  CHECK: crecimiento del año 10 ≥ g</t>
  </si>
  <si>
    <t>No depende del interruptor '09 Escenarios'!C4. Lee los vectores Base de '02 Assumptions' y aplica los deltas de la COLUMNA D de '09 Escenarios'. Los tres escenarios se calculan simultáneamente.</t>
  </si>
  <si>
    <t>DESCUENTO Y VALOR TERMINAL</t>
  </si>
  <si>
    <t>ESCENARIO BASE — MODELO COMPLETO E INDEPENDIENTE</t>
  </si>
  <si>
    <t>No depende del interruptor '09 Escenarios'!C4. Lee los vectores Base de '02 Assumptions' y aplica los deltas de la COLUMNA E de '09 Escenarios'. Los tres escenarios se calculan simultáneamente.</t>
  </si>
  <si>
    <t>ESCENARIO OPTIMISTA (BULL) — MODELO COMPLETO E INDEPENDIENTE</t>
  </si>
  <si>
    <t>No depende del interruptor '09 Escenarios'!C4. Lee los vectores Base de '02 Assumptions' y aplica los deltas de la COLUMNA F de '09 Escenarios'. Los tres escenarios se calculan simultáneamente.</t>
  </si>
  <si>
    <t xml:space="preserve">  Valor presente del FCFF explícito</t>
  </si>
  <si>
    <t xml:space="preserve">  Puente a Equity (idéntico a '06 DCF' filas 46-52)</t>
  </si>
  <si>
    <t xml:space="preserve">  Ingresos FY2036E</t>
  </si>
  <si>
    <t xml:space="preserve">  CHECK: sin errores de fórmula en la hoja</t>
  </si>
  <si>
    <t xml:space="preserve">  CHECK: reproduce '06 DCF' (sólo debe cumplirse en el escenario BASE)</t>
  </si>
  <si>
    <t>no aplica</t>
  </si>
  <si>
    <t>AVISO: los múltiplos de la columna E son INPUTS DEL ANALISTA, no múltiplos de comparables observados. No se han obtenido datos de compañías comparables, por lo que estos múltiplos son marcadores de posición razonables que deben sustituirse por los de un conjunto de peers seleccionado con criterio (modelo de negocio, geografía, crecimiento, márgenes, intensidad de capital, riesgo y tamaño). Un múltiplo inventado no es valoración relativa.</t>
  </si>
  <si>
    <t>Método</t>
  </si>
  <si>
    <t>Valor de la métrica</t>
  </si>
  <si>
    <t>Múltiplo (input)</t>
  </si>
  <si>
    <t>EV implícito</t>
  </si>
  <si>
    <t>Equity implícito</t>
  </si>
  <si>
    <t>Valor por acción</t>
  </si>
  <si>
    <t>EV / Ingresos FY2027E</t>
  </si>
  <si>
    <t>Ingresos FY2027E</t>
  </si>
  <si>
    <t>EV / EBITDA FY2027E</t>
  </si>
  <si>
    <t>EBITDA FY2027E</t>
  </si>
  <si>
    <t>EV / EBITDA FY2029E</t>
  </si>
  <si>
    <t>EBITDA FY2029E</t>
  </si>
  <si>
    <t>EV / EBIT normalizado FY2029E</t>
  </si>
  <si>
    <t>EBIT norm. FY2029E</t>
  </si>
  <si>
    <t>EV / FCFF FY2031E</t>
  </si>
  <si>
    <t>FCFF FY2031E</t>
  </si>
  <si>
    <t>P / E FY2029E (valora el equity directamente, sin puente)</t>
  </si>
  <si>
    <t>Beneficio neto FY2029E</t>
  </si>
  <si>
    <t>Media de los métodos de múltiplos</t>
  </si>
  <si>
    <t>MEDIANA de los métodos de múltiplos</t>
  </si>
  <si>
    <t>Rango de los métodos (mínimo – máximo)</t>
  </si>
  <si>
    <t xml:space="preserve">  Para comparar: valor por acción del DCF (escenario Base)</t>
  </si>
  <si>
    <t>Precio objetivo ponderado por método. Los PESOS de la columna D son inputs del analista y deben sumar el 100%. La ponderación no reduce la incertidumbre: sólo hace explícito cuánta confianza se otorga a cada método. Si el rango entre métodos es amplio, el precio objetivo es una media de cosas que no coinciden, y eso es información en sí mismo.</t>
  </si>
  <si>
    <t>Peso (input)</t>
  </si>
  <si>
    <t>Contribución</t>
  </si>
  <si>
    <t>DCF — escenario Pesimista (Bear)</t>
  </si>
  <si>
    <t>DCF — escenario Base</t>
  </si>
  <si>
    <t>DCF — escenario Optimista (Bull)</t>
  </si>
  <si>
    <t>Valoración por múltiplos (mediana)</t>
  </si>
  <si>
    <t>Suma de los pesos</t>
  </si>
  <si>
    <t>PRECIO OBJETIVO PONDERADO</t>
  </si>
  <si>
    <t xml:space="preserve">  Upside / (Downside) al precio objetivo</t>
  </si>
  <si>
    <t xml:space="preserve">  Margen de seguridad sobre el precio objetivo</t>
  </si>
  <si>
    <t xml:space="preserve">  Rango entre el método más bajo y el más alto</t>
  </si>
  <si>
    <t xml:space="preserve">  Dispersión entre métodos (máx / mín)</t>
  </si>
  <si>
    <t xml:space="preserve">  CHECK: dispersión entre métodos</t>
  </si>
  <si>
    <t>LOS TRES ESCENARIOS, CALCULADOS SIMULTÁNEAMENTE</t>
  </si>
  <si>
    <t>Ya NO es una instantánea: cada columna se calcula en su propia hoja ('09a', '09b', '09c'), independiente del interruptor de '09 Escenarios'!C4. Los deltas de cada escenario están en la matriz de '09 Escenarios' filas 9-17.</t>
  </si>
  <si>
    <t>PESIMISTA</t>
  </si>
  <si>
    <t>OPTIMISTA</t>
  </si>
  <si>
    <t>CHECK: el escenario Base debe reproducir '06 DCF'</t>
  </si>
  <si>
    <t>CHECK: ordenación Pesimista &lt; Base &lt; Optimista</t>
  </si>
  <si>
    <t>Escenario Pesimista: sin errores de fórmula</t>
  </si>
  <si>
    <t>OK</t>
  </si>
  <si>
    <t>Error de fórmula en la hoja del escenario pesimista</t>
  </si>
  <si>
    <t>El rango de valoración pierde su extremo inferior</t>
  </si>
  <si>
    <t>Abrir '09a' y localizar la celda con error</t>
  </si>
  <si>
    <t>Escenario Base: sin errores de fórmula</t>
  </si>
  <si>
    <t>Error de fórmula en la hoja del escenario base</t>
  </si>
  <si>
    <t>El escenario central no calcula</t>
  </si>
  <si>
    <t>Abrir '09b' y localizar la celda con error</t>
  </si>
  <si>
    <t>Escenario Optimista: sin errores de fórmula</t>
  </si>
  <si>
    <t>Error de fórmula en la hoja del escenario optimista</t>
  </si>
  <si>
    <t>El rango pierde su extremo superior</t>
  </si>
  <si>
    <t>Abrir '09c' y localizar la celda con error</t>
  </si>
  <si>
    <t>El escenario Base reproduce exactamente el DCF de '06 DCF'</t>
  </si>
  <si>
    <t>Divergencia entre la hoja del escenario Base y el modelo principal</t>
  </si>
  <si>
    <t>Si la réplica no coincide, los escenarios Pesimista y Optimista tampoco son fiables</t>
  </si>
  <si>
    <t>Comparar fila a fila '09b' contra '04 Operating Model' y '06 DCF'</t>
  </si>
  <si>
    <t>Escenarios ordenados: Pesimista &lt; Base &lt; Optimista</t>
  </si>
  <si>
    <t>Deltas mal signados en la matriz de escenarios</t>
  </si>
  <si>
    <t>El rango no acota nada</t>
  </si>
  <si>
    <t>Revisar los signos de '09 Escenarios' filas 9-17</t>
  </si>
  <si>
    <t>WACC del Pesimista &gt; WACC del Optimista (coherencia del riesgo)</t>
  </si>
  <si>
    <t>El escenario adverso descuenta a una tasa menor que el favorable</t>
  </si>
  <si>
    <t>Incoherencia: más riesgo debería exigir más retorno</t>
  </si>
  <si>
    <t>Revisar el delta de WACC en '09 Escenarios' fila 17</t>
  </si>
  <si>
    <t>Pesos del precio objetivo suman 100%</t>
  </si>
  <si>
    <t>Los pesos de ponderación no suman la unidad</t>
  </si>
  <si>
    <t>El precio objetivo está mal ponderado</t>
  </si>
  <si>
    <t>Corregir '01 Summary'!D74:D78</t>
  </si>
  <si>
    <t>Dispersión entre métodos de valoración</t>
  </si>
  <si>
    <t>&lt; 2,5x</t>
  </si>
  <si>
    <t>Los métodos discrepan más de 2,5 veces</t>
  </si>
  <si>
    <t>Promediar métodos incompatibles produce un número sin significado</t>
  </si>
  <si>
    <t>Presentar el RANGO y explicar por qué discrepan, en lugar de ponderar</t>
  </si>
  <si>
    <t>Múltiplos de comparables sustituidos por peers reales</t>
  </si>
  <si>
    <t>Revisión manual</t>
  </si>
  <si>
    <t>Usar múltiplos marcadores de posición como si fueran de mercado</t>
  </si>
  <si>
    <t>Valoración relativa sin comparables reales: no es valoración relativa</t>
  </si>
  <si>
    <t>Seleccionar un conjunto de peers y sustituir E59:E64 documentando la fuente</t>
  </si>
  <si>
    <t>AUDITORÍA DEL MODELO — 78 CONTROLES AUTOMÁTICOS</t>
  </si>
  <si>
    <t>Si esta tabla o el bloque de Precio objetivo muestran ceros: Ctrl+Alt+F9.</t>
  </si>
  <si>
    <t>⚠ PULSA Ctrl+Alt+F9 AL ABRIR ESTE LIBRO. Estas zonas se escribieron con el motor de cálculo del complemento bloqueado y mostrarán CEROS hasta que se fuerce un recálculo completo: (1) hojas 09a/09b/09c de escenarios; (2) las 25 celdas de las rejillas de '08 Sensibilidad' D6:H46; (3) en esta hoja, la tabla de escenarios F16:H24, el bloque de Múltiplos y el bloque de Precio objetivo; (4) en '13 Checks', los contadores D5:D7 y los controles 70-78. Las fórmulas están escritas y verificadas sintácticamente; lo que falta es que Excel las evalúe. TRAS EL RECÁLCULO comprueba el control 73 de '13 Checks': si está en OK, la réplica del escenario Base coincide con el DCF y los tres escenarios son fiables.</t>
  </si>
  <si>
    <t>Valoración por múltiplos</t>
  </si>
  <si>
    <t>Precio objetivo</t>
  </si>
  <si>
    <t>PANEL DEL ANALISTA — TODOS LOS INPUTS DEL MODELO EN UN SOLO SITIO</t>
  </si>
  <si>
    <t>Rellena las celdas AZULES sobre fondo blanco y las AMARILLAS (hipótesis críticas). El resto del libro se recalcula solo. Para valorar OTRA compañía: sustituye la identificación, los tres estados históricos y los drivers; no hace falta tocar ninguna otra hoja.</t>
  </si>
  <si>
    <t>Las filas marcadas «calculado» no se rellenan: son totales que el libro deriva. Al terminar, comprueba el semáforo del final de esta hoja y la hoja '13 Checks'.</t>
  </si>
  <si>
    <t>Hist. −2</t>
  </si>
  <si>
    <t>Hist. −1</t>
  </si>
  <si>
    <t>Hist. base</t>
  </si>
  <si>
    <t>Año 1</t>
  </si>
  <si>
    <t>Año 2</t>
  </si>
  <si>
    <t>Año 3</t>
  </si>
  <si>
    <t>Año 4</t>
  </si>
  <si>
    <t>Año 5</t>
  </si>
  <si>
    <t>Año 6</t>
  </si>
  <si>
    <t>Año 7</t>
  </si>
  <si>
    <t>Año 8</t>
  </si>
  <si>
    <t>Año 9</t>
  </si>
  <si>
    <t>Año 10</t>
  </si>
  <si>
    <t>1. IDENTIFICACIÓN Y MERCADO</t>
  </si>
  <si>
    <t>texto</t>
  </si>
  <si>
    <t xml:space="preserve">  Ticker y mercado</t>
  </si>
  <si>
    <t xml:space="preserve">  PRECIO DE MERCADO ACTUAL (el único dato que el libro no puede deducir)</t>
  </si>
  <si>
    <t xml:space="preserve">  Etiquetas de los ejercicios (se propagan a las cabeceras de todas las hojas)</t>
  </si>
  <si>
    <t>2. CUENTA DE RESULTADOS HISTÓRICA</t>
  </si>
  <si>
    <t>calculado</t>
  </si>
  <si>
    <t xml:space="preserve">  Partidas no recurrentes a documentar</t>
  </si>
  <si>
    <t xml:space="preserve">  Cobros anticipados de clientes con componente financiero significativo</t>
  </si>
  <si>
    <t>6. DRIVERS DEL FORECAST — vectores por año (escenario BASE; los escenarios se derivan de la sección 8)</t>
  </si>
  <si>
    <t xml:space="preserve">  I+D / Ingresos</t>
  </si>
  <si>
    <t xml:space="preserve">  DSO — días de cobro</t>
  </si>
  <si>
    <t xml:space="preserve">  SBC / Ingresos (sólo para el modelo de tres estados)</t>
  </si>
  <si>
    <t>7. PARÁMETROS ESCALARES DEL MODELO</t>
  </si>
  <si>
    <t xml:space="preserve">  Años de forecast explícito (debe coincidir con el nº de columnas Año 1..Año 10)</t>
  </si>
  <si>
    <t xml:space="preserve">  Convención de descuento (1 = fin de año, 2 = mitad de año)</t>
  </si>
  <si>
    <t xml:space="preserve">  Método de valor terminal (1 = Gordon, 2 = Múltiplo de salida)</t>
  </si>
  <si>
    <t xml:space="preserve">  Tipo impositivo marginal (para el WACC)</t>
  </si>
  <si>
    <t xml:space="preserve">  Tope de referencia: PIB nominal a largo plazo</t>
  </si>
  <si>
    <t xml:space="preserve">  ROIC terminal (disciplina la reinversión terminal)</t>
  </si>
  <si>
    <t xml:space="preserve">  Tipo de interés medio sobre la deuda inicial</t>
  </si>
  <si>
    <t xml:space="preserve">  Tipo contractual del dividendo de preferentes</t>
  </si>
  <si>
    <t xml:space="preserve">  Recompra neta de acciones por año</t>
  </si>
  <si>
    <t xml:space="preserve">  Shock uniforme al crecimiento de ingresos (dejar en 0)</t>
  </si>
  <si>
    <t xml:space="preserve">  Reparto del delta de opex por escenario: peso I+D</t>
  </si>
  <si>
    <t>8. INPUTS DE MERCADO DEL WACC — deben actualizarse y fecharse en cada revisión</t>
  </si>
  <si>
    <t xml:space="preserve">  Tipo libre de riesgo (bono del Estado a 10 años)</t>
  </si>
  <si>
    <t xml:space="preserve">  Prima adicional por riesgo país o tamaño</t>
  </si>
  <si>
    <t xml:space="preserve">  Beta apalancada observada</t>
  </si>
  <si>
    <t xml:space="preserve">  D/E de mercado correspondiente a esa beta</t>
  </si>
  <si>
    <t xml:space="preserve">  Coste marginal de la deuda nueva (Kd)</t>
  </si>
  <si>
    <t xml:space="preserve">  Peso objetivo de la deuda D/(D+E)</t>
  </si>
  <si>
    <t xml:space="preserve">  FECHA de actualización de estos inputs (dd/mm/aaaa)</t>
  </si>
  <si>
    <t>9. MATRIZ DE ESCENARIOS — los tres se calculan a la vez en sus propias hojas</t>
  </si>
  <si>
    <t>Pesimista</t>
  </si>
  <si>
    <t>Optimista</t>
  </si>
  <si>
    <t xml:space="preserve">  Interruptor de '09 Escenarios' (1=Pesimista, 2=Base, 3=Optimista) — sólo afecta a '04/05/06'</t>
  </si>
  <si>
    <t>10. VALORACIÓN RELATIVA Y PONDERACIÓN DEL PRECIO OBJETIVO</t>
  </si>
  <si>
    <t xml:space="preserve">  AVISO: los múltiplos de abajo NO son de comparables observados. Selecciona un conjunto de peers (modelo de negocio, geografía, crecimiento, márgenes, intensidad de capital, riesgo y tamaño) y sustitúyelos documentando la fuente.</t>
  </si>
  <si>
    <t>Múltiplo de comparables</t>
  </si>
  <si>
    <t>Valor</t>
  </si>
  <si>
    <t xml:space="preserve">  EV / Ingresos Año 1</t>
  </si>
  <si>
    <t xml:space="preserve">  EV / EBITDA Año 1</t>
  </si>
  <si>
    <t xml:space="preserve">  EV / EBITDA Año 3</t>
  </si>
  <si>
    <t xml:space="preserve">  EV / EBIT normalizado Año 3</t>
  </si>
  <si>
    <t xml:space="preserve">  EV / FCFF Año 5</t>
  </si>
  <si>
    <t xml:space="preserve">  P / E Año 3</t>
  </si>
  <si>
    <t>Peso en el precio objetivo</t>
  </si>
  <si>
    <t xml:space="preserve">  DCF — escenario Pesimista</t>
  </si>
  <si>
    <t xml:space="preserve">  DCF — escenario Base</t>
  </si>
  <si>
    <t xml:space="preserve">  DCF — escenario Optimista</t>
  </si>
  <si>
    <t xml:space="preserve">  Valoración por múltiplos (mediana)</t>
  </si>
  <si>
    <t xml:space="preserve">  Sum-of-the-Parts</t>
  </si>
  <si>
    <t xml:space="preserve">  Suma de los pesos (debe ser 100%)</t>
  </si>
  <si>
    <t>11. SUM-OF-THE-PARTS — márgenes y múltiplos por segmento (hipótesis del analista)</t>
  </si>
  <si>
    <t>Margen EBIT</t>
  </si>
  <si>
    <t>Múltiplo EV/EBIT</t>
  </si>
  <si>
    <t>Múltiplo corporativo</t>
  </si>
  <si>
    <t>12. RESULTADO — se actualiza solo al cambiar cualquier input de esta hoja</t>
  </si>
  <si>
    <t xml:space="preserve">  Enterprise Value (escenario Base)</t>
  </si>
  <si>
    <t xml:space="preserve">  Equity Value (escenario Base)</t>
  </si>
  <si>
    <t xml:space="preserve">  VALOR INTRÍNSECO POR ACCIÓN — Pesimista</t>
  </si>
  <si>
    <t xml:space="preserve">  VALOR INTRÍNSECO POR ACCIÓN — Base</t>
  </si>
  <si>
    <t xml:space="preserve">  VALOR INTRÍNSECO POR ACCIÓN — Optimista</t>
  </si>
  <si>
    <t xml:space="preserve">  PRECIO OBJETIVO PONDERADO</t>
  </si>
  <si>
    <t xml:space="preserve">  WACC del escenario Base</t>
  </si>
  <si>
    <t xml:space="preserve">  Crecimiento terminal g del escenario Base</t>
  </si>
  <si>
    <t xml:space="preserve">  Múltiplo de salida implícito</t>
  </si>
  <si>
    <t>13. SEMÁFORO DEL MODELO — si hay FALLOS, el resultado NO es utilizable</t>
  </si>
  <si>
    <t xml:space="preserve">  VEREDICTO DE LA AUDITORÍA</t>
  </si>
  <si>
    <t xml:space="preserve">  La réplica del escenario Base reproduce el DCF principal</t>
  </si>
  <si>
    <t xml:space="preserve">  Escenarios ordenados Pesimista &lt; Base &lt; Optimista</t>
  </si>
  <si>
    <t xml:space="preserve">  Los pesos del precio objetivo suman 100%</t>
  </si>
  <si>
    <t xml:space="preserve">  Dispersión entre métodos de valoración</t>
  </si>
  <si>
    <t xml:space="preserve">  Cuadre del balance histórico (debe ser 0)</t>
  </si>
  <si>
    <t xml:space="preserve">  Cuadre del estado de flujos histórico (debe ser 0)</t>
  </si>
  <si>
    <t xml:space="preserve">  Cuadre del balance proyectado, 10 años (debe ser 0)</t>
  </si>
  <si>
    <t xml:space="preserve">  Cuadre de la caja proyectada, 10 años (debe ser 0)</t>
  </si>
  <si>
    <t xml:space="preserve">  Años de forecast declarados = columnas del modelo</t>
  </si>
  <si>
    <t xml:space="preserve">  Shock de sensibilidad devuelto a cero</t>
  </si>
  <si>
    <t>QUALCOMM Incorporated</t>
  </si>
  <si>
    <t>QCOM — Nasdaq</t>
  </si>
  <si>
    <t>FY2025A auditado (cerrado 28/09/2025); base del forecast FY2026E = 9M real + guía Q4</t>
  </si>
  <si>
    <t>FY2026E</t>
  </si>
  <si>
    <t xml:space="preserve">  QCT IoT + Data Center y otros no reportables</t>
  </si>
  <si>
    <t xml:space="preserve">  QCT Handsets</t>
  </si>
  <si>
    <t xml:space="preserve">  QTL Licencias (incl. ingresos no asignados)</t>
  </si>
  <si>
    <t xml:space="preserve">  QCT Automoción</t>
  </si>
  <si>
    <t xml:space="preserve">  Coste de los ingresos (excl. amortización de intangibles)</t>
  </si>
  <si>
    <t xml:space="preserve">  (no aplica — coste único en QCOM)</t>
  </si>
  <si>
    <t xml:space="preserve">  Ventas, generales y administración (SG&amp;A)</t>
  </si>
  <si>
    <t xml:space="preserve">  Generales y administración (incluido en SG&amp;A)</t>
  </si>
  <si>
    <t xml:space="preserve">  Amortización de intangibles adquiridos (reclasificada desde coste de ingresos)</t>
  </si>
  <si>
    <t xml:space="preserve">  Otros gastos operativos (reestructuración, deterioros y otros)</t>
  </si>
  <si>
    <t xml:space="preserve">  Resultado de inversiones y otros, neto (incl. QSI)</t>
  </si>
  <si>
    <t>3. BALANCE HISTÓRICO (E = 28/09/2025 auditado; F = 28/06/2026, último 10-Q disponible)</t>
  </si>
  <si>
    <t xml:space="preserve">  Caja y equivalentes (incl. caja restringida)</t>
  </si>
  <si>
    <t xml:space="preserve">  Inventarios y otros activos corrientes</t>
  </si>
  <si>
    <t xml:space="preserve">  Otros activos no corrientes (incl. intangibles; excl. derecho de uso)</t>
  </si>
  <si>
    <t xml:space="preserve">  Nóminas y beneficios pendientes</t>
  </si>
  <si>
    <t xml:space="preserve">  Ingresos diferidos corrientes (unearned revenues)</t>
  </si>
  <si>
    <t xml:space="preserve">  Otros pasivos no corrientes (incl. ingresos diferidos LP; excl. leases)</t>
  </si>
  <si>
    <t xml:space="preserve">  Acciones preferentes (ninguna emitida)</t>
  </si>
  <si>
    <t>Patrimonio atribuible a Qualcomm</t>
  </si>
  <si>
    <t>4. ESTADO DE FLUJOS DE CAJA HISTÓRICO (F = FY2026E: 9M real + Q4E)</t>
  </si>
  <si>
    <t xml:space="preserve">  Depreciación (D&amp;A reportada − amortización de intangibles)</t>
  </si>
  <si>
    <t xml:space="preserve">  Impuestos diferidos (provisión vs. pagos)</t>
  </si>
  <si>
    <t xml:space="preserve">  Emisión de preferentes (no aplica)</t>
  </si>
  <si>
    <t xml:space="preserve">  Deuda a corto plazo / papel comercial, neto</t>
  </si>
  <si>
    <t xml:space="preserve">  (no aplica)</t>
  </si>
  <si>
    <t>5. MEMORIA: DEUDA, ARRENDAMIENTOS, OBJETIVOS Y DILUCIÓN</t>
  </si>
  <si>
    <t xml:space="preserve">  Deuda financiera total (senior notes + papel comercial)</t>
  </si>
  <si>
    <t xml:space="preserve">  Objetivo de la dirección: ingresos no-handset FY2029 (Auto + IoT + Data Center)</t>
  </si>
  <si>
    <t xml:space="preserve">  INPUTS ADICIONALES ESPECÍFICOS DE QUALCOMM</t>
  </si>
  <si>
    <t xml:space="preserve">  Warrant Amazon: acciones ya consolidadas (vested)</t>
  </si>
  <si>
    <t xml:space="preserve">  Warrant Amazon: precio de ejercicio</t>
  </si>
  <si>
    <t xml:space="preserve">  Warrant Amazon: acciones máximas (consolidan con compras de hasta 60.000)</t>
  </si>
  <si>
    <t xml:space="preserve">  Inversiones estratégicas QSI no cotizadas + método de participación (activo no operativo)</t>
  </si>
  <si>
    <t xml:space="preserve">  Tipo efectivo non-GAAP FY2026 (guía; referencia, NO usado)</t>
  </si>
  <si>
    <t xml:space="preserve">  Dilución del warrant consolidado (método de autocartera al precio actual) — calculado</t>
  </si>
  <si>
    <t xml:space="preserve">  Crecimiento de ingresos: IoT + Data Center / segmento principal (multiplicador de escenario)</t>
  </si>
  <si>
    <t xml:space="preserve">  Crecimiento de ingresos: QCT Handsets</t>
  </si>
  <si>
    <t xml:space="preserve">  Crecimiento de ingresos: QTL Licencias</t>
  </si>
  <si>
    <t xml:space="preserve">  Crecimiento de ingresos: QCT Automoción</t>
  </si>
  <si>
    <t xml:space="preserve">  SG&amp;A / Ingresos</t>
  </si>
  <si>
    <t xml:space="preserve">  Generales y administración / Ingresos (incluido en SG&amp;A → 0)</t>
  </si>
  <si>
    <t xml:space="preserve">  Otros gastos operativos normalizados (reestructuración, deterioros)</t>
  </si>
  <si>
    <t xml:space="preserve">  Inventarios y otros activos corrientes / Ingresos</t>
  </si>
  <si>
    <t xml:space="preserve">  Nóminas y beneficios pendientes / Ingresos</t>
  </si>
  <si>
    <t xml:space="preserve">  Reparto del delta de opex por escenario: peso SG&amp;A</t>
  </si>
  <si>
    <t xml:space="preserve">  Reparto del delta de opex por escenario: peso G&amp;A (0: incluido en SG&amp;A)</t>
  </si>
  <si>
    <t>Multiplicador del crecimiento de ingresos IoT + Data Center</t>
  </si>
  <si>
    <t>QCT IoT + Data Center y otros</t>
  </si>
  <si>
    <t>QCT Handsets</t>
  </si>
  <si>
    <t>QTL Licencias</t>
  </si>
  <si>
    <t>QCT Automoción</t>
  </si>
  <si>
    <t xml:space="preserve">  Tipo efectivo non-GAAP FY2026 (guía 13%; referencia, NO usado)</t>
  </si>
  <si>
    <t xml:space="preserve">  Ingresos no-handset (IoT + Data Center + Automoción)</t>
  </si>
  <si>
    <t xml:space="preserve">  Objetivo de la dirección FY2029 (no-handset)</t>
  </si>
  <si>
    <t xml:space="preserve">  Ingresos no-handset / objetivo FY2029 de la dirección</t>
  </si>
  <si>
    <t>Activo = Pasivo + Patrimonio (28/09/2025)</t>
  </si>
  <si>
    <t>Activo = Pasivo + Patrimonio (28/06/2026)</t>
  </si>
  <si>
    <t>Suma de ingresos por segmento = ingresos totales reportados FY2025A (44.284)</t>
  </si>
  <si>
    <t>Patrimonio de Qualcomm = capital + reservas + AOCI (28/06/2026: 27.658)</t>
  </si>
  <si>
    <t>El tipo de caja terminal no usa el tipo non-GAAP del 13% a perpetuidad</t>
  </si>
  <si>
    <t>FCFF del año 1 coherente con el FCF simple del año base (0,5x–1,5x)</t>
  </si>
  <si>
    <t>0,5x–1,5x</t>
  </si>
  <si>
    <t>Margen bruto terminal no superior al máximo histórico</t>
  </si>
  <si>
    <t>≤ 0</t>
  </si>
  <si>
    <t>NWC / ingresos terminal coherente con el año base (±5 pp)</t>
  </si>
  <si>
    <t>±5 pp</t>
  </si>
  <si>
    <t>≤ 0 (QCOM: sin leases financieros)</t>
  </si>
  <si>
    <t>≤ 0 (QCOM: sin minoritarios)</t>
  </si>
  <si>
    <t>Se atribuye a Qualcomm valor de terceros</t>
  </si>
  <si>
    <t>≤ 0 (QCOM: sin preferentes)</t>
  </si>
  <si>
    <t>Contrastar con el YTM de los bonos de Qualcomm</t>
  </si>
  <si>
    <t>Ingresos no-handset FY2029E vs objetivo de la dirección (40.000)</t>
  </si>
  <si>
    <t>60%–120%</t>
  </si>
  <si>
    <t>El forecast se desvía mucho del plan de la dirección sin justificarlo</t>
  </si>
  <si>
    <t>Crecimiento no anclado en la guía ni en la cartera de clientes</t>
  </si>
  <si>
    <t>Revisar el vector IoT + Data Center y Automoción o documentar la diferencia</t>
  </si>
  <si>
    <t xml:space="preserve">  (+) Valores negociables e inversiones estratégicas QSI</t>
  </si>
  <si>
    <t xml:space="preserve">  Inversiones estratégicas QSI no cotizadas + participadas (activo no operativo; solo en el puente)</t>
  </si>
  <si>
    <t xml:space="preserve">  (−) Valores negociables e inversiones QSI</t>
  </si>
  <si>
    <t>ESTADOS FINANCIEROS HISTÓRICOS — QUALCOMM INCORPORATED (QCOM)</t>
  </si>
  <si>
    <t>USD millones salvo indicación. Ejercicio fiscal cerrado el último domingo de septiembre. Fuentes: Form 10-K FY2025 (auditado) y Form 10-Q Q3 FY2026. FY2026E = 9 meses reportados + guía Q4 (estimación). Balance F = 28/06/2026.</t>
  </si>
  <si>
    <t xml:space="preserve">  Objetivo de la dirección: ingresos no-handset FY2029</t>
  </si>
  <si>
    <t xml:space="preserve">  Crecimiento de ingresos IoT + Data Center</t>
  </si>
  <si>
    <t xml:space="preserve">  Diferencia no explicada (FX + desfase balance 28/06/2026 vs flujos FY2026E)</t>
  </si>
  <si>
    <t>MEMORIA — DEUDA, ARRENDAMIENTOS, OBJETIVOS Y DILUCIÓN</t>
  </si>
  <si>
    <t>MODELO OPERATIVO FY2027E–FY2036E — QUALCOMM INCORPORATED</t>
  </si>
  <si>
    <t xml:space="preserve">  Mix: IoT + Data Center / ingresos totales</t>
  </si>
  <si>
    <t>MODELO DE TRES ESTADOS INTEGRADO FY2027E–FY2036E — QUALCOMM INCORPORATED</t>
  </si>
  <si>
    <t>DCF — FREE CASH FLOW TO FIRM — QUALCOMM INCORPORATED (QCOM)</t>
  </si>
  <si>
    <t xml:space="preserve">  EV / EBITDA FY2026E implícito</t>
  </si>
  <si>
    <t xml:space="preserve">  EV / Ingresos FY2026E implícito</t>
  </si>
  <si>
    <t>COSTE MEDIO PONDERADO DEL CAPITAL (WACC) — QUALCOMM INCORPORATED</t>
  </si>
  <si>
    <t>QUALCOMM INCORPORATED (QCOM) — RESUMEN DE VALORACIÓN DCF</t>
  </si>
  <si>
    <t>SITUACIÓN DE PARTIDA (FY2026E = 9M REPORTADO + GUÍA Q4)</t>
  </si>
  <si>
    <t xml:space="preserve">  Objetivo no-handset FY2029 (dirección)</t>
  </si>
  <si>
    <t>HIPÓTESIS CENTRALIZADAS — QUALCOMM INCORPORATED (QCOM)</t>
  </si>
  <si>
    <t>INGRESOS — CRECIMIENTO POR SEGMENTO (driver: salida de Apple en Handsets, rampa de Data Center y diversificación en Auto/IoT)</t>
  </si>
  <si>
    <t xml:space="preserve">  IoT + Data Center — crecimiento (vector Base)</t>
  </si>
  <si>
    <t xml:space="preserve">  IoT + Data Center — crecimiento ACTIVO (Base × multiplicador de escenario)</t>
  </si>
  <si>
    <t xml:space="preserve">  QCT Handsets — crecimiento (vector Base)</t>
  </si>
  <si>
    <t xml:space="preserve">  QCT Handsets — crecimiento ACTIVO</t>
  </si>
  <si>
    <t xml:space="preserve">  QTL Licencias — crecimiento (vector Base)</t>
  </si>
  <si>
    <t xml:space="preserve">  QTL Licencias — crecimiento ACTIVO</t>
  </si>
  <si>
    <t xml:space="preserve">  QCT Automoción — crecimiento (vector Base)</t>
  </si>
  <si>
    <t xml:space="preserve">  QCT Automoción — crecimiento ACTIVO</t>
  </si>
  <si>
    <t xml:space="preserve">  SG&amp;A / Ingresos (Base)</t>
  </si>
  <si>
    <t xml:space="preserve">  SG&amp;A / Ingresos ACTIVO</t>
  </si>
  <si>
    <t xml:space="preserve">  G&amp;A / Ingresos (Base) — incluido en SG&amp;A</t>
  </si>
  <si>
    <t xml:space="preserve">  G&amp;A / Ingresos ACTIVO — incluido en SG&amp;A</t>
  </si>
  <si>
    <t xml:space="preserve">  Tipo del dividendo de preferentes (no aplica: sin preferentes)</t>
  </si>
  <si>
    <t xml:space="preserve">  Intangibles adquiridos netos a 28/06/2026 (= suma del calendario)</t>
  </si>
  <si>
    <t xml:space="preserve">  Otros activos no corrientes netos de intangibles a 28/06/2026</t>
  </si>
  <si>
    <t xml:space="preserve">  EV / Ingresos FY2026E</t>
  </si>
  <si>
    <t xml:space="preserve">  EV / EBITDA FY2026E</t>
  </si>
  <si>
    <t xml:space="preserve">  EV / EBIT normalizado FY2026E</t>
  </si>
  <si>
    <t xml:space="preserve">  P / E sobre BPA FY2026E</t>
  </si>
  <si>
    <t>Margen bruto terminal por encima del mejor año histórico sin mecanismo que lo justifique</t>
  </si>
  <si>
    <t>Crecimiento IoT + Data Center 60% → 4%</t>
  </si>
  <si>
    <t>No es una extrapolación del histórico. FY2027 recoge el arranque de los dos contratos de silicio a medida en Data Center (ingresos desde el trimestre de diciembre) y la guía de la dirección de crecimiento no-handset &gt;60%. Se aplica un descuento deliberado frente al plan del Investor Day (Data Center 15.000+ e IoT 14.000+ en FY2029): el Base sitúa este segmento en ~19.500 en FY2029. El riesgo de ejecución (HBC, CPU Dragonfly en 2S 2028, concentración en pocos hiperescaladores) se recoge en el multiplicador de escenario (0,7x / 1,25x). CHECK en '13 Checks' #51: no-handset FY2029 frente al objetivo de 40.000.</t>
  </si>
  <si>
    <t>Handsets −15% en FY2027 y +2–2,5% después</t>
  </si>
  <si>
    <t>La caída de FY2027 es la salida de Apple: la dirección espera una cuota materialmente inferior al 20% desde el Q4 FY26 y que el crecimiento no-handset de FY2027 sustituya todos los ingresos de producto de Apple de FY2026. Después, Android crece ~5% anual según la dirección (FY26–29); el Base usa 2–3% por madurez del mercado de smartphones y presión del coste de memoria sobre la gama media.</t>
  </si>
  <si>
    <t>Margen bruto del 54,4% al 55,5%</t>
  </si>
  <si>
    <t>FY2026E está deprimido por la inflación de costes de memoria, obleas y empaquetado. La dirección está subiendo precios y espera volver a su modelo operativo. El Base recupera solo hasta el 55,5%, por debajo del 56–57% de FY2024–25, porque el silicio a medida para Data Center suele tener menor margen bruto y QTL (margen ~70%) pierde peso en el mix.</t>
  </si>
  <si>
    <t>Apalancamiento operativo en I+D y SG&amp;A</t>
  </si>
  <si>
    <t>La I+D cae del 23,6% al 20,5% de los ingresos y SG&amp;A del 8,7% al 7,1%. La inversión en Data Center (Alphawave, Modular, CPU y aceleradores) se hace antes de la rampa de ingresos; al escalar ingresos, los gastos crecen menos. El margen EBIT normalizado terminal (~28%) queda en el máximo histórico (FY2025), no por encima.</t>
  </si>
  <si>
    <t>Amortización de intangibles 430 → 0</t>
  </si>
  <si>
    <t>Los intangibles netos a 28/06/2026 son 1.510 (incluye Alphawave y Modular). El calendario los agota en seis años; el 10-K prevé 331/241/200/155/118 para FY26–30 antes de las últimas compras. Mantenerla a perpetuidad sobreestimaría el gasto.</t>
  </si>
  <si>
    <t>Capex del 4,5% al 3,0% de los ingresos</t>
  </si>
  <si>
    <t>Qualcomm es fabless: el capex histórico es del 2,7% de los ingresos. FY2026E (4,9%) y FY2027E incluyen inversión en Data Center (laboratorios, centros de validación y máscaras). Se normaliza al 3%. NO se ha asumido Capex = D&amp;A: en el terminal el ratio sale de la mecánica de PP&amp;E.</t>
  </si>
  <si>
    <t>Vida útil del PP&amp;E de 4,5 años</t>
  </si>
  <si>
    <t>Calibrada contra FY2026E: la vida implícita de la depreciación reportada es de ~4,5 años (celda F44). El PP&amp;E de Qualcomm son sobre todo equipos de prueba, laboratorio e informática, de vida corta.</t>
  </si>
  <si>
    <t>Tipo de caja del 14% al 17%</t>
  </si>
  <si>
    <t>NO se usa el tipo GAAP de FY2026 (negativo por la liberación de 5.700 de provisión de valoración) ni el 56% de FY2025 (cargo no recurrente). La guía non-GAAP es del 13% (FDDEI, créditos de I+D, mix internacional). Se converge al 17% por el endurecimiento del FDDEI (OBBB) y el pilar 2 de la OCDE. Usar el 13% a perpetuidad sobreestimaría el valor.</t>
  </si>
  <si>
    <t>~1% de crecimiento real a largo plazo más ~2% de inflación. Tope de referencia del 4% (PIB nominal de EE. UU.) en C65. CHECK obligatorio: g &lt; WACC.</t>
  </si>
  <si>
    <t>Bajo ASC 842 el coste del lease operativo (184 anuales) ya está dentro del EBIT. El pasivo de 832 NO se suma a la deuda neta: sería doble contabilización. Es inmaterial para Qualcomm.</t>
  </si>
  <si>
    <t>El SBC (3.439 en FY2026E, 8,0% de los ingresos) se mantiene dentro de los gastos operativos y NO se readiciona, aunque la dirección lo excluye en sus cifras non-GAAP. En consecuencia no se proyecta dilución adicional por SBC futuro. Las recompras netas compensan la emisión.</t>
  </si>
  <si>
    <t>Caja mínima operativa del 2% de ingresos</t>
  </si>
  <si>
    <t>No toda la caja (4.533 más 3.771 de valores negociables) es distribuible. Solo el exceso sobre ~860 entra en el puente. Se usa el 2% por los compromisos de compra plurianuales con fundiciones (15.100 a 28/09/2025).</t>
  </si>
  <si>
    <t>Otros gastos operativos (reestructuración, deterioros)</t>
  </si>
  <si>
    <t>Se excluye del EBIT normalizado; se resta un coste en caja normalizado de 100 anuales como partida no recurrente</t>
  </si>
  <si>
    <t>Qualcomm registra 'Other' casi todos los años (862 en FY23, 179 en FY24, 39 en FY25, 97 en 9M FY26), por lo que NO se elimina sin más: se normaliza a un nivel medio y se reconoce la salida de caja.</t>
  </si>
  <si>
    <t>Se reclasifica desde coste de ingresos a una línea propia y se proyecta en declive hasta 0 según el calendario</t>
  </si>
  <si>
    <t>Coste real de adquisiciones ya pagadas (Alphawave, Modular, otras). Mantenerlo a perpetuidad sobreestima el gasto; eliminarlo de golpe infla el EBIT.</t>
  </si>
  <si>
    <t>Tratamiento A: coste económico real, aunque Qualcomm lo excluye en su BPA non-GAAP (~0,72 $/acción por trimestre). Readicionarlo exigiría proyectar dilución. Ver 'M2 Manual Reglas'.</t>
  </si>
  <si>
    <t>Incluye plusvalías de QSI (salidas a bolsa y cambios de precio observables: +1.458 en 9M FY26), intereses de la cartera y partidas financieras. No es flujo operativo. Las inversiones QSI no cotizadas se suman aparte en el puente a Equity.</t>
  </si>
  <si>
    <t>Cobros anticipados de clientes (no aplica)</t>
  </si>
  <si>
    <t>No aplica</t>
  </si>
  <si>
    <t>Qualcomm no reporta prefinanciación material de clientes. Se deja a 0.</t>
  </si>
  <si>
    <t>Se usa un tipo de caja normalizado convergente (14% → 17%), no el tipo GAAP de FY2025 ni de FY2026</t>
  </si>
  <si>
    <t>FY2025 (56%) incluye un cargo de ~5.700 por provisión de valoración; FY2026E es negativo por su liberación en Q2. La guía non-GAAP (13%) refleja FDDEI, créditos de I+D y mix internacional; el OBBB y el pilar 2 lo presionan al alza.</t>
  </si>
  <si>
    <t>Acciones preferentes (no aplica)</t>
  </si>
  <si>
    <t>No aplica (0)</t>
  </si>
  <si>
    <t>Qualcomm no tiene preferentes emitidas. Sí existe el warrant de Amazon (25 M de acciones a 161,26 $; 3,75 M consolidadas), que se incluye en las acciones diluidas por el método de autocartera.</t>
  </si>
  <si>
    <t>Qualcomm no tiene intereses minoritarios materiales.</t>
  </si>
  <si>
    <t>Aplicarla elevaría el EBIT contable y crearía un activo ficticio que exige amortizarlo de forma consistente. Para un negocio fabless cuyo activo principal es la I+D, se mantiene como gasto del periodo, coherente con los estados reportados.</t>
  </si>
  <si>
    <t xml:space="preserve">  NOTA sobre el número de acciones: NO se usa la media ponderada diluida del ejercicio. Se usan las acciones en circulación a 28/06/2026 (1.057, 10-Q) más los equivalentes dilutivos implícitos (media diluida − media básica FY2026E = 10) más el warrant de Amazon consolidado (3,75 M a 161,26 $) por el método de autocartera al precio actual. Las recompras de Q4 FY26 no se descuentan.</t>
  </si>
  <si>
    <t>Regresión del rendimiento de QCOM contra el S&amp;P 500, 5 años mensual, o media de comparables de semiconductores. 1,25 = ESTIMACIÓN, NO verificada con terminal.</t>
  </si>
  <si>
    <t>La beta de Qualcomm puede subir con la entrada en Data Center (negocio más cíclico y concentrado en pocos clientes); una beta histórica no recoge del todo ese cambio de mix.</t>
  </si>
  <si>
    <t>Rendimiento al vencimiento de las senior notes de Qualcomm a largo plazo (rating A), o UST + diferencial de crédito. 5,85% = UST 4,96% + ~90 pb.</t>
  </si>
  <si>
    <t>Con 15.270 de deuda y una estructura muy poco apalancada, el Kd pesa poco en el WACC: el riesgo real está en el Ke.</t>
  </si>
  <si>
    <t>Estructura objetivo: la deuda de mercado actual es ~7% del valor (15.270 frente a ~205.000 de capitalización).</t>
  </si>
  <si>
    <t>Usar la estructura contable (deuda/patrimonio contable) sobreponderaría la deuda.</t>
  </si>
  <si>
    <t>Qualcomm mantiene un apalancamiento bajo y estable (deuda 14.634–15.270 en los últimos 2 años) y financia recompras con caja operativa. El 7% objetivo asume que se mantiene esa política.</t>
  </si>
  <si>
    <t>Si Qualcomm se endeudara para financiar compras en Data Center, el peso de la deuda subiría y el WACC bajaría ligeramente.</t>
  </si>
  <si>
    <t>Los vectores de '02 Assumptions' tal cual: salida de Apple en FY2027, rampa de Data Center por debajo del plan de la dirección, recuperación parcial del margen bruto y capex normalizado al 3%.</t>
  </si>
  <si>
    <t>El crecimiento IoT + Data Center se ajusta como MULTIPLICADOR y no como desplazamiento en puntos porcentuales. Razón: un delta plano de −8 pp aplicado a un vector que termina en el 4% produciría decrecimiento en el año 10 mientras el valor terminal asume crecimiento perpetuo. El multiplicador (0,7x / 1,25x) escala la rampa de Data Center, que es la variable binaria de la tesis, sin romper la convergencia terminal.</t>
  </si>
  <si>
    <t>¿ES EL FCFF DCF LA METODOLOGÍA ADECUADA PARA QUALCOMM? — ÁRBOL DE DECISIÓN</t>
  </si>
  <si>
    <t>Respuesta para Qualcomm (FY2026E)</t>
  </si>
  <si>
    <t>Sí: CFO de 14.012 en FY2025 y ~11.100 estimado en FY2026, con FCF simple de 12.820 y ~9.000.</t>
  </si>
  <si>
    <t>Parcialmente. QTL (licencias) es muy estable; QCT es cíclico y está en transición: salida de Apple, inflación de costes de memoria y rampa de Data Center sin historial.</t>
  </si>
  <si>
    <t>Moderada: 15.270 de deuda frente a 8.304 de caja y valores negociables (deuda neta ~7.000, &lt;1x EBITDA).</t>
  </si>
  <si>
    <t>No: es fabless. PP&amp;E de 5.217 y capex del ~3–5% de los ingresos.</t>
  </si>
  <si>
    <t>Sí: QCT Handsets (maduro, pierde Apple), IoT + Data Center (crecimiento con riesgo de ejecución), Automoción (crecimiento visible por cartera de diseños) y QTL (renta de licencias con margen ~70%).</t>
  </si>
  <si>
    <t>Poco: el FCFF es positivo y estable. La complicación es que FY2026 no es normalizado (impuestos GAAP distorsionados por la provisión de valoración y márgenes deprimidos por costes de memoria).</t>
  </si>
  <si>
    <t>El FCFF DCF es la metodología principal correcta para Qualcomm: genera caja operativa abundante, no es una entidad financiera y tiene poca deuda. Pero NO es suficiente por sí sola: el valor depende de la rampa de Data Center (sin historial de ingresos) y de la salida de Apple. Por eso se complementa con escenarios, un SOTP (QTL y Automoción merecen múltiplos muy distintos de Handsets) y múltiplos de comparables de semiconductores.</t>
  </si>
  <si>
    <t>Descartado como método principal: el dividendo y las recompras se deciden por política de retribución, no por el flujo del periodo; el FCFF es más limpio.</t>
  </si>
  <si>
    <t>Descartado: el dividendo (3.805) es una política de retribución y no refleja la capacidad de generar caja ni el crecimiento de Data Center.</t>
  </si>
  <si>
    <t>Descartado: metodología de entidades financieras, donde el capital regulatorio es el activo relevante.</t>
  </si>
  <si>
    <t>Descartado: en un negocio fabless el valor está en la propiedad intelectual y la cartera de patentes, no en el PP&amp;E (5.217) ni en el fondo de comercio (14.274).</t>
  </si>
  <si>
    <t>No aplica: no hay hitos binarios regulatorios como en biotecnología. La rampa de Data Center se trata con escenarios.</t>
  </si>
  <si>
    <t>Descartado como método principal, pero útil como contraste: con capex bajo, EBITDA y FCF están próximos en Qualcomm; aun así, el EBITDA ignora impuestos, SBC en caja y la inversión en circulante (inventarios).</t>
  </si>
  <si>
    <t>Contraste al DCF consolidado. Razón de ser: los cuatro negocios de Qualcomm (Handsets, IoT + Data Center, Automoción y QTL) tienen márgenes, crecimiento y riesgo radicalmente distintos, por lo que un único WACC y un único múltiplo para el grupo son cuestionables.</t>
  </si>
  <si>
    <t>AVISO DE CALIDAD DEL DATO: los márgenes operativos POR SEGMENTO son HIPÓTESIS DEL ANALISTA (azul). El 10-K solo publica EBT de QCT en conjunto (30% en FY2025) y de QTL (72%); no desglosa Handsets, Automoción e IoT. Los costes no asignados (I+D y SG&amp;A corporativos, SBC) se restan con el múltiplo corporativo.</t>
  </si>
  <si>
    <t>Los segmentos tienen márgenes muy distintos (QTL ~70% frente a QCT ~26%), perfiles de crecimiento distintos (Handsets en declive, Automoción y Data Center en fuerte crecimiento) y merecerían múltiplos distintos si cotizaran por separado. Qualcomm cumple los criterios.</t>
  </si>
  <si>
    <t>Los segmentos de QCT comparten plataforma tecnológica (Snapdragon, Oryon, NPU Hexagon) e I+D, de modo que asignar márgenes entre Handsets, Automoción e IoT es en parte arbitrario.</t>
  </si>
  <si>
    <t>Los múltiplos EV/EBIT por segmento son hipótesis. Cambiar el múltiplo de IoT + Data Center de 20x a 15x mueve el SOTP más que cualquier hipótesis operativa. Un SOTP con múltiplos inventados no es más riguroso que un DCF: solo esconde las hipótesis en otro sitio.</t>
  </si>
  <si>
    <t>FUENTES Y DICCIONARIO DE DATOS — QUALCOMM INCORPORATED (QCOM)</t>
  </si>
  <si>
    <t>Cifras históricas: Form 10-K FY2025 (ejercicio cerrado el 28/09/2025, archivo subido) y Form 10-Q Q3 FY2026 (trimestre cerrado el 28/06/2026, SEC EDGAR). FY2026E = 9 meses reportados + guía Q4 del 29/07/2026 (presentación, transcripción y nota de prensa). Warrant de Amazon: Form 8-K de 03/09/2026.</t>
  </si>
  <si>
    <t>Moneda: USD. Unidades: millones (salvo datos por acción). Ejercicio fiscal de Qualcomm: termina el último domingo de septiembre (FY2025: 28/09/2025; FY2026: 27/09/2026).</t>
  </si>
  <si>
    <t>Ingresos por segmento (Handsets, Automoción, IoT, QTL, no reportables), costes, EBIT, intereses, impuestos, BPA</t>
  </si>
  <si>
    <t>SEC EDGAR / archivos subidos</t>
  </si>
  <si>
    <t>10-K FY2025 (Consolidated Statements of Operations, Nota 8) + 10-Q Q3 FY26 + guía Q4</t>
  </si>
  <si>
    <t>https://www.sec.gov/Archives/edgar/data/804328/000080432826000086/qcom-20260628.htm</t>
  </si>
  <si>
    <t>29/07/2026</t>
  </si>
  <si>
    <t>FY2024–FY2026E</t>
  </si>
  <si>
    <t>Reportado + estimación Q4</t>
  </si>
  <si>
    <t>Histórico / Estimación FY2026E</t>
  </si>
  <si>
    <t>Caja (incl. restringida), valores, clientes, inventarios, PP&amp;E, fondo de comercio, deuda, patrimonio</t>
  </si>
  <si>
    <t>SEC EDGAR / archivo subido</t>
  </si>
  <si>
    <t>10-K FY2025 (Consolidated Balance Sheets) + 10-Q Q3 FY26 (Condensed Balance Sheets)</t>
  </si>
  <si>
    <t>28/09/2025 y 28/06/2026</t>
  </si>
  <si>
    <t>Reportado (ROU y leases de 28/06/2026 estimados)</t>
  </si>
  <si>
    <t>CFO, CFI, CFF, D&amp;A, SBC, capex, recompras, dividendos</t>
  </si>
  <si>
    <t>10-K FY2025 (Consolidated Statements of Cash Flows) + 10-Q Q3 FY26 (9 meses)</t>
  </si>
  <si>
    <t>Papel comercial 498, tramo corriente 1.991 (mayo 2027), deuda LP 12.781; total 15.270</t>
  </si>
  <si>
    <t>10-Q Q3 FY26 — Nota de deuda</t>
  </si>
  <si>
    <t>28/06/2026</t>
  </si>
  <si>
    <t>Leases operativos: ROU 735, pasivo 832, gasto 184; sin leases financieros</t>
  </si>
  <si>
    <t>Archivo subido</t>
  </si>
  <si>
    <t>10-K FY2025 — Nota 7 (Commitments: Operating Leases)</t>
  </si>
  <si>
    <t>Archivo subido QCOM-09-28-25-FY2025-10-K-Final.pdf</t>
  </si>
  <si>
    <t>Tipo GAAP FY2025 56% (cargo ~5.700 provisión de valoración); liberación de 5.700 en Q2 FY26; guía non-GAAP 13%</t>
  </si>
  <si>
    <t>Archivos subidos / SEC EDGAR</t>
  </si>
  <si>
    <t>10-K FY2025 Nota de impuestos; 10-Q Q3 FY26 Nota 3; presentación Q3 FY26</t>
  </si>
  <si>
    <t>Objetivos de la dirección</t>
  </si>
  <si>
    <t>Ingresos no-handset 40.000 en FY2029 (Auto 10.000, IoT 14.000+, Data Center 15.000+); Data Center 5.000 en FY2027</t>
  </si>
  <si>
    <t>Archivos subidos</t>
  </si>
  <si>
    <t>Presentación de resultados Q3 FY26 (diapositivas 9–15) y transcripción de la llamada del 29/07/2026</t>
  </si>
  <si>
    <t>FY2027–FY2029</t>
  </si>
  <si>
    <t>Guía de la dirección</t>
  </si>
  <si>
    <t>Acciones en circulación y dilución</t>
  </si>
  <si>
    <t>10-Q Q3 FY26 (balance y BPA) + Form 8-K 03/09/2026 (Item 3.02)</t>
  </si>
  <si>
    <t>28/06/2026 y 03/09/2026</t>
  </si>
  <si>
    <t>M acciones</t>
  </si>
  <si>
    <t>Inversiones estratégicas QSI</t>
  </si>
  <si>
    <t>Participadas 163 + no cotizadas 1.216 = 1.379 (activo no operativo en el puente)</t>
  </si>
  <si>
    <t>10-K FY2025 — Nota 1 (Equity Method and Non-marketable Equity Investments)</t>
  </si>
  <si>
    <t>Tipo libre de riesgo, ERP, beta, Kd</t>
  </si>
  <si>
    <t>Todos los drivers operativos, capex, NWC, impuestos, escenarios</t>
  </si>
  <si>
    <t>Centralizadas en '00 Panel del Analista' y '02 Assumptions'</t>
  </si>
  <si>
    <t>El precio de cotización NO procede de un filing: es un dato de mercado de una fuente no oficial, y las fuentes consultadas discrepan sobre el cierre del 22/09/2026 (195,86 $ vs 212,27 $). Confirmar antes de usar el upside.</t>
  </si>
  <si>
    <t>Tipo libre de riesgo verificado con fuentes de mercado; la prima de riesgo, la beta y el Kd son estimaciones del analista pendientes de verificación con terminal.</t>
  </si>
  <si>
    <t>FY2026E NO es un año normalizado: tipo GAAP negativo por la liberación de 5.700 de provisión de valoración, margen bruto deprimido por costes de memoria y Q4 estimado a partir de la guía.</t>
  </si>
  <si>
    <t>El balance base (28/06/2026) no coincide con el cierre fiscal (27/09/2026): el Q4 FY26 se estima en la cuenta de resultados y en flujos, pero la deuda neta del puente es la de 28/06/2026 (no incluye el pago de Modular ni la caja del Q4).</t>
  </si>
  <si>
    <t>Los cambios de circulante del modelo se derivan de drivers (DSO, inventarios y otros % de ingresos, proveedores sobre coste + capex); los inventarios de 28/06/2026 están elevados por la escasez de memoria.</t>
  </si>
  <si>
    <t>El Q4 FY26 estimado usa el punto medio de la guía; el 10-K FY2026 (previsto para noviembre de 2026) sustituirá la columna FY2026E y el balance base.</t>
  </si>
  <si>
    <t>El SBC de Qualcomm es de ~3.439 millones en FY2026E, el 8,0% de los ingresos (2.783 y 6,3% en FY2025). Aparece como gasto en la cuenta de resultados y se readiciona en el flujo de caja operativo porque no es una salida de caja. Qualcomm lo excluye de su BPA non-GAAP; ignorarlo es el error más extendido en valoración de tecnológicas.</t>
  </si>
  <si>
    <t>Método aplicado a Qualcomm</t>
  </si>
  <si>
    <t>Proyección por segmento: Handsets con la salida de Apple en FY2027, IoT + Data Center con la rampa de silicio a medida y aceleradores (con descuento sobre el plan de la dirección), Automoción con la cartera de diseños y QTL ligado a unidades 4G/5G. El control de la fila 62 de '04 Operating Model' compara los ingresos no-handset de FY2029 con el objetivo de 40.000 de la dirección.</t>
  </si>
  <si>
    <t>El crecimiento se define por segmento porque cada uno tiene su propio motor económico. Un crecimiento agregado oculta que IoT + Data Center crece al 60% en FY2027 mientras Handsets cae un 15%.</t>
  </si>
  <si>
    <t>IoT + Data Center FY2027 = 7.512 × (1 + 60%) = 12.019</t>
  </si>
  <si>
    <t>Software puro: 80-90%. Semiconductores fabless: 50-65% (Qualcomm 54-57%). IaaS: 40-60%. Industriales: 20-35%. Bancos: el concepto no aplica.</t>
  </si>
  <si>
    <t>Usar D&amp;A como porcentaje fijo de los ingresos: si el capex cambia de nivel (inversión en Data Center), subestima o sobreestima la depreciación futura.</t>
  </si>
  <si>
    <t>Asumir Capex = D&amp;A por defecto. En Qualcomm el capex del año 1 (4,5% de los ingresos) supera la D&amp;A por la inversión en Data Center.</t>
  </si>
  <si>
    <t>Usar la estructura de capital CONTABLE (en Qualcomm la deuda sería &gt;50% del patrimonio contable frente a ~7% a valor de mercado) o la de mercado del día, que introduce circularidad precio → WACC → valor.</t>
  </si>
  <si>
    <t>Si se aplica a Qualcomm en el año 1, el capex de inversión en Data Center desaparecería del FCFF.</t>
  </si>
  <si>
    <t>Doble contabilización. En Qualcomm el pasivo por leases operativos es de 832 millones: inmaterial (~0,8 $ por acción), pero la regla se mantiene.</t>
  </si>
  <si>
    <t>Sobrevaloración del equity. Qualcomm tiene 8.304 millones de caja y valores con compromisos de compra plurianuales con fundiciones.</t>
  </si>
  <si>
    <t>Siempre que la diferencia entre básicas y diluidas sea material. Qualcomm: 1.057 en circulación + 10 equivalentes + warrant de Amazon (3,75 M consolidadas, hasta 25 M).</t>
  </si>
  <si>
    <t>El warrant de Amazon (hasta 25 M de acciones a 161,26 $) es un derecho sobre el capital. Se incluye en las acciones diluidas solo la parte consolidada, por el método de autocartera; incluir las 25 M y además restar su valor contaría el mismo derecho dos veces.</t>
  </si>
  <si>
    <t>Siempre en empresas tecnológicas. Qualcomm: ~3.439 millones en FY2026E, el 8,0% de los ingresos.</t>
  </si>
  <si>
    <t>Siempre que el capex crezca más que los ingresos. Qualcomm: capex de 1.192 (FY2025) a ~2.104 (FY2026E) por la inversión en Data Center.</t>
  </si>
  <si>
    <t>Infravaloración grave del equity. En Qualcomm, 15.270 millones sobre ~1.068 acciones son ~14 dólares por acción.</t>
  </si>
  <si>
    <t>Doble penalización. En Qualcomm, 832 millones son ~0,8 dólares por acción (inmaterial, pero es el mismo error).</t>
  </si>
  <si>
    <t>Doble contabilización de la dilución. En Qualcomm, el warrant de Amazon: no restar su valor y además añadir las 25 M de acciones.</t>
  </si>
  <si>
    <t>Qualcomm genera un FCF simple de ~9.000 millones en FY2026E (CFO ~11.100 menos capex ~2.100). El valor del modelo depende de que la rampa de Data Center compense la salida de Apple. Eso es una hipótesis, no una observación.</t>
  </si>
  <si>
    <t>No: 'Qualcomm vale X'. Sí: 'Bajo estos supuestos explícitos, el modelo produce este RANGO de valoración; estas son las variables que más lo explican (WACC, crecimiento terminal y rampa de Data Center, según la hoja Sensibilidad); y estas son las expectativas que el precio actual parece descontar (ver 10 Reverse DCF)'.</t>
  </si>
  <si>
    <t>Aplicación a Qualcomm</t>
  </si>
  <si>
    <t>Deuda de 15.270 millones, estable (14.634 dos años antes). Apalancamiento bajo: el riesgo de estructura de capital es reducido; recogido con +100 pb de WACC en Bear.</t>
  </si>
  <si>
    <t>Material: la inflación del coste de memoria, obleas y empaquetado deprime el margen bruto de FY2026; se recoge en el vector de margen bruto y en el delta de escenario.</t>
  </si>
  <si>
    <t>Qualcomm reporta en dólares con fuerte exposición a China y Asia; el modelo es íntegramente nominal en dólares.</t>
  </si>
  <si>
    <t>Actualizar la guía de la dirección y el progreso en Data Center. En Qualcomm la rampa de Data Center (5.000 en FY2027, 15.000+ en FY2029 según la dirección) es el driver principal: si los contratos con hiperescaladores se retrasan, el vector IoT + Data Center debe revisarse a la baja.</t>
  </si>
  <si>
    <t>El objetivo de este libro no es producir 'Qualcomm vale X'. Es producir: bajo estos supuestos explícitos sobre crecimiento, márgenes, reinversión, riesgo, estructura de capital y valor terminal, el modelo produce este rango de valoración; estas son las variables que más lo explican; y estas son las expectativas que el precio actual parece descontar.</t>
  </si>
  <si>
    <t xml:space="preserve">  Acciones emitidas por la adquisición de Modular (28/07/2026, posterior al balance base)</t>
  </si>
  <si>
    <t>23/09/2026 — rf: UST 10 años 4,96% (Treasury.gov, 22/09/2026); ERP 4,23% implícita (Damodaran, ene-2026); beta 1,68 (Yahoo Finance 5Y mensual; API Nasdaq no accesible); Kd 5,55% (ICE BofA Single-A, FRED, 21/09/2026); precio 198,27 $ (cierre 22/09/2026, Yahoo Finance)</t>
  </si>
  <si>
    <t xml:space="preserve">  Acciones diluidas = en circulación a 28/06/2026 + equivalentes dilutivos + warrant Amazon consolidado (autocartera) + acciones emitidas por Modular</t>
  </si>
  <si>
    <t>198,27 $ (cierre Nasdaq 22/09/2026). API de Nasdaq no accesible → Yahoo Finance como último recurso; CNBC confirma</t>
  </si>
  <si>
    <t>Yahoo Finance (no oficial)</t>
  </si>
  <si>
    <t>Cotización QCOM</t>
  </si>
  <si>
    <t>https://finance.yahoo.com/quote/QCOM/</t>
  </si>
  <si>
    <t>UST 10 años 4,96% (Treasury.gov); ERP 4,23% (Damodaran ene-2026); beta 1,68 (Yahoo 5Y mensual); Kd 5,55% (ICE BofA Single-A, FRED)</t>
  </si>
  <si>
    <t>Treasury.gov / FRED / NYU Stern / Yahoo Finance</t>
  </si>
  <si>
    <t>Inputs de mercado en '00 Panel del Analista' sección 8 (URL completa en la nota de cada celda)</t>
  </si>
  <si>
    <t>https://home.treasury.gov/resource-center/data-chart-center/interest-rates/TextView?field_tdr_date_value=2026&amp;type=daily_treasury_yield_curve</t>
  </si>
  <si>
    <t>21–22/09/2026</t>
  </si>
  <si>
    <t>1.057 M acciones a 28/06/2026; equivalentes dilutivos 10 M; warrant Amazon 25 M a 161,26 $ (3,75 M consolidadas) + 18 M acciones emitidas por Modular (28/07/2026, 10-Q Nota 8)</t>
  </si>
  <si>
    <t>El precio de cotización NO procede de un filing: la API de Nasdaq no fue accesible, por lo que se usa Yahoo Finance (198,27 $, cierre 22/09/2026, corroborado por CNBC). Una fuente aislada publicó 212,27 $ para el mismo día; se descarta por no coincidir con las demás.</t>
  </si>
  <si>
    <t>rf (Treasury.gov) y Kd (ICE BofA Single-A vía FRED) proceden de fuentes oficiales. La ERP es la implícita de Damodaran de enero 2026 (no hay fuente oficial). La beta (1,68) es de Yahoo Finance, último recurso: no hay beta oficial y Nasdaq no la publica.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</si>
</sst>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quot;–&quot;"/>
    <numFmt numFmtId="165" formatCode="0.0%;\(0.0%\);&quot;–&quot;"/>
    <numFmt numFmtId="166" formatCode="&quot;€&quot;#,##0.00"/>
    <numFmt numFmtId="167" formatCode="0.0&quot;x&quot;"/>
    <numFmt numFmtId="168" formatCode="0.0"/>
    <numFmt numFmtId="169" formatCode="0.00&quot;x&quot;"/>
    <numFmt numFmtId="170" formatCode="#,##0;\(#,##0\)"/>
    <numFmt numFmtId="171" formatCode="0.0%;\(0.0%\)"/>
    <numFmt numFmtId="172" formatCode="0.0%"/>
    <numFmt numFmtId="173" formatCode="0.00%;\(0.00%\);&quot;–&quot;"/>
    <numFmt numFmtId="174" formatCode="[$$-409]#,##0.00"/>
  </numFmts>
  <fonts count="38" x14ac:knownFonts="1">
    <font>
      <sz val="11"/>
      <color theme="1"/>
      <name val="Aptos Narrow"/>
      <family val="2"/>
      <scheme val="minor"/>
    </font>
    <font>
      <b/>
      <sz val="11"/>
      <color theme="1"/>
      <name val="Aptos Narrow"/>
      <family val="2"/>
      <scheme val="minor"/>
    </font>
    <font>
      <b/>
      <sz val="11"/>
      <color rgb="FFFFFFFF"/>
      <name val="Aptos Narrow"/>
      <family val="2"/>
      <scheme val="minor"/>
    </font>
    <font>
      <b/>
      <sz val="14"/>
      <color theme="1"/>
      <name val="Aptos Narrow"/>
      <family val="2"/>
      <scheme val="minor"/>
    </font>
    <font>
      <sz val="11"/>
      <color rgb="FF595959"/>
      <name val="Aptos Narrow"/>
      <family val="2"/>
      <scheme val="minor"/>
    </font>
    <font>
      <sz val="11"/>
      <color rgb="FFC00000"/>
      <name val="Aptos Narrow"/>
      <family val="2"/>
      <scheme val="minor"/>
    </font>
    <font>
      <i/>
      <sz val="11"/>
      <color theme="1"/>
      <name val="Aptos Narrow"/>
      <family val="2"/>
      <scheme val="minor"/>
    </font>
    <font>
      <i/>
      <sz val="11"/>
      <color rgb="FF595959"/>
      <name val="Aptos Narrow"/>
      <family val="2"/>
      <scheme val="minor"/>
    </font>
    <font>
      <i/>
      <sz val="11"/>
      <color rgb="FF7030A0"/>
      <name val="Aptos Narrow"/>
      <family val="2"/>
      <scheme val="minor"/>
    </font>
    <font>
      <b/>
      <i/>
      <sz val="11"/>
      <color rgb="FF7030A0"/>
      <name val="Aptos Narrow"/>
      <family val="2"/>
      <scheme val="minor"/>
    </font>
    <font>
      <b/>
      <sz val="11"/>
      <color rgb="FF595959"/>
      <name val="Aptos Narrow"/>
      <family val="2"/>
      <scheme val="minor"/>
    </font>
    <font>
      <b/>
      <i/>
      <sz val="11"/>
      <color rgb="FF595959"/>
      <name val="Aptos Narrow"/>
      <family val="2"/>
      <scheme val="minor"/>
    </font>
    <font>
      <sz val="11"/>
      <color rgb="FF000000"/>
      <name val="Aptos Narrow"/>
      <family val="2"/>
      <scheme val="minor"/>
    </font>
    <font>
      <b/>
      <sz val="11"/>
      <color rgb="FF0000FF"/>
      <name val="Aptos Narrow"/>
      <family val="2"/>
      <scheme val="minor"/>
    </font>
    <font>
      <sz val="11"/>
      <color rgb="FF0000FF"/>
      <name val="Aptos Narrow"/>
      <family val="2"/>
      <scheme val="minor"/>
    </font>
    <font>
      <sz val="11"/>
      <color rgb="FF008000"/>
      <name val="Aptos Narrow"/>
      <family val="2"/>
      <scheme val="minor"/>
    </font>
    <font>
      <b/>
      <sz val="11"/>
      <color rgb="FF000000"/>
      <name val="Aptos Narrow"/>
      <family val="2"/>
      <scheme val="minor"/>
    </font>
    <font>
      <b/>
      <sz val="11"/>
      <color rgb="FF008000"/>
      <name val="Aptos Narrow"/>
      <family val="2"/>
      <scheme val="minor"/>
    </font>
    <font>
      <b/>
      <i/>
      <sz val="11"/>
      <color theme="1"/>
      <name val="Aptos Narrow"/>
      <family val="2"/>
      <scheme val="minor"/>
    </font>
    <font>
      <b/>
      <i/>
      <sz val="11"/>
      <color rgb="FF008000"/>
      <name val="Aptos Narrow"/>
      <family val="2"/>
      <scheme val="minor"/>
    </font>
    <font>
      <b/>
      <i/>
      <sz val="11"/>
      <color rgb="FF000000"/>
      <name val="Aptos Narrow"/>
      <family val="2"/>
      <scheme val="minor"/>
    </font>
    <font>
      <i/>
      <sz val="11"/>
      <color rgb="FF008000"/>
      <name val="Aptos Narrow"/>
      <family val="2"/>
      <scheme val="minor"/>
    </font>
    <font>
      <i/>
      <sz val="11"/>
      <color rgb="FF000000"/>
      <name val="Aptos Narrow"/>
      <family val="2"/>
      <scheme val="minor"/>
    </font>
    <font>
      <i/>
      <sz val="11"/>
      <color rgb="FFC00000"/>
      <name val="Aptos Narrow"/>
      <family val="2"/>
      <scheme val="minor"/>
    </font>
    <font>
      <b/>
      <sz val="12"/>
      <color theme="1"/>
      <name val="Aptos Narrow"/>
      <family val="2"/>
      <scheme val="minor"/>
    </font>
    <font>
      <b/>
      <sz val="16"/>
      <color theme="1"/>
      <name val="Aptos Narrow"/>
      <family val="2"/>
      <scheme val="minor"/>
    </font>
    <font>
      <b/>
      <sz val="12"/>
      <color rgb="FF0000FF"/>
      <name val="Aptos Narrow"/>
      <family val="2"/>
      <scheme val="minor"/>
    </font>
    <font>
      <b/>
      <sz val="14"/>
      <color rgb="FF000000"/>
      <name val="Aptos Narrow"/>
      <family val="2"/>
      <scheme val="minor"/>
    </font>
    <font>
      <b/>
      <sz val="11"/>
      <color rgb="FFC00000"/>
      <name val="Aptos Narrow"/>
      <family val="2"/>
      <scheme val="minor"/>
    </font>
    <font>
      <b/>
      <sz val="15"/>
      <color theme="1"/>
      <name val="Aptos Narrow"/>
      <family val="2"/>
      <scheme val="minor"/>
    </font>
    <font>
      <b/>
      <sz val="12"/>
      <color rgb="FFFFFFFF"/>
      <name val="Aptos Narrow"/>
      <family val="2"/>
      <scheme val="minor"/>
    </font>
    <font>
      <sz val="9"/>
      <color theme="1"/>
      <name val="Consolas"/>
      <family val="3"/>
    </font>
    <font>
      <b/>
      <i/>
      <sz val="11"/>
      <color rgb="FFFFFFFF"/>
      <name val="Aptos Narrow"/>
      <family val="2"/>
      <scheme val="minor"/>
    </font>
    <font>
      <b/>
      <i/>
      <sz val="13"/>
      <color theme="1"/>
      <name val="Aptos Narrow"/>
      <family val="2"/>
      <scheme val="minor"/>
    </font>
    <font>
      <b/>
      <sz val="13"/>
      <color theme="1"/>
      <name val="Aptos Narrow"/>
      <family val="2"/>
      <scheme val="minor"/>
    </font>
    <font>
      <b/>
      <sz val="11"/>
      <color rgb="FF9C0006"/>
      <name val="Aptos Narrow"/>
      <family val="2"/>
      <scheme val="minor"/>
    </font>
    <font>
      <sz val="9"/>
      <color indexed="81"/>
      <name val="Tahoma"/>
      <family val="2"/>
    </font>
    <font>
      <b/>
      <sz val="9"/>
      <color indexed="81"/>
      <name val="Tahoma"/>
      <family val="2"/>
    </font>
  </fonts>
  <fills count="7">
    <fill>
      <patternFill patternType="none"/>
    </fill>
    <fill>
      <patternFill patternType="gray125"/>
    </fill>
    <fill>
      <patternFill patternType="solid">
        <fgColor rgb="FF1F3864"/>
        <bgColor indexed="64"/>
      </patternFill>
    </fill>
    <fill>
      <patternFill patternType="solid">
        <fgColor rgb="FFD9E1F2"/>
        <bgColor indexed="64"/>
      </patternFill>
    </fill>
    <fill>
      <patternFill patternType="solid">
        <fgColor rgb="FFFFFF00"/>
        <bgColor indexed="64"/>
      </patternFill>
    </fill>
    <fill>
      <patternFill patternType="solid">
        <fgColor rgb="FFFFF2CC"/>
        <bgColor indexed="64"/>
      </patternFill>
    </fill>
    <fill>
      <patternFill patternType="solid">
        <fgColor rgb="FFFFC7CE"/>
        <bgColor indexed="64"/>
      </patternFill>
    </fill>
  </fills>
  <borders count="13">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230">
    <xf numFmtId="0" fontId="0" fillId="0" borderId="0" xfId="0"/>
    <xf numFmtId="0" fontId="0" fillId="2" borderId="0" xfId="0" applyFill="1"/>
    <xf numFmtId="0" fontId="2" fillId="2" borderId="0" xfId="0" applyFont="1" applyFill="1"/>
    <xf numFmtId="0" fontId="1" fillId="0" borderId="0" xfId="0" applyFont="1"/>
    <xf numFmtId="0" fontId="3" fillId="0" borderId="0" xfId="0" applyFont="1"/>
    <xf numFmtId="0" fontId="1" fillId="3" borderId="0" xfId="0" applyFont="1" applyFill="1"/>
    <xf numFmtId="0" fontId="4" fillId="0" borderId="0" xfId="0" applyFont="1"/>
    <xf numFmtId="0" fontId="5" fillId="0" borderId="0" xfId="0" applyFont="1"/>
    <xf numFmtId="0" fontId="2" fillId="2" borderId="0" xfId="0" applyFont="1" applyFill="1" applyAlignment="1">
      <alignment vertical="top"/>
    </xf>
    <xf numFmtId="0" fontId="2" fillId="2" borderId="0" xfId="0" applyFont="1" applyFill="1" applyAlignment="1">
      <alignment vertical="top" wrapText="1"/>
    </xf>
    <xf numFmtId="0" fontId="4" fillId="0" borderId="0" xfId="0" applyFont="1" applyAlignment="1">
      <alignment vertical="top" wrapText="1"/>
    </xf>
    <xf numFmtId="14" fontId="4" fillId="0" borderId="0" xfId="0" applyNumberFormat="1" applyFont="1" applyAlignment="1">
      <alignment vertical="top" wrapText="1"/>
    </xf>
    <xf numFmtId="0" fontId="5" fillId="0" borderId="0" xfId="0" applyFont="1" applyAlignment="1">
      <alignment wrapText="1"/>
    </xf>
    <xf numFmtId="0" fontId="6" fillId="0" borderId="0" xfId="0" applyFont="1"/>
    <xf numFmtId="0" fontId="7" fillId="0" borderId="0" xfId="0" applyFont="1"/>
    <xf numFmtId="0" fontId="2" fillId="2" borderId="0" xfId="0" applyFont="1" applyFill="1" applyAlignment="1">
      <alignment horizontal="center"/>
    </xf>
    <xf numFmtId="0" fontId="0" fillId="3" borderId="0" xfId="0" applyFill="1"/>
    <xf numFmtId="164" fontId="0" fillId="0" borderId="0" xfId="0" applyNumberFormat="1"/>
    <xf numFmtId="164" fontId="1" fillId="0" borderId="0" xfId="0" applyNumberFormat="1" applyFont="1"/>
    <xf numFmtId="165" fontId="0" fillId="0" borderId="0" xfId="0" applyNumberFormat="1"/>
    <xf numFmtId="166" fontId="0" fillId="0" borderId="0" xfId="0" applyNumberFormat="1"/>
    <xf numFmtId="3" fontId="0" fillId="0" borderId="0" xfId="0" applyNumberFormat="1"/>
    <xf numFmtId="0" fontId="8" fillId="0" borderId="0" xfId="0" applyFont="1"/>
    <xf numFmtId="164" fontId="8" fillId="0" borderId="0" xfId="0" applyNumberFormat="1" applyFont="1"/>
    <xf numFmtId="0" fontId="9" fillId="0" borderId="0" xfId="0" applyFont="1"/>
    <xf numFmtId="167" fontId="0" fillId="0" borderId="0" xfId="0" applyNumberFormat="1"/>
    <xf numFmtId="168" fontId="0" fillId="0" borderId="0" xfId="0" applyNumberFormat="1"/>
    <xf numFmtId="0" fontId="10" fillId="3" borderId="0" xfId="0" applyFont="1" applyFill="1"/>
    <xf numFmtId="164" fontId="4" fillId="0" borderId="0" xfId="0" applyNumberFormat="1" applyFont="1"/>
    <xf numFmtId="164" fontId="10" fillId="0" borderId="0" xfId="0" applyNumberFormat="1" applyFont="1"/>
    <xf numFmtId="165" fontId="4" fillId="0" borderId="0" xfId="0" applyNumberFormat="1" applyFont="1"/>
    <xf numFmtId="3" fontId="4" fillId="0" borderId="0" xfId="0" applyNumberFormat="1" applyFont="1"/>
    <xf numFmtId="164" fontId="11" fillId="0" borderId="0" xfId="0" applyNumberFormat="1" applyFont="1"/>
    <xf numFmtId="164" fontId="7" fillId="0" borderId="0" xfId="0" applyNumberFormat="1" applyFont="1"/>
    <xf numFmtId="167" fontId="4" fillId="0" borderId="0" xfId="0" applyNumberFormat="1" applyFont="1"/>
    <xf numFmtId="168" fontId="4" fillId="0" borderId="0" xfId="0" applyNumberFormat="1" applyFont="1"/>
    <xf numFmtId="0" fontId="0" fillId="0" borderId="0" xfId="0" applyAlignment="1">
      <alignment wrapText="1"/>
    </xf>
    <xf numFmtId="0" fontId="0" fillId="0" borderId="0" xfId="0" applyAlignment="1">
      <alignment vertical="top" wrapText="1"/>
    </xf>
    <xf numFmtId="0" fontId="12" fillId="0" borderId="0" xfId="0" applyFont="1" applyAlignment="1">
      <alignment vertical="top" wrapText="1"/>
    </xf>
    <xf numFmtId="164" fontId="12" fillId="0" borderId="0" xfId="0" applyNumberFormat="1" applyFont="1" applyAlignment="1">
      <alignment vertical="top" wrapText="1"/>
    </xf>
    <xf numFmtId="0" fontId="1" fillId="4" borderId="0" xfId="0" applyFont="1" applyFill="1"/>
    <xf numFmtId="0" fontId="13" fillId="4" borderId="0" xfId="0" applyFont="1" applyFill="1" applyAlignment="1">
      <alignment horizontal="center"/>
    </xf>
    <xf numFmtId="0" fontId="14" fillId="0" borderId="0" xfId="0" applyFont="1"/>
    <xf numFmtId="169" fontId="14" fillId="0" borderId="0" xfId="0" applyNumberFormat="1" applyFont="1"/>
    <xf numFmtId="169" fontId="0" fillId="0" borderId="0" xfId="0" applyNumberFormat="1"/>
    <xf numFmtId="168" fontId="14" fillId="0" borderId="0" xfId="0" applyNumberFormat="1" applyFont="1"/>
    <xf numFmtId="170" fontId="0" fillId="0" borderId="0" xfId="0" applyNumberFormat="1"/>
    <xf numFmtId="171" fontId="0" fillId="0" borderId="0" xfId="0" applyNumberFormat="1"/>
    <xf numFmtId="0" fontId="2" fillId="2" borderId="0" xfId="0" applyFont="1" applyFill="1" applyAlignment="1">
      <alignment horizontal="center" wrapText="1"/>
    </xf>
    <xf numFmtId="0" fontId="15" fillId="0" borderId="0" xfId="0" applyFont="1"/>
    <xf numFmtId="0" fontId="14" fillId="4" borderId="0" xfId="0" applyFont="1" applyFill="1"/>
    <xf numFmtId="165" fontId="14" fillId="0" borderId="0" xfId="0" applyNumberFormat="1" applyFont="1"/>
    <xf numFmtId="165" fontId="16" fillId="0" borderId="0" xfId="0" applyNumberFormat="1" applyFont="1"/>
    <xf numFmtId="165" fontId="14" fillId="4" borderId="0" xfId="0" applyNumberFormat="1" applyFont="1" applyFill="1"/>
    <xf numFmtId="164" fontId="14" fillId="0" borderId="0" xfId="0" applyNumberFormat="1" applyFont="1"/>
    <xf numFmtId="168" fontId="16" fillId="0" borderId="0" xfId="0" applyNumberFormat="1" applyFont="1"/>
    <xf numFmtId="165" fontId="1" fillId="0" borderId="0" xfId="0" applyNumberFormat="1" applyFont="1"/>
    <xf numFmtId="165" fontId="15" fillId="0" borderId="0" xfId="0" applyNumberFormat="1" applyFont="1"/>
    <xf numFmtId="168" fontId="14" fillId="4" borderId="0" xfId="0" applyNumberFormat="1" applyFont="1" applyFill="1"/>
    <xf numFmtId="168" fontId="15" fillId="0" borderId="0" xfId="0" applyNumberFormat="1" applyFont="1"/>
    <xf numFmtId="167" fontId="14" fillId="0" borderId="0" xfId="0" applyNumberFormat="1" applyFont="1"/>
    <xf numFmtId="3" fontId="15" fillId="0" borderId="0" xfId="0" applyNumberFormat="1" applyFont="1"/>
    <xf numFmtId="164" fontId="15" fillId="0" borderId="0" xfId="0" applyNumberFormat="1" applyFont="1"/>
    <xf numFmtId="9" fontId="14" fillId="0" borderId="0" xfId="0" applyNumberFormat="1" applyFont="1"/>
    <xf numFmtId="9" fontId="0" fillId="0" borderId="0" xfId="0" applyNumberFormat="1"/>
    <xf numFmtId="169" fontId="16" fillId="0" borderId="0" xfId="0" applyNumberFormat="1" applyFont="1"/>
    <xf numFmtId="0" fontId="12" fillId="0" borderId="0" xfId="0" applyFont="1"/>
    <xf numFmtId="0" fontId="17" fillId="3" borderId="0" xfId="0" applyFont="1" applyFill="1"/>
    <xf numFmtId="164" fontId="17" fillId="0" borderId="0" xfId="0" applyNumberFormat="1" applyFont="1"/>
    <xf numFmtId="167" fontId="15" fillId="0" borderId="0" xfId="0" applyNumberFormat="1" applyFont="1"/>
    <xf numFmtId="0" fontId="16" fillId="3" borderId="0" xfId="0" applyFont="1" applyFill="1"/>
    <xf numFmtId="164" fontId="12" fillId="0" borderId="0" xfId="0" applyNumberFormat="1" applyFont="1"/>
    <xf numFmtId="164" fontId="16" fillId="0" borderId="0" xfId="0" applyNumberFormat="1" applyFont="1"/>
    <xf numFmtId="165" fontId="12" fillId="0" borderId="0" xfId="0" applyNumberFormat="1" applyFont="1"/>
    <xf numFmtId="167" fontId="12" fillId="0" borderId="0" xfId="0" applyNumberFormat="1" applyFont="1"/>
    <xf numFmtId="0" fontId="1" fillId="0" borderId="1" xfId="0" applyFont="1" applyBorder="1"/>
    <xf numFmtId="164" fontId="17" fillId="0" borderId="1" xfId="0" applyNumberFormat="1" applyFont="1" applyBorder="1"/>
    <xf numFmtId="164" fontId="16" fillId="0" borderId="1" xfId="0" applyNumberFormat="1" applyFont="1" applyBorder="1"/>
    <xf numFmtId="0" fontId="18" fillId="3" borderId="0" xfId="0" applyFont="1" applyFill="1"/>
    <xf numFmtId="0" fontId="19" fillId="3" borderId="0" xfId="0" applyFont="1" applyFill="1"/>
    <xf numFmtId="0" fontId="20" fillId="3" borderId="0" xfId="0" applyFont="1" applyFill="1"/>
    <xf numFmtId="164" fontId="21" fillId="0" borderId="0" xfId="0" applyNumberFormat="1" applyFont="1"/>
    <xf numFmtId="164" fontId="22" fillId="0" borderId="0" xfId="0" applyNumberFormat="1" applyFont="1"/>
    <xf numFmtId="165" fontId="21" fillId="0" borderId="0" xfId="0" applyNumberFormat="1" applyFont="1"/>
    <xf numFmtId="165" fontId="22" fillId="0" borderId="0" xfId="0" applyNumberFormat="1" applyFont="1"/>
    <xf numFmtId="172" fontId="0" fillId="0" borderId="0" xfId="0" applyNumberFormat="1"/>
    <xf numFmtId="172" fontId="14" fillId="0" borderId="0" xfId="0" applyNumberFormat="1" applyFont="1"/>
    <xf numFmtId="172" fontId="14" fillId="4" borderId="0" xfId="0" applyNumberFormat="1" applyFont="1" applyFill="1"/>
    <xf numFmtId="173" fontId="0" fillId="0" borderId="0" xfId="0" applyNumberFormat="1"/>
    <xf numFmtId="0" fontId="23" fillId="0" borderId="0" xfId="0" applyFont="1"/>
    <xf numFmtId="173" fontId="14" fillId="0" borderId="0" xfId="0" applyNumberFormat="1" applyFont="1"/>
    <xf numFmtId="173" fontId="14" fillId="4" borderId="0" xfId="0" applyNumberFormat="1" applyFont="1" applyFill="1"/>
    <xf numFmtId="169" fontId="14" fillId="4" borderId="0" xfId="0" applyNumberFormat="1" applyFont="1" applyFill="1"/>
    <xf numFmtId="169" fontId="15" fillId="0" borderId="0" xfId="0" applyNumberFormat="1" applyFont="1"/>
    <xf numFmtId="173" fontId="15" fillId="0" borderId="0" xfId="0" applyNumberFormat="1" applyFont="1"/>
    <xf numFmtId="0" fontId="0" fillId="0" borderId="1" xfId="0" applyBorder="1"/>
    <xf numFmtId="173" fontId="1" fillId="0" borderId="1" xfId="0" applyNumberFormat="1" applyFont="1" applyBorder="1"/>
    <xf numFmtId="0" fontId="0" fillId="5" borderId="0" xfId="0" applyFill="1"/>
    <xf numFmtId="173" fontId="1" fillId="5" borderId="0" xfId="0" applyNumberFormat="1" applyFont="1" applyFill="1"/>
    <xf numFmtId="0" fontId="1" fillId="5" borderId="0" xfId="0" applyFont="1" applyFill="1"/>
    <xf numFmtId="173" fontId="8" fillId="0" borderId="0" xfId="0" applyNumberFormat="1" applyFont="1"/>
    <xf numFmtId="0" fontId="9" fillId="3" borderId="0" xfId="0" applyFont="1" applyFill="1"/>
    <xf numFmtId="10" fontId="0" fillId="0" borderId="0" xfId="0" applyNumberFormat="1" applyAlignment="1">
      <alignment vertical="top" wrapText="1"/>
    </xf>
    <xf numFmtId="169" fontId="0" fillId="0" borderId="0" xfId="0" applyNumberFormat="1" applyAlignment="1">
      <alignment vertical="top" wrapText="1"/>
    </xf>
    <xf numFmtId="166" fontId="1" fillId="0" borderId="0" xfId="0" applyNumberFormat="1" applyFont="1"/>
    <xf numFmtId="164" fontId="1" fillId="0" borderId="1" xfId="0" applyNumberFormat="1" applyFont="1" applyBorder="1"/>
    <xf numFmtId="164" fontId="1" fillId="5" borderId="0" xfId="0" applyNumberFormat="1" applyFont="1" applyFill="1"/>
    <xf numFmtId="0" fontId="24" fillId="4" borderId="0" xfId="0" applyFont="1" applyFill="1"/>
    <xf numFmtId="166" fontId="24" fillId="4" borderId="0" xfId="0" applyNumberFormat="1" applyFont="1" applyFill="1"/>
    <xf numFmtId="0" fontId="25" fillId="0" borderId="0" xfId="0" applyFont="1"/>
    <xf numFmtId="0" fontId="3" fillId="5" borderId="0" xfId="0" applyFont="1" applyFill="1"/>
    <xf numFmtId="0" fontId="17" fillId="2" borderId="0" xfId="0" applyFont="1" applyFill="1"/>
    <xf numFmtId="0" fontId="1" fillId="3" borderId="0" xfId="0" applyFont="1" applyFill="1" applyAlignment="1">
      <alignment vertical="top" wrapText="1"/>
    </xf>
    <xf numFmtId="0" fontId="23" fillId="0" borderId="0" xfId="0" applyFont="1" applyAlignment="1">
      <alignment wrapText="1"/>
    </xf>
    <xf numFmtId="10" fontId="14" fillId="0" borderId="0" xfId="0" applyNumberFormat="1" applyFont="1"/>
    <xf numFmtId="10" fontId="14" fillId="4" borderId="0" xfId="0" applyNumberFormat="1" applyFont="1" applyFill="1"/>
    <xf numFmtId="10" fontId="2" fillId="2" borderId="0" xfId="0" applyNumberFormat="1" applyFont="1" applyFill="1"/>
    <xf numFmtId="10" fontId="2" fillId="2" borderId="0" xfId="0" applyNumberFormat="1" applyFont="1" applyFill="1" applyAlignment="1">
      <alignment horizontal="center"/>
    </xf>
    <xf numFmtId="167" fontId="2" fillId="2" borderId="0" xfId="0" applyNumberFormat="1" applyFont="1" applyFill="1" applyAlignment="1">
      <alignment horizontal="center"/>
    </xf>
    <xf numFmtId="0" fontId="1" fillId="0" borderId="0" xfId="0" applyFont="1" applyAlignment="1">
      <alignment horizontal="center"/>
    </xf>
    <xf numFmtId="173" fontId="1" fillId="4" borderId="0" xfId="0" applyNumberFormat="1" applyFont="1" applyFill="1"/>
    <xf numFmtId="0" fontId="1" fillId="0" borderId="0" xfId="0" applyFont="1" applyAlignment="1">
      <alignment wrapText="1"/>
    </xf>
    <xf numFmtId="0" fontId="28" fillId="5" borderId="0" xfId="0" applyFont="1" applyFill="1" applyAlignment="1">
      <alignment wrapText="1"/>
    </xf>
    <xf numFmtId="0" fontId="2" fillId="2" borderId="0" xfId="0" applyFont="1" applyFill="1" applyAlignment="1">
      <alignment wrapText="1"/>
    </xf>
    <xf numFmtId="164" fontId="0" fillId="4" borderId="0" xfId="0" applyNumberFormat="1" applyFill="1"/>
    <xf numFmtId="167" fontId="14" fillId="4" borderId="0" xfId="0" applyNumberFormat="1" applyFont="1" applyFill="1"/>
    <xf numFmtId="172" fontId="1" fillId="0" borderId="1" xfId="0" applyNumberFormat="1" applyFont="1" applyBorder="1"/>
    <xf numFmtId="0" fontId="1" fillId="0" borderId="0" xfId="0" applyFont="1" applyAlignment="1">
      <alignment horizontal="center" vertical="top" wrapText="1"/>
    </xf>
    <xf numFmtId="0" fontId="0" fillId="0" borderId="2" xfId="0" applyBorder="1"/>
    <xf numFmtId="0" fontId="0" fillId="0" borderId="2" xfId="0" applyBorder="1" applyAlignment="1">
      <alignment vertical="top" wrapText="1"/>
    </xf>
    <xf numFmtId="0" fontId="1" fillId="0" borderId="2" xfId="0" applyFont="1" applyBorder="1" applyAlignment="1">
      <alignment horizontal="center" vertical="top" wrapText="1"/>
    </xf>
    <xf numFmtId="0" fontId="0" fillId="0" borderId="3" xfId="0" applyBorder="1"/>
    <xf numFmtId="0" fontId="0" fillId="0" borderId="3" xfId="0" applyBorder="1" applyAlignment="1">
      <alignment vertical="top" wrapText="1"/>
    </xf>
    <xf numFmtId="0" fontId="1" fillId="0" borderId="3" xfId="0" applyFont="1" applyBorder="1" applyAlignment="1">
      <alignment horizontal="center" vertical="top" wrapText="1"/>
    </xf>
    <xf numFmtId="3" fontId="0" fillId="0" borderId="3" xfId="0" applyNumberFormat="1" applyBorder="1" applyAlignment="1">
      <alignment vertical="top" wrapText="1"/>
    </xf>
    <xf numFmtId="0" fontId="0" fillId="0" borderId="1" xfId="0" applyBorder="1" applyAlignment="1">
      <alignment vertical="top" wrapText="1"/>
    </xf>
    <xf numFmtId="0" fontId="1" fillId="0" borderId="1" xfId="0" applyFont="1" applyBorder="1" applyAlignment="1">
      <alignment horizontal="center" vertical="top" wrapText="1"/>
    </xf>
    <xf numFmtId="0" fontId="29" fillId="0" borderId="0" xfId="0" applyFont="1"/>
    <xf numFmtId="0" fontId="30" fillId="2" borderId="0" xfId="0" applyFont="1" applyFill="1" applyAlignment="1">
      <alignment vertical="top" wrapText="1"/>
    </xf>
    <xf numFmtId="0" fontId="1" fillId="0" borderId="0" xfId="0" applyFont="1" applyAlignment="1">
      <alignment vertical="top" wrapText="1"/>
    </xf>
    <xf numFmtId="0" fontId="30" fillId="2" borderId="0" xfId="0" applyFont="1" applyFill="1"/>
    <xf numFmtId="0" fontId="1" fillId="0" borderId="2" xfId="0" applyFont="1" applyBorder="1" applyAlignment="1">
      <alignment vertical="top" wrapText="1"/>
    </xf>
    <xf numFmtId="0" fontId="1" fillId="0" borderId="3" xfId="0" applyFont="1" applyBorder="1" applyAlignment="1">
      <alignment vertical="top" wrapText="1"/>
    </xf>
    <xf numFmtId="0" fontId="1" fillId="0" borderId="1" xfId="0" applyFont="1" applyBorder="1" applyAlignment="1">
      <alignment vertical="top" wrapText="1"/>
    </xf>
    <xf numFmtId="0" fontId="1" fillId="5" borderId="0" xfId="0" applyFont="1" applyFill="1" applyAlignment="1">
      <alignment vertical="top" wrapText="1"/>
    </xf>
    <xf numFmtId="0" fontId="1" fillId="5" borderId="3" xfId="0" applyFont="1" applyFill="1" applyBorder="1" applyAlignment="1">
      <alignment vertical="top" wrapText="1"/>
    </xf>
    <xf numFmtId="0" fontId="0" fillId="5" borderId="3" xfId="0" applyFill="1" applyBorder="1" applyAlignment="1">
      <alignment vertical="top" wrapText="1"/>
    </xf>
    <xf numFmtId="0" fontId="0" fillId="0" borderId="8" xfId="0" applyBorder="1"/>
    <xf numFmtId="0" fontId="1" fillId="0" borderId="8" xfId="0" applyFont="1" applyBorder="1"/>
    <xf numFmtId="0" fontId="1" fillId="5" borderId="0" xfId="0" applyFont="1" applyFill="1" applyAlignment="1">
      <alignment wrapText="1"/>
    </xf>
    <xf numFmtId="171" fontId="2" fillId="2" borderId="0" xfId="0" applyNumberFormat="1" applyFont="1" applyFill="1" applyAlignment="1">
      <alignment horizontal="center"/>
    </xf>
    <xf numFmtId="0" fontId="6" fillId="0" borderId="0" xfId="0" applyFont="1" applyAlignment="1">
      <alignment wrapText="1"/>
    </xf>
    <xf numFmtId="0" fontId="1" fillId="4" borderId="0" xfId="0" applyFont="1" applyFill="1" applyAlignment="1">
      <alignment vertical="top" wrapText="1"/>
    </xf>
    <xf numFmtId="0" fontId="23" fillId="0" borderId="0" xfId="0" applyFont="1" applyAlignment="1">
      <alignment vertical="top" wrapText="1"/>
    </xf>
    <xf numFmtId="172" fontId="0" fillId="0" borderId="0" xfId="0" applyNumberFormat="1" applyAlignment="1">
      <alignment vertical="top" wrapText="1"/>
    </xf>
    <xf numFmtId="171" fontId="0" fillId="0" borderId="0" xfId="0" applyNumberFormat="1" applyAlignment="1">
      <alignment vertical="top" wrapText="1"/>
    </xf>
    <xf numFmtId="0" fontId="8" fillId="0" borderId="0" xfId="0" applyFont="1" applyAlignment="1">
      <alignment wrapText="1"/>
    </xf>
    <xf numFmtId="0" fontId="1" fillId="3" borderId="0" xfId="0" applyFont="1" applyFill="1" applyAlignment="1">
      <alignment horizontal="center"/>
    </xf>
    <xf numFmtId="0" fontId="1" fillId="0" borderId="2" xfId="0" applyFont="1" applyBorder="1"/>
    <xf numFmtId="0" fontId="0" fillId="0" borderId="2" xfId="0" applyBorder="1" applyAlignment="1">
      <alignment horizontal="center"/>
    </xf>
    <xf numFmtId="0" fontId="1" fillId="0" borderId="3" xfId="0" applyFont="1" applyBorder="1"/>
    <xf numFmtId="0" fontId="0" fillId="0" borderId="3" xfId="0" applyBorder="1" applyAlignment="1">
      <alignment horizontal="center"/>
    </xf>
    <xf numFmtId="172" fontId="0" fillId="0" borderId="3" xfId="0" applyNumberFormat="1" applyBorder="1" applyAlignment="1">
      <alignment horizontal="center"/>
    </xf>
    <xf numFmtId="0" fontId="0" fillId="0" borderId="1" xfId="0" applyBorder="1" applyAlignment="1">
      <alignment horizontal="center"/>
    </xf>
    <xf numFmtId="174" fontId="0" fillId="0" borderId="0" xfId="0" applyNumberFormat="1"/>
    <xf numFmtId="174" fontId="26" fillId="4" borderId="0" xfId="0" applyNumberFormat="1" applyFont="1" applyFill="1"/>
    <xf numFmtId="174" fontId="27" fillId="5" borderId="0" xfId="0" applyNumberFormat="1" applyFont="1" applyFill="1"/>
    <xf numFmtId="174" fontId="4" fillId="0" borderId="0" xfId="0" applyNumberFormat="1" applyFont="1"/>
    <xf numFmtId="174" fontId="24" fillId="4" borderId="0" xfId="0" applyNumberFormat="1" applyFont="1" applyFill="1"/>
    <xf numFmtId="174" fontId="0" fillId="0" borderId="4" xfId="0" applyNumberFormat="1" applyBorder="1" applyAlignment="1">
      <alignment horizontal="center"/>
    </xf>
    <xf numFmtId="174" fontId="0" fillId="0" borderId="5" xfId="0" applyNumberFormat="1" applyBorder="1" applyAlignment="1">
      <alignment horizontal="center"/>
    </xf>
    <xf numFmtId="174" fontId="0" fillId="0" borderId="6" xfId="0" applyNumberFormat="1" applyBorder="1" applyAlignment="1">
      <alignment horizontal="center"/>
    </xf>
    <xf numFmtId="174" fontId="0" fillId="0" borderId="7" xfId="0" applyNumberFormat="1" applyBorder="1" applyAlignment="1">
      <alignment horizontal="center"/>
    </xf>
    <xf numFmtId="174" fontId="0" fillId="0" borderId="8" xfId="0" applyNumberFormat="1" applyBorder="1" applyAlignment="1">
      <alignment horizontal="center"/>
    </xf>
    <xf numFmtId="174" fontId="0" fillId="0" borderId="9" xfId="0" applyNumberFormat="1" applyBorder="1" applyAlignment="1">
      <alignment horizontal="center"/>
    </xf>
    <xf numFmtId="174" fontId="1" fillId="4" borderId="8" xfId="0" applyNumberFormat="1" applyFont="1" applyFill="1" applyBorder="1" applyAlignment="1">
      <alignment horizontal="center"/>
    </xf>
    <xf numFmtId="174" fontId="0" fillId="0" borderId="10" xfId="0" applyNumberFormat="1" applyBorder="1" applyAlignment="1">
      <alignment horizontal="center"/>
    </xf>
    <xf numFmtId="174" fontId="0" fillId="0" borderId="11" xfId="0" applyNumberFormat="1" applyBorder="1" applyAlignment="1">
      <alignment horizontal="center"/>
    </xf>
    <xf numFmtId="174" fontId="0" fillId="0" borderId="12" xfId="0" applyNumberFormat="1" applyBorder="1" applyAlignment="1">
      <alignment horizontal="center"/>
    </xf>
    <xf numFmtId="174" fontId="15" fillId="0" borderId="0" xfId="0" applyNumberFormat="1" applyFont="1"/>
    <xf numFmtId="174" fontId="5" fillId="0" borderId="0" xfId="0" applyNumberFormat="1" applyFont="1"/>
    <xf numFmtId="174" fontId="1" fillId="5" borderId="0" xfId="0" applyNumberFormat="1" applyFont="1" applyFill="1"/>
    <xf numFmtId="49" fontId="0" fillId="0" borderId="0" xfId="0" applyNumberFormat="1"/>
    <xf numFmtId="49" fontId="31" fillId="0" borderId="2" xfId="0" applyNumberFormat="1" applyFont="1" applyBorder="1" applyAlignment="1">
      <alignment vertical="top" wrapText="1"/>
    </xf>
    <xf numFmtId="49" fontId="31" fillId="0" borderId="3" xfId="0" applyNumberFormat="1" applyFont="1" applyBorder="1" applyAlignment="1">
      <alignment vertical="top" wrapText="1"/>
    </xf>
    <xf numFmtId="49" fontId="31" fillId="0" borderId="1" xfId="0" applyNumberFormat="1" applyFont="1" applyBorder="1" applyAlignment="1">
      <alignment vertical="top" wrapText="1"/>
    </xf>
    <xf numFmtId="174" fontId="1" fillId="0" borderId="0" xfId="0" applyNumberFormat="1" applyFont="1"/>
    <xf numFmtId="164" fontId="0" fillId="0" borderId="2" xfId="0" applyNumberFormat="1" applyBorder="1" applyAlignment="1">
      <alignment horizontal="center"/>
    </xf>
    <xf numFmtId="164" fontId="0" fillId="0" borderId="3" xfId="0" applyNumberFormat="1" applyBorder="1" applyAlignment="1">
      <alignment horizontal="center"/>
    </xf>
    <xf numFmtId="169" fontId="0" fillId="0" borderId="3" xfId="0" applyNumberFormat="1" applyBorder="1" applyAlignment="1">
      <alignment horizontal="center"/>
    </xf>
    <xf numFmtId="171" fontId="0" fillId="0" borderId="1" xfId="0" applyNumberFormat="1" applyBorder="1" applyAlignment="1">
      <alignment horizontal="center"/>
    </xf>
    <xf numFmtId="0" fontId="1" fillId="4" borderId="3" xfId="0" applyFont="1" applyFill="1" applyBorder="1"/>
    <xf numFmtId="174" fontId="1" fillId="4" borderId="3" xfId="0" applyNumberFormat="1" applyFont="1" applyFill="1" applyBorder="1" applyAlignment="1">
      <alignment horizontal="center"/>
    </xf>
    <xf numFmtId="0" fontId="1" fillId="4" borderId="3" xfId="0" applyFont="1" applyFill="1" applyBorder="1" applyAlignment="1">
      <alignment horizontal="center"/>
    </xf>
    <xf numFmtId="0" fontId="32" fillId="2" borderId="0" xfId="0" applyFont="1" applyFill="1" applyAlignment="1">
      <alignment vertical="top"/>
    </xf>
    <xf numFmtId="0" fontId="0" fillId="0" borderId="0" xfId="0" applyAlignment="1">
      <alignment vertical="top"/>
    </xf>
    <xf numFmtId="0" fontId="1" fillId="3" borderId="0" xfId="0" applyFont="1" applyFill="1" applyAlignment="1">
      <alignment horizontal="center" vertical="top"/>
    </xf>
    <xf numFmtId="0" fontId="6" fillId="0" borderId="0" xfId="0" applyFont="1" applyAlignment="1">
      <alignment vertical="top"/>
    </xf>
    <xf numFmtId="164" fontId="0" fillId="0" borderId="0" xfId="0" applyNumberFormat="1" applyAlignment="1">
      <alignment vertical="top"/>
    </xf>
    <xf numFmtId="167" fontId="14" fillId="4" borderId="0" xfId="0" applyNumberFormat="1" applyFont="1" applyFill="1" applyAlignment="1">
      <alignment vertical="top"/>
    </xf>
    <xf numFmtId="174" fontId="0" fillId="0" borderId="0" xfId="0" applyNumberFormat="1" applyAlignment="1">
      <alignment vertical="top"/>
    </xf>
    <xf numFmtId="0" fontId="18" fillId="0" borderId="0" xfId="0" applyFont="1" applyAlignment="1">
      <alignment vertical="top"/>
    </xf>
    <xf numFmtId="0" fontId="1" fillId="0" borderId="0" xfId="0" applyFont="1" applyAlignment="1">
      <alignment vertical="top"/>
    </xf>
    <xf numFmtId="174" fontId="1" fillId="0" borderId="0" xfId="0" applyNumberFormat="1" applyFont="1" applyAlignment="1">
      <alignment vertical="top"/>
    </xf>
    <xf numFmtId="0" fontId="18" fillId="5" borderId="0" xfId="0" applyFont="1" applyFill="1" applyAlignment="1">
      <alignment vertical="top"/>
    </xf>
    <xf numFmtId="0" fontId="1" fillId="5" borderId="0" xfId="0" applyFont="1" applyFill="1" applyAlignment="1">
      <alignment vertical="top"/>
    </xf>
    <xf numFmtId="174" fontId="1" fillId="5" borderId="0" xfId="0" applyNumberFormat="1" applyFont="1" applyFill="1" applyAlignment="1">
      <alignment vertical="top"/>
    </xf>
    <xf numFmtId="0" fontId="7" fillId="0" borderId="0" xfId="0" applyFont="1" applyAlignment="1">
      <alignment vertical="top" wrapText="1"/>
    </xf>
    <xf numFmtId="9" fontId="14" fillId="4" borderId="0" xfId="0" applyNumberFormat="1" applyFont="1" applyFill="1" applyAlignment="1">
      <alignment vertical="top"/>
    </xf>
    <xf numFmtId="9" fontId="6" fillId="0" borderId="0" xfId="0" applyNumberFormat="1" applyFont="1" applyAlignment="1">
      <alignment vertical="top"/>
    </xf>
    <xf numFmtId="0" fontId="33" fillId="4" borderId="0" xfId="0" applyFont="1" applyFill="1" applyAlignment="1">
      <alignment vertical="top"/>
    </xf>
    <xf numFmtId="174" fontId="34" fillId="4" borderId="0" xfId="0" applyNumberFormat="1" applyFont="1" applyFill="1" applyAlignment="1">
      <alignment vertical="top"/>
    </xf>
    <xf numFmtId="171" fontId="0" fillId="0" borderId="0" xfId="0" applyNumberFormat="1" applyAlignment="1">
      <alignment vertical="top"/>
    </xf>
    <xf numFmtId="169" fontId="0" fillId="0" borderId="0" xfId="0" applyNumberFormat="1" applyAlignment="1">
      <alignment vertical="top"/>
    </xf>
    <xf numFmtId="0" fontId="8" fillId="0" borderId="0" xfId="0" applyFont="1" applyAlignment="1">
      <alignment vertical="top"/>
    </xf>
    <xf numFmtId="0" fontId="0" fillId="6" borderId="0" xfId="0" applyFill="1"/>
    <xf numFmtId="0" fontId="35" fillId="6" borderId="0" xfId="0" applyFont="1" applyFill="1" applyAlignment="1">
      <alignment wrapText="1"/>
    </xf>
    <xf numFmtId="174" fontId="14" fillId="0" borderId="0" xfId="0" applyNumberFormat="1" applyFont="1"/>
    <xf numFmtId="3" fontId="14" fillId="0" borderId="0" xfId="0" applyNumberFormat="1" applyFont="1"/>
    <xf numFmtId="1" fontId="14" fillId="0" borderId="0" xfId="0" applyNumberFormat="1" applyFont="1"/>
    <xf numFmtId="174" fontId="14" fillId="4" borderId="0" xfId="0" applyNumberFormat="1" applyFont="1" applyFill="1"/>
    <xf numFmtId="9" fontId="12" fillId="0" borderId="0" xfId="0" applyNumberFormat="1" applyFont="1"/>
    <xf numFmtId="171" fontId="15" fillId="0" borderId="0" xfId="0" applyNumberFormat="1" applyFont="1"/>
    <xf numFmtId="1" fontId="15" fillId="0" borderId="0" xfId="0" applyNumberFormat="1" applyFont="1"/>
    <xf numFmtId="4" fontId="14" fillId="0" borderId="0" xfId="0" applyNumberFormat="1" applyFont="1"/>
    <xf numFmtId="4" fontId="12" fillId="0" borderId="0" xfId="0" applyNumberFormat="1" applyFont="1"/>
    <xf numFmtId="14" fontId="14" fillId="0" borderId="0" xfId="0" applyNumberFormat="1" applyFont="1"/>
    <xf numFmtId="14" fontId="15" fillId="0" borderId="0" xfId="0" applyNumberFormat="1" applyFont="1"/>
    <xf numFmtId="165" fontId="14" fillId="0" borderId="0" xfId="0" applyNumberFormat="1" applyFont="1" applyFill="1"/>
    <xf numFmtId="49" fontId="4" fillId="0" borderId="0" xfId="0" applyNumberFormat="1" applyFont="1" applyAlignment="1">
      <alignment vertical="top" wrapText="1"/>
    </xf>
  </cellXfs>
  <cellStyles count="1">
    <cellStyle name="Normal" xfId="0" builtinId="0"/>
  </cellStyles>
  <dxfs count="12">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4125E71-737A-4EF1-872F-0196BDBDAF77}">
  <we:reference id="wa200009404" version="1.0.0.8" store="es-ES" storeType="OMEX"/>
  <we:alternateReferences>
    <we:reference id="WA200009404" version="1.0.0.8" store="en-US" storeType="OMEX"/>
  </we:alternateReferences>
  <we:properties>
    <we:property name="claude.fileId" value="&quot;591a5c8f-b742-4655-89f7-884b6c20e22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78E21-D12F-4AEB-A376-5CD34F27C7A5}">
  <dimension ref="A1:P287"/>
  <sheetViews>
    <sheetView workbookViewId="0"/>
  </sheetViews>
  <sheetFormatPr baseColWidth="10" defaultRowHeight="14.4" x14ac:dyDescent="0.3"/>
  <cols>
    <col min="2" max="2" width="72.21875" customWidth="1"/>
    <col min="3" max="3" width="22.21875" customWidth="1"/>
    <col min="4" max="16" width="17" customWidth="1"/>
  </cols>
  <sheetData>
    <row r="1" spans="1:16" ht="21" x14ac:dyDescent="0.4">
      <c r="A1" s="109" t="s">
        <v>1782</v>
      </c>
    </row>
    <row r="2" spans="1:16" x14ac:dyDescent="0.3">
      <c r="A2" s="89" t="s">
        <v>1783</v>
      </c>
    </row>
    <row r="3" spans="1:16" x14ac:dyDescent="0.3">
      <c r="A3" s="14" t="s">
        <v>1784</v>
      </c>
    </row>
    <row r="5" spans="1:16" x14ac:dyDescent="0.3">
      <c r="B5" s="15" t="s">
        <v>27</v>
      </c>
      <c r="C5" s="15" t="s">
        <v>42</v>
      </c>
      <c r="D5" s="15" t="s">
        <v>1785</v>
      </c>
      <c r="E5" s="15" t="s">
        <v>1786</v>
      </c>
      <c r="F5" s="15" t="s">
        <v>1787</v>
      </c>
      <c r="G5" s="15" t="s">
        <v>1788</v>
      </c>
      <c r="H5" s="15" t="s">
        <v>1789</v>
      </c>
      <c r="I5" s="15" t="s">
        <v>1790</v>
      </c>
      <c r="J5" s="15" t="s">
        <v>1791</v>
      </c>
      <c r="K5" s="15" t="s">
        <v>1792</v>
      </c>
      <c r="L5" s="15" t="s">
        <v>1793</v>
      </c>
      <c r="M5" s="15" t="s">
        <v>1794</v>
      </c>
      <c r="N5" s="15" t="s">
        <v>1795</v>
      </c>
      <c r="O5" s="15" t="s">
        <v>1796</v>
      </c>
      <c r="P5" s="15" t="s">
        <v>1797</v>
      </c>
    </row>
    <row r="7" spans="1:16" ht="15.6" x14ac:dyDescent="0.3">
      <c r="B7" s="140" t="s">
        <v>1798</v>
      </c>
      <c r="C7" s="140"/>
      <c r="D7" s="140"/>
      <c r="E7" s="140"/>
      <c r="F7" s="140"/>
      <c r="G7" s="140"/>
      <c r="H7" s="140"/>
      <c r="I7" s="140"/>
      <c r="J7" s="140"/>
      <c r="K7" s="140"/>
      <c r="L7" s="140"/>
      <c r="M7" s="140"/>
      <c r="N7" s="140"/>
      <c r="O7" s="140"/>
      <c r="P7" s="140"/>
    </row>
    <row r="8" spans="1:16" x14ac:dyDescent="0.3">
      <c r="B8" t="s">
        <v>435</v>
      </c>
      <c r="C8" s="42" t="s">
        <v>1878</v>
      </c>
    </row>
    <row r="9" spans="1:16" x14ac:dyDescent="0.3">
      <c r="B9" t="s">
        <v>1800</v>
      </c>
      <c r="C9" s="42" t="s">
        <v>1879</v>
      </c>
    </row>
    <row r="10" spans="1:16" x14ac:dyDescent="0.3">
      <c r="B10" t="s">
        <v>235</v>
      </c>
      <c r="C10" s="42" t="s">
        <v>236</v>
      </c>
    </row>
    <row r="11" spans="1:16" x14ac:dyDescent="0.3">
      <c r="B11" t="s">
        <v>233</v>
      </c>
      <c r="C11" s="226">
        <f>DATE(2026,9,23)</f>
        <v>46288</v>
      </c>
    </row>
    <row r="12" spans="1:16" x14ac:dyDescent="0.3">
      <c r="B12" t="s">
        <v>437</v>
      </c>
      <c r="C12" s="42" t="s">
        <v>1880</v>
      </c>
    </row>
    <row r="13" spans="1:16" x14ac:dyDescent="0.3">
      <c r="B13" t="s">
        <v>1801</v>
      </c>
      <c r="C13" s="220">
        <v>198.27</v>
      </c>
    </row>
    <row r="14" spans="1:16" x14ac:dyDescent="0.3">
      <c r="B14" t="s">
        <v>1802</v>
      </c>
      <c r="C14" t="s">
        <v>1799</v>
      </c>
      <c r="D14" s="42" t="s">
        <v>43</v>
      </c>
      <c r="E14" s="42" t="s">
        <v>44</v>
      </c>
      <c r="F14" s="42" t="s">
        <v>1881</v>
      </c>
      <c r="G14" s="42" t="s">
        <v>219</v>
      </c>
      <c r="H14" s="42" t="s">
        <v>220</v>
      </c>
      <c r="I14" s="42" t="s">
        <v>221</v>
      </c>
      <c r="J14" s="42" t="s">
        <v>222</v>
      </c>
      <c r="K14" s="42" t="s">
        <v>223</v>
      </c>
      <c r="L14" s="42" t="s">
        <v>224</v>
      </c>
      <c r="M14" s="42" t="s">
        <v>225</v>
      </c>
      <c r="N14" s="42" t="s">
        <v>226</v>
      </c>
      <c r="O14" s="42" t="s">
        <v>227</v>
      </c>
      <c r="P14" s="42" t="s">
        <v>228</v>
      </c>
    </row>
    <row r="16" spans="1:16" ht="15.6" x14ac:dyDescent="0.3">
      <c r="B16" s="140" t="s">
        <v>1803</v>
      </c>
      <c r="C16" s="140"/>
      <c r="D16" s="140"/>
      <c r="E16" s="140"/>
      <c r="F16" s="140"/>
      <c r="G16" s="140"/>
      <c r="H16" s="140"/>
      <c r="I16" s="140"/>
      <c r="J16" s="140"/>
      <c r="K16" s="140"/>
      <c r="L16" s="140"/>
      <c r="M16" s="140"/>
      <c r="N16" s="140"/>
      <c r="O16" s="140"/>
      <c r="P16" s="140"/>
    </row>
    <row r="18" spans="2:6" x14ac:dyDescent="0.3">
      <c r="B18" t="s">
        <v>1882</v>
      </c>
      <c r="C18" t="s">
        <v>46</v>
      </c>
      <c r="D18" s="54">
        <v>5617</v>
      </c>
      <c r="E18" s="54">
        <v>6809</v>
      </c>
      <c r="F18" s="54">
        <f>5244+353+(1806+109)</f>
        <v>7512</v>
      </c>
    </row>
    <row r="19" spans="2:6" x14ac:dyDescent="0.3">
      <c r="B19" t="s">
        <v>1883</v>
      </c>
      <c r="C19" t="s">
        <v>46</v>
      </c>
      <c r="D19" s="54">
        <v>24863</v>
      </c>
      <c r="E19" s="54">
        <v>27793</v>
      </c>
      <c r="F19" s="54">
        <f>18934+5200</f>
        <v>24134</v>
      </c>
    </row>
    <row r="20" spans="2:6" x14ac:dyDescent="0.3">
      <c r="B20" t="s">
        <v>1884</v>
      </c>
      <c r="C20" t="s">
        <v>46</v>
      </c>
      <c r="D20" s="54">
        <v>5572</v>
      </c>
      <c r="E20" s="54">
        <v>5725</v>
      </c>
      <c r="F20" s="54">
        <f>4252+1300</f>
        <v>5552</v>
      </c>
    </row>
    <row r="21" spans="2:6" x14ac:dyDescent="0.3">
      <c r="B21" t="s">
        <v>1885</v>
      </c>
      <c r="C21" t="s">
        <v>46</v>
      </c>
      <c r="D21" s="54">
        <v>2910</v>
      </c>
      <c r="E21" s="54">
        <v>3957</v>
      </c>
      <c r="F21" s="54">
        <f>4015+1685</f>
        <v>5700</v>
      </c>
    </row>
    <row r="22" spans="2:6" x14ac:dyDescent="0.3">
      <c r="B22" t="s">
        <v>47</v>
      </c>
      <c r="C22" t="s">
        <v>46</v>
      </c>
      <c r="D22" s="54" t="s">
        <v>1804</v>
      </c>
      <c r="E22" s="54"/>
      <c r="F22" s="54"/>
    </row>
    <row r="23" spans="2:6" x14ac:dyDescent="0.3">
      <c r="D23" s="54"/>
      <c r="E23" s="54"/>
      <c r="F23" s="54"/>
    </row>
    <row r="24" spans="2:6" x14ac:dyDescent="0.3">
      <c r="B24" t="s">
        <v>1886</v>
      </c>
      <c r="C24" t="s">
        <v>46</v>
      </c>
      <c r="D24" s="54">
        <v>16749</v>
      </c>
      <c r="E24" s="54">
        <v>19417</v>
      </c>
      <c r="F24" s="54">
        <f>(15138+4752)-331</f>
        <v>19559</v>
      </c>
    </row>
    <row r="25" spans="2:6" x14ac:dyDescent="0.3">
      <c r="B25" t="s">
        <v>1887</v>
      </c>
      <c r="C25" t="s">
        <v>46</v>
      </c>
      <c r="D25" s="54">
        <v>0</v>
      </c>
      <c r="E25" s="54">
        <v>0</v>
      </c>
      <c r="F25" s="54">
        <v>0</v>
      </c>
    </row>
    <row r="26" spans="2:6" x14ac:dyDescent="0.3">
      <c r="B26" t="s">
        <v>1887</v>
      </c>
      <c r="C26" t="s">
        <v>46</v>
      </c>
      <c r="D26" s="54">
        <v>0</v>
      </c>
      <c r="E26" s="54">
        <v>0</v>
      </c>
      <c r="F26" s="54">
        <v>0</v>
      </c>
    </row>
    <row r="27" spans="2:6" x14ac:dyDescent="0.3">
      <c r="B27" t="s">
        <v>48</v>
      </c>
      <c r="C27" t="s">
        <v>46</v>
      </c>
      <c r="D27" s="54" t="s">
        <v>1804</v>
      </c>
      <c r="E27" s="54"/>
      <c r="F27" s="54"/>
    </row>
    <row r="28" spans="2:6" x14ac:dyDescent="0.3">
      <c r="B28" t="s">
        <v>49</v>
      </c>
      <c r="C28" t="s">
        <v>46</v>
      </c>
      <c r="D28" s="54" t="s">
        <v>1804</v>
      </c>
      <c r="E28" s="54"/>
      <c r="F28" s="54"/>
    </row>
    <row r="29" spans="2:6" x14ac:dyDescent="0.3">
      <c r="B29" t="s">
        <v>50</v>
      </c>
      <c r="C29" t="s">
        <v>23</v>
      </c>
      <c r="D29" s="54" t="s">
        <v>1804</v>
      </c>
      <c r="E29" s="54"/>
      <c r="F29" s="54"/>
    </row>
    <row r="30" spans="2:6" x14ac:dyDescent="0.3">
      <c r="D30" s="54"/>
      <c r="E30" s="54"/>
      <c r="F30" s="54"/>
    </row>
    <row r="31" spans="2:6" x14ac:dyDescent="0.3">
      <c r="B31" t="s">
        <v>1888</v>
      </c>
      <c r="C31" t="s">
        <v>46</v>
      </c>
      <c r="D31" s="54">
        <v>2759</v>
      </c>
      <c r="E31" s="54">
        <v>3110</v>
      </c>
      <c r="F31" s="54">
        <f>2738+980</f>
        <v>3718</v>
      </c>
    </row>
    <row r="32" spans="2:6" x14ac:dyDescent="0.3">
      <c r="B32" t="s">
        <v>52</v>
      </c>
      <c r="C32" t="s">
        <v>46</v>
      </c>
      <c r="D32" s="54">
        <v>8893</v>
      </c>
      <c r="E32" s="54">
        <v>9042</v>
      </c>
      <c r="F32" s="54">
        <f>7523+2620</f>
        <v>10143</v>
      </c>
    </row>
    <row r="33" spans="2:6" x14ac:dyDescent="0.3">
      <c r="B33" t="s">
        <v>1889</v>
      </c>
      <c r="C33" t="s">
        <v>46</v>
      </c>
      <c r="D33" s="54">
        <v>0</v>
      </c>
      <c r="E33" s="54">
        <v>0</v>
      </c>
      <c r="F33" s="54">
        <v>0</v>
      </c>
    </row>
    <row r="34" spans="2:6" x14ac:dyDescent="0.3">
      <c r="B34" t="s">
        <v>1890</v>
      </c>
      <c r="C34" t="s">
        <v>46</v>
      </c>
      <c r="D34" s="54">
        <v>311</v>
      </c>
      <c r="E34" s="54">
        <v>321</v>
      </c>
      <c r="F34" s="54">
        <v>331</v>
      </c>
    </row>
    <row r="35" spans="2:6" x14ac:dyDescent="0.3">
      <c r="B35" t="s">
        <v>1891</v>
      </c>
      <c r="C35" t="s">
        <v>46</v>
      </c>
      <c r="D35" s="54">
        <v>179</v>
      </c>
      <c r="E35" s="54">
        <v>39</v>
      </c>
      <c r="F35" s="54">
        <f>97+0</f>
        <v>97</v>
      </c>
    </row>
    <row r="36" spans="2:6" x14ac:dyDescent="0.3">
      <c r="B36" t="s">
        <v>54</v>
      </c>
      <c r="C36" t="s">
        <v>46</v>
      </c>
      <c r="D36" s="54" t="s">
        <v>1804</v>
      </c>
      <c r="E36" s="54"/>
      <c r="F36" s="54"/>
    </row>
    <row r="37" spans="2:6" x14ac:dyDescent="0.3">
      <c r="B37" t="s">
        <v>55</v>
      </c>
      <c r="C37" t="s">
        <v>46</v>
      </c>
      <c r="D37" s="54" t="s">
        <v>1804</v>
      </c>
      <c r="E37" s="54"/>
      <c r="F37" s="54"/>
    </row>
    <row r="38" spans="2:6" x14ac:dyDescent="0.3">
      <c r="B38" t="s">
        <v>56</v>
      </c>
      <c r="C38" t="s">
        <v>23</v>
      </c>
      <c r="D38" s="54" t="s">
        <v>1804</v>
      </c>
      <c r="E38" s="54"/>
      <c r="F38" s="54"/>
    </row>
    <row r="39" spans="2:6" x14ac:dyDescent="0.3">
      <c r="D39" s="54"/>
      <c r="E39" s="54"/>
      <c r="F39" s="54"/>
    </row>
    <row r="40" spans="2:6" x14ac:dyDescent="0.3">
      <c r="B40" t="s">
        <v>57</v>
      </c>
      <c r="C40" t="s">
        <v>46</v>
      </c>
      <c r="D40" s="54">
        <v>697</v>
      </c>
      <c r="E40" s="54">
        <v>664</v>
      </c>
      <c r="F40" s="54">
        <f>519+175</f>
        <v>694</v>
      </c>
    </row>
    <row r="41" spans="2:6" x14ac:dyDescent="0.3">
      <c r="B41" t="s">
        <v>1892</v>
      </c>
      <c r="C41" t="s">
        <v>46</v>
      </c>
      <c r="D41" s="54">
        <v>962</v>
      </c>
      <c r="E41" s="54">
        <v>972</v>
      </c>
      <c r="F41" s="54">
        <f>1458+85</f>
        <v>1543</v>
      </c>
    </row>
    <row r="42" spans="2:6" x14ac:dyDescent="0.3">
      <c r="B42" t="s">
        <v>59</v>
      </c>
      <c r="C42" t="s">
        <v>46</v>
      </c>
      <c r="D42" s="54" t="s">
        <v>1804</v>
      </c>
      <c r="E42" s="54"/>
      <c r="F42" s="54"/>
    </row>
    <row r="43" spans="2:6" x14ac:dyDescent="0.3">
      <c r="B43" t="s">
        <v>60</v>
      </c>
      <c r="C43" t="s">
        <v>46</v>
      </c>
      <c r="D43" s="54">
        <v>226</v>
      </c>
      <c r="E43" s="54">
        <v>7122</v>
      </c>
      <c r="F43" s="54">
        <f>-4136+232</f>
        <v>-3904</v>
      </c>
    </row>
    <row r="44" spans="2:6" x14ac:dyDescent="0.3">
      <c r="B44" t="s">
        <v>61</v>
      </c>
      <c r="C44" t="s">
        <v>23</v>
      </c>
      <c r="D44" s="54" t="s">
        <v>1804</v>
      </c>
      <c r="E44" s="54"/>
      <c r="F44" s="54"/>
    </row>
    <row r="45" spans="2:6" x14ac:dyDescent="0.3">
      <c r="B45" t="s">
        <v>62</v>
      </c>
      <c r="C45" t="s">
        <v>46</v>
      </c>
      <c r="D45" s="54" t="s">
        <v>1804</v>
      </c>
      <c r="E45" s="54"/>
      <c r="F45" s="54"/>
    </row>
    <row r="46" spans="2:6" x14ac:dyDescent="0.3">
      <c r="B46" t="s">
        <v>63</v>
      </c>
      <c r="C46" t="s">
        <v>46</v>
      </c>
      <c r="D46" s="54">
        <v>0</v>
      </c>
      <c r="E46" s="54">
        <v>0</v>
      </c>
      <c r="F46" s="54">
        <v>0</v>
      </c>
    </row>
    <row r="47" spans="2:6" x14ac:dyDescent="0.3">
      <c r="B47" t="s">
        <v>64</v>
      </c>
      <c r="C47" t="s">
        <v>46</v>
      </c>
      <c r="D47" s="54" t="s">
        <v>1804</v>
      </c>
      <c r="E47" s="54"/>
      <c r="F47" s="54"/>
    </row>
    <row r="48" spans="2:6" x14ac:dyDescent="0.3">
      <c r="B48" t="s">
        <v>65</v>
      </c>
      <c r="C48" t="s">
        <v>66</v>
      </c>
      <c r="D48" s="217">
        <v>9.06</v>
      </c>
      <c r="E48" s="217">
        <v>5.05</v>
      </c>
      <c r="F48" s="217">
        <f>(12377+1426)/1065</f>
        <v>12.960563380281689</v>
      </c>
    </row>
    <row r="49" spans="2:16" x14ac:dyDescent="0.3">
      <c r="B49" t="s">
        <v>67</v>
      </c>
      <c r="C49" t="s">
        <v>66</v>
      </c>
      <c r="D49" s="217">
        <v>8.94</v>
      </c>
      <c r="E49" s="217">
        <v>5.01</v>
      </c>
      <c r="F49" s="217">
        <f>(12377+1426)/1075</f>
        <v>12.84</v>
      </c>
    </row>
    <row r="50" spans="2:16" x14ac:dyDescent="0.3">
      <c r="B50" t="s">
        <v>68</v>
      </c>
      <c r="C50" t="s">
        <v>69</v>
      </c>
      <c r="D50" s="218">
        <v>1116</v>
      </c>
      <c r="E50" s="218">
        <v>1096</v>
      </c>
      <c r="F50" s="218">
        <v>1065</v>
      </c>
    </row>
    <row r="51" spans="2:16" x14ac:dyDescent="0.3">
      <c r="B51" t="s">
        <v>70</v>
      </c>
      <c r="C51" t="s">
        <v>69</v>
      </c>
      <c r="D51" s="21">
        <v>1130</v>
      </c>
      <c r="E51" s="21">
        <v>1105</v>
      </c>
      <c r="F51" s="21">
        <v>1075</v>
      </c>
    </row>
    <row r="52" spans="2:16" ht="15.6" x14ac:dyDescent="0.3">
      <c r="B52" s="140" t="s">
        <v>1893</v>
      </c>
      <c r="C52" s="140"/>
      <c r="D52" s="140"/>
      <c r="E52" s="140"/>
      <c r="F52" s="140"/>
      <c r="G52" s="140"/>
      <c r="H52" s="140"/>
      <c r="I52" s="140"/>
      <c r="J52" s="140"/>
      <c r="K52" s="140"/>
      <c r="L52" s="140"/>
      <c r="M52" s="140"/>
      <c r="N52" s="140"/>
      <c r="O52" s="140"/>
      <c r="P52" s="140"/>
    </row>
    <row r="54" spans="2:16" x14ac:dyDescent="0.3">
      <c r="B54" t="s">
        <v>1894</v>
      </c>
      <c r="C54" t="s">
        <v>46</v>
      </c>
      <c r="D54" s="54"/>
      <c r="E54" s="54">
        <v>7843</v>
      </c>
      <c r="F54" s="54">
        <v>4533</v>
      </c>
    </row>
    <row r="55" spans="2:16" x14ac:dyDescent="0.3">
      <c r="B55" t="s">
        <v>73</v>
      </c>
      <c r="C55" t="s">
        <v>46</v>
      </c>
      <c r="D55" s="54"/>
      <c r="E55" s="54">
        <v>4635</v>
      </c>
      <c r="F55" s="54">
        <v>3771</v>
      </c>
    </row>
    <row r="56" spans="2:16" x14ac:dyDescent="0.3">
      <c r="B56" t="s">
        <v>74</v>
      </c>
      <c r="C56" t="s">
        <v>46</v>
      </c>
      <c r="D56" s="54"/>
      <c r="E56" s="54">
        <v>4315</v>
      </c>
      <c r="F56" s="54">
        <v>4668</v>
      </c>
    </row>
    <row r="57" spans="2:16" x14ac:dyDescent="0.3">
      <c r="B57" t="s">
        <v>1895</v>
      </c>
      <c r="C57" t="s">
        <v>46</v>
      </c>
      <c r="D57" s="54"/>
      <c r="E57" s="54">
        <f>6526+2435</f>
        <v>8961</v>
      </c>
      <c r="F57" s="54">
        <f>8379+1653</f>
        <v>10032</v>
      </c>
    </row>
    <row r="58" spans="2:16" x14ac:dyDescent="0.3">
      <c r="B58" t="s">
        <v>76</v>
      </c>
      <c r="C58" t="s">
        <v>46</v>
      </c>
      <c r="D58" s="54" t="s">
        <v>1804</v>
      </c>
      <c r="E58" s="54"/>
      <c r="F58" s="54"/>
    </row>
    <row r="59" spans="2:16" x14ac:dyDescent="0.3">
      <c r="B59" t="s">
        <v>77</v>
      </c>
      <c r="C59" t="s">
        <v>46</v>
      </c>
      <c r="D59" s="54"/>
      <c r="E59" s="54">
        <v>4690</v>
      </c>
      <c r="F59" s="54">
        <v>5217</v>
      </c>
    </row>
    <row r="60" spans="2:16" x14ac:dyDescent="0.3">
      <c r="B60" t="s">
        <v>78</v>
      </c>
      <c r="C60" t="s">
        <v>46</v>
      </c>
      <c r="D60" s="54"/>
      <c r="E60" s="54">
        <v>735</v>
      </c>
      <c r="F60" s="54">
        <v>735</v>
      </c>
    </row>
    <row r="61" spans="2:16" x14ac:dyDescent="0.3">
      <c r="B61" t="s">
        <v>79</v>
      </c>
      <c r="C61" t="s">
        <v>46</v>
      </c>
      <c r="D61" s="54"/>
      <c r="E61" s="54">
        <v>11358</v>
      </c>
      <c r="F61" s="54">
        <v>14274</v>
      </c>
    </row>
    <row r="62" spans="2:16" x14ac:dyDescent="0.3">
      <c r="B62" t="s">
        <v>80</v>
      </c>
      <c r="C62" t="s">
        <v>46</v>
      </c>
      <c r="D62" s="54"/>
      <c r="E62" s="54">
        <v>743</v>
      </c>
      <c r="F62" s="54">
        <v>5679</v>
      </c>
    </row>
    <row r="63" spans="2:16" x14ac:dyDescent="0.3">
      <c r="B63" t="s">
        <v>1896</v>
      </c>
      <c r="C63" t="s">
        <v>46</v>
      </c>
      <c r="D63" s="54"/>
      <c r="E63" s="54">
        <f>6450-735+1148</f>
        <v>6863</v>
      </c>
      <c r="F63" s="54">
        <f>7683-735+1510</f>
        <v>8458</v>
      </c>
    </row>
    <row r="64" spans="2:16" x14ac:dyDescent="0.3">
      <c r="B64" t="s">
        <v>82</v>
      </c>
      <c r="C64" t="s">
        <v>46</v>
      </c>
      <c r="D64" s="54" t="s">
        <v>1804</v>
      </c>
      <c r="E64" s="54"/>
      <c r="F64" s="54"/>
    </row>
    <row r="65" spans="2:6" x14ac:dyDescent="0.3">
      <c r="B65" t="s">
        <v>83</v>
      </c>
      <c r="C65" t="s">
        <v>46</v>
      </c>
      <c r="D65" s="54" t="s">
        <v>1804</v>
      </c>
      <c r="E65" s="54"/>
      <c r="F65" s="54"/>
    </row>
    <row r="66" spans="2:6" x14ac:dyDescent="0.3">
      <c r="D66" s="54"/>
      <c r="E66" s="54"/>
      <c r="F66" s="54"/>
    </row>
    <row r="67" spans="2:6" x14ac:dyDescent="0.3">
      <c r="B67" t="s">
        <v>84</v>
      </c>
      <c r="C67" t="s">
        <v>46</v>
      </c>
      <c r="D67" s="54"/>
      <c r="E67" s="54">
        <v>0</v>
      </c>
      <c r="F67" s="54">
        <v>2489</v>
      </c>
    </row>
    <row r="68" spans="2:6" x14ac:dyDescent="0.3">
      <c r="B68" t="s">
        <v>85</v>
      </c>
      <c r="C68" t="s">
        <v>46</v>
      </c>
      <c r="D68" s="54"/>
      <c r="E68" s="54">
        <v>2791</v>
      </c>
      <c r="F68" s="54">
        <v>2897</v>
      </c>
    </row>
    <row r="69" spans="2:6" x14ac:dyDescent="0.3">
      <c r="B69" t="s">
        <v>1897</v>
      </c>
      <c r="C69" t="s">
        <v>46</v>
      </c>
      <c r="D69" s="54"/>
      <c r="E69" s="54">
        <v>1839</v>
      </c>
      <c r="F69" s="54">
        <v>1470</v>
      </c>
    </row>
    <row r="70" spans="2:6" x14ac:dyDescent="0.3">
      <c r="B70" t="s">
        <v>1898</v>
      </c>
      <c r="C70" t="s">
        <v>46</v>
      </c>
      <c r="D70" s="54"/>
      <c r="E70" s="54">
        <v>358</v>
      </c>
      <c r="F70" s="54">
        <v>280</v>
      </c>
    </row>
    <row r="71" spans="2:6" x14ac:dyDescent="0.3">
      <c r="B71" t="s">
        <v>88</v>
      </c>
      <c r="C71" t="s">
        <v>46</v>
      </c>
      <c r="D71" s="54"/>
      <c r="E71" s="54">
        <v>4156</v>
      </c>
      <c r="F71" s="54">
        <v>4277</v>
      </c>
    </row>
    <row r="72" spans="2:6" x14ac:dyDescent="0.3">
      <c r="B72" t="s">
        <v>89</v>
      </c>
      <c r="C72" t="s">
        <v>46</v>
      </c>
      <c r="D72" s="54" t="s">
        <v>1804</v>
      </c>
      <c r="E72" s="54"/>
      <c r="F72" s="54"/>
    </row>
    <row r="73" spans="2:6" x14ac:dyDescent="0.3">
      <c r="B73" t="s">
        <v>90</v>
      </c>
      <c r="C73" t="s">
        <v>46</v>
      </c>
      <c r="D73" s="54"/>
      <c r="E73" s="54">
        <v>14811</v>
      </c>
      <c r="F73" s="54">
        <v>12781</v>
      </c>
    </row>
    <row r="74" spans="2:6" x14ac:dyDescent="0.3">
      <c r="B74" t="s">
        <v>91</v>
      </c>
      <c r="C74" t="s">
        <v>46</v>
      </c>
      <c r="D74" s="54"/>
      <c r="E74" s="54">
        <v>0</v>
      </c>
      <c r="F74" s="54">
        <v>0</v>
      </c>
    </row>
    <row r="75" spans="2:6" x14ac:dyDescent="0.3">
      <c r="B75" t="s">
        <v>92</v>
      </c>
      <c r="C75" t="s">
        <v>46</v>
      </c>
      <c r="D75" s="54"/>
      <c r="E75" s="54">
        <v>730</v>
      </c>
      <c r="F75" s="54">
        <v>730</v>
      </c>
    </row>
    <row r="76" spans="2:6" x14ac:dyDescent="0.3">
      <c r="B76" t="s">
        <v>1899</v>
      </c>
      <c r="C76" t="s">
        <v>46</v>
      </c>
      <c r="D76" s="54"/>
      <c r="E76" s="54">
        <f>4911-730+71</f>
        <v>4252</v>
      </c>
      <c r="F76" s="54">
        <f>5434-730+81</f>
        <v>4785</v>
      </c>
    </row>
    <row r="77" spans="2:6" x14ac:dyDescent="0.3">
      <c r="B77" t="s">
        <v>94</v>
      </c>
      <c r="C77" t="s">
        <v>46</v>
      </c>
      <c r="D77" s="54" t="s">
        <v>1804</v>
      </c>
      <c r="E77" s="54"/>
      <c r="F77" s="54"/>
    </row>
    <row r="78" spans="2:6" x14ac:dyDescent="0.3">
      <c r="B78" t="s">
        <v>1900</v>
      </c>
      <c r="C78" t="s">
        <v>46</v>
      </c>
      <c r="D78" s="54"/>
      <c r="E78" s="54">
        <v>0</v>
      </c>
      <c r="F78" s="54">
        <v>0</v>
      </c>
    </row>
    <row r="79" spans="2:6" x14ac:dyDescent="0.3">
      <c r="B79" t="s">
        <v>95</v>
      </c>
      <c r="C79" t="s">
        <v>46</v>
      </c>
      <c r="D79" s="54"/>
      <c r="E79" s="54">
        <v>0</v>
      </c>
      <c r="F79" s="54">
        <v>0</v>
      </c>
    </row>
    <row r="80" spans="2:6" x14ac:dyDescent="0.3">
      <c r="B80" t="s">
        <v>96</v>
      </c>
      <c r="C80" t="s">
        <v>46</v>
      </c>
      <c r="D80" s="54"/>
      <c r="E80" s="54">
        <v>20646</v>
      </c>
      <c r="F80" s="54">
        <v>27263</v>
      </c>
    </row>
    <row r="81" spans="2:16" x14ac:dyDescent="0.3">
      <c r="B81" t="s">
        <v>97</v>
      </c>
      <c r="C81" t="s">
        <v>46</v>
      </c>
      <c r="D81" s="54"/>
      <c r="E81" s="54">
        <v>560</v>
      </c>
      <c r="F81" s="54">
        <v>395</v>
      </c>
    </row>
    <row r="82" spans="2:16" x14ac:dyDescent="0.3">
      <c r="B82" t="s">
        <v>1901</v>
      </c>
      <c r="C82" t="s">
        <v>46</v>
      </c>
      <c r="D82" s="54" t="s">
        <v>1804</v>
      </c>
      <c r="E82" s="54"/>
      <c r="F82" s="54"/>
    </row>
    <row r="83" spans="2:16" x14ac:dyDescent="0.3">
      <c r="B83" t="s">
        <v>98</v>
      </c>
      <c r="C83" t="s">
        <v>46</v>
      </c>
      <c r="D83" s="54"/>
      <c r="E83" s="54">
        <v>0</v>
      </c>
      <c r="F83" s="54">
        <v>0</v>
      </c>
    </row>
    <row r="88" spans="2:16" ht="15.6" x14ac:dyDescent="0.3">
      <c r="B88" s="140" t="s">
        <v>1902</v>
      </c>
      <c r="C88" s="140"/>
      <c r="D88" s="140"/>
      <c r="E88" s="140"/>
      <c r="F88" s="140"/>
      <c r="G88" s="140"/>
      <c r="H88" s="140"/>
      <c r="I88" s="140"/>
      <c r="J88" s="140"/>
      <c r="K88" s="140"/>
      <c r="L88" s="140"/>
      <c r="M88" s="140"/>
      <c r="N88" s="140"/>
      <c r="O88" s="140"/>
      <c r="P88" s="140"/>
    </row>
    <row r="90" spans="2:16" x14ac:dyDescent="0.3">
      <c r="B90" t="s">
        <v>1903</v>
      </c>
      <c r="C90" t="s">
        <v>46</v>
      </c>
      <c r="D90" s="54">
        <v>1395</v>
      </c>
      <c r="E90" s="54">
        <v>1281</v>
      </c>
      <c r="F90" s="54">
        <f>1202*4/3-331</f>
        <v>1271.6666666666667</v>
      </c>
    </row>
    <row r="91" spans="2:16" x14ac:dyDescent="0.3">
      <c r="B91" t="s">
        <v>53</v>
      </c>
      <c r="C91" t="s">
        <v>46</v>
      </c>
      <c r="D91" s="54" t="s">
        <v>1804</v>
      </c>
      <c r="E91" s="54"/>
      <c r="F91" s="54"/>
    </row>
    <row r="92" spans="2:16" x14ac:dyDescent="0.3">
      <c r="B92" t="s">
        <v>1904</v>
      </c>
      <c r="C92" t="s">
        <v>46</v>
      </c>
      <c r="D92" s="54">
        <v>-3064</v>
      </c>
      <c r="E92" s="54">
        <v>3980</v>
      </c>
      <c r="F92" s="54">
        <v>-5550</v>
      </c>
    </row>
    <row r="93" spans="2:16" x14ac:dyDescent="0.3">
      <c r="B93" t="s">
        <v>106</v>
      </c>
      <c r="C93" t="s">
        <v>46</v>
      </c>
      <c r="D93" s="54">
        <v>2648</v>
      </c>
      <c r="E93" s="54">
        <v>2783</v>
      </c>
      <c r="F93" s="54">
        <f>2579+860</f>
        <v>3439</v>
      </c>
    </row>
    <row r="94" spans="2:16" x14ac:dyDescent="0.3">
      <c r="B94" t="s">
        <v>107</v>
      </c>
      <c r="C94" t="s">
        <v>46</v>
      </c>
      <c r="D94" s="54">
        <v>-330</v>
      </c>
      <c r="E94" s="54">
        <v>-308</v>
      </c>
      <c r="F94" s="54">
        <f>-933+61-149-52</f>
        <v>-1073</v>
      </c>
    </row>
    <row r="95" spans="2:16" x14ac:dyDescent="0.3">
      <c r="B95" t="s">
        <v>108</v>
      </c>
      <c r="C95" t="s">
        <v>46</v>
      </c>
      <c r="D95" s="54" t="s">
        <v>1804</v>
      </c>
      <c r="E95" s="54"/>
      <c r="F95" s="54"/>
    </row>
    <row r="96" spans="2:16" x14ac:dyDescent="0.3">
      <c r="B96" t="s">
        <v>109</v>
      </c>
      <c r="C96" t="s">
        <v>46</v>
      </c>
      <c r="D96" s="54">
        <v>12202</v>
      </c>
      <c r="E96" s="54">
        <v>14012</v>
      </c>
      <c r="F96" s="54">
        <f>8405+(1426+401+860)</f>
        <v>11092</v>
      </c>
    </row>
    <row r="97" spans="2:6" x14ac:dyDescent="0.3">
      <c r="D97" s="54"/>
      <c r="E97" s="54"/>
      <c r="F97" s="54"/>
    </row>
    <row r="98" spans="2:6" x14ac:dyDescent="0.3">
      <c r="B98" t="s">
        <v>110</v>
      </c>
      <c r="C98" t="s">
        <v>46</v>
      </c>
      <c r="D98" s="54">
        <v>-1041</v>
      </c>
      <c r="E98" s="54">
        <v>-1192</v>
      </c>
      <c r="F98" s="54">
        <f>-(1578+526)</f>
        <v>-2104</v>
      </c>
    </row>
    <row r="99" spans="2:6" x14ac:dyDescent="0.3">
      <c r="B99" t="s">
        <v>111</v>
      </c>
      <c r="C99" t="s">
        <v>46</v>
      </c>
      <c r="D99" s="54">
        <v>-5323</v>
      </c>
      <c r="E99" s="54">
        <v>-5437</v>
      </c>
      <c r="F99" s="54">
        <f>-(2449+1573)</f>
        <v>-4022</v>
      </c>
    </row>
    <row r="100" spans="2:6" x14ac:dyDescent="0.3">
      <c r="B100" t="s">
        <v>112</v>
      </c>
      <c r="C100" t="s">
        <v>46</v>
      </c>
      <c r="D100" s="54">
        <v>2677</v>
      </c>
      <c r="E100" s="54">
        <v>5755</v>
      </c>
      <c r="F100" s="54">
        <v>3896</v>
      </c>
    </row>
    <row r="101" spans="2:6" x14ac:dyDescent="0.3">
      <c r="B101" t="s">
        <v>113</v>
      </c>
      <c r="C101" t="s">
        <v>46</v>
      </c>
      <c r="D101" s="54" t="s">
        <v>1804</v>
      </c>
      <c r="E101" s="54"/>
      <c r="F101" s="54"/>
    </row>
    <row r="102" spans="2:6" x14ac:dyDescent="0.3">
      <c r="B102" t="s">
        <v>114</v>
      </c>
      <c r="C102" t="s">
        <v>46</v>
      </c>
      <c r="D102" s="54">
        <v>-3623</v>
      </c>
      <c r="E102" s="54">
        <v>-800</v>
      </c>
      <c r="F102" s="54">
        <f>-1648-526</f>
        <v>-2174</v>
      </c>
    </row>
    <row r="103" spans="2:6" x14ac:dyDescent="0.3">
      <c r="D103" s="54"/>
      <c r="E103" s="54"/>
      <c r="F103" s="54"/>
    </row>
    <row r="104" spans="2:6" x14ac:dyDescent="0.3">
      <c r="B104" t="s">
        <v>115</v>
      </c>
      <c r="C104" t="s">
        <v>46</v>
      </c>
      <c r="D104" s="54">
        <v>383</v>
      </c>
      <c r="E104" s="54">
        <v>404</v>
      </c>
      <c r="F104" s="54">
        <v>223</v>
      </c>
    </row>
    <row r="105" spans="2:6" x14ac:dyDescent="0.3">
      <c r="B105" t="s">
        <v>116</v>
      </c>
      <c r="C105" t="s">
        <v>46</v>
      </c>
      <c r="D105" s="54">
        <v>-4121</v>
      </c>
      <c r="E105" s="54">
        <v>-8791</v>
      </c>
      <c r="F105" s="54">
        <f>-(6806+1400)</f>
        <v>-8206</v>
      </c>
    </row>
    <row r="106" spans="2:6" x14ac:dyDescent="0.3">
      <c r="B106" t="s">
        <v>117</v>
      </c>
      <c r="C106" t="s">
        <v>46</v>
      </c>
      <c r="D106" s="54">
        <v>-932</v>
      </c>
      <c r="E106" s="54">
        <v>-1115</v>
      </c>
      <c r="F106" s="54">
        <v>-888</v>
      </c>
    </row>
    <row r="107" spans="2:6" x14ac:dyDescent="0.3">
      <c r="B107" t="s">
        <v>1905</v>
      </c>
      <c r="C107" t="s">
        <v>46</v>
      </c>
      <c r="D107" s="54">
        <v>0</v>
      </c>
      <c r="E107" s="54">
        <v>0</v>
      </c>
      <c r="F107" s="54">
        <v>0</v>
      </c>
    </row>
    <row r="108" spans="2:6" x14ac:dyDescent="0.3">
      <c r="B108" t="s">
        <v>118</v>
      </c>
      <c r="C108" t="s">
        <v>46</v>
      </c>
      <c r="D108" s="54">
        <v>-3687</v>
      </c>
      <c r="E108" s="54">
        <v>-3805</v>
      </c>
      <c r="F108" s="54">
        <f>-(2868+937)</f>
        <v>-3805</v>
      </c>
    </row>
    <row r="109" spans="2:6" x14ac:dyDescent="0.3">
      <c r="B109" t="s">
        <v>1906</v>
      </c>
      <c r="C109" t="s">
        <v>46</v>
      </c>
      <c r="D109" s="54">
        <v>0</v>
      </c>
      <c r="E109" s="54">
        <v>0</v>
      </c>
      <c r="F109" s="54">
        <f>3238-2743</f>
        <v>495</v>
      </c>
    </row>
    <row r="110" spans="2:6" x14ac:dyDescent="0.3">
      <c r="B110" t="s">
        <v>1907</v>
      </c>
      <c r="C110" t="s">
        <v>46</v>
      </c>
      <c r="D110" s="54">
        <v>0</v>
      </c>
      <c r="E110" s="54">
        <v>0</v>
      </c>
      <c r="F110" s="54">
        <v>0</v>
      </c>
    </row>
    <row r="111" spans="2:6" x14ac:dyDescent="0.3">
      <c r="B111" t="s">
        <v>121</v>
      </c>
      <c r="C111" t="s">
        <v>46</v>
      </c>
      <c r="D111" s="54">
        <v>0</v>
      </c>
      <c r="E111" s="54">
        <v>1487</v>
      </c>
      <c r="F111" s="54">
        <v>0</v>
      </c>
    </row>
    <row r="112" spans="2:6" x14ac:dyDescent="0.3">
      <c r="B112" t="s">
        <v>122</v>
      </c>
      <c r="C112" t="s">
        <v>46</v>
      </c>
      <c r="D112" s="54">
        <v>-914</v>
      </c>
      <c r="E112" s="54">
        <v>-1365</v>
      </c>
      <c r="F112" s="54">
        <v>-174</v>
      </c>
    </row>
    <row r="113" spans="2:16" x14ac:dyDescent="0.3">
      <c r="B113" t="s">
        <v>123</v>
      </c>
      <c r="C113" t="s">
        <v>46</v>
      </c>
      <c r="D113" s="54">
        <v>2</v>
      </c>
      <c r="E113" s="54">
        <v>-11</v>
      </c>
      <c r="F113" s="54">
        <v>-28</v>
      </c>
    </row>
    <row r="114" spans="2:16" x14ac:dyDescent="0.3">
      <c r="B114" t="s">
        <v>124</v>
      </c>
      <c r="C114" t="s">
        <v>46</v>
      </c>
      <c r="D114" s="54" t="s">
        <v>1804</v>
      </c>
      <c r="E114" s="54"/>
      <c r="F114" s="54"/>
    </row>
    <row r="115" spans="2:16" x14ac:dyDescent="0.3">
      <c r="B115" t="s">
        <v>125</v>
      </c>
      <c r="C115" t="s">
        <v>46</v>
      </c>
      <c r="D115" s="54"/>
      <c r="E115" s="54">
        <v>-13196</v>
      </c>
      <c r="F115" s="54">
        <f>-10046-2337</f>
        <v>-12383</v>
      </c>
    </row>
    <row r="119" spans="2:16" ht="15.6" x14ac:dyDescent="0.3">
      <c r="B119" s="140" t="s">
        <v>1908</v>
      </c>
      <c r="C119" s="140"/>
      <c r="D119" s="140"/>
      <c r="E119" s="140"/>
      <c r="F119" s="140"/>
      <c r="G119" s="140"/>
      <c r="H119" s="140"/>
      <c r="I119" s="140"/>
      <c r="J119" s="140"/>
      <c r="K119" s="140"/>
      <c r="L119" s="140"/>
      <c r="M119" s="140"/>
      <c r="N119" s="140"/>
      <c r="O119" s="140"/>
      <c r="P119" s="140"/>
    </row>
    <row r="121" spans="2:16" x14ac:dyDescent="0.3">
      <c r="B121" t="s">
        <v>1909</v>
      </c>
      <c r="C121" t="s">
        <v>46</v>
      </c>
      <c r="D121" s="54"/>
      <c r="E121" s="54">
        <v>14811</v>
      </c>
      <c r="F121" s="54">
        <v>15270</v>
      </c>
    </row>
    <row r="122" spans="2:16" x14ac:dyDescent="0.3">
      <c r="B122" t="s">
        <v>129</v>
      </c>
      <c r="C122" t="s">
        <v>46</v>
      </c>
      <c r="D122" s="54" t="s">
        <v>1804</v>
      </c>
      <c r="E122" s="54"/>
      <c r="F122" s="54"/>
    </row>
    <row r="123" spans="2:16" x14ac:dyDescent="0.3">
      <c r="B123" t="s">
        <v>130</v>
      </c>
      <c r="C123" t="s">
        <v>46</v>
      </c>
      <c r="D123" s="54"/>
      <c r="E123" s="54">
        <v>0</v>
      </c>
      <c r="F123" s="54">
        <v>0</v>
      </c>
    </row>
    <row r="124" spans="2:16" x14ac:dyDescent="0.3">
      <c r="B124" t="s">
        <v>131</v>
      </c>
      <c r="C124" t="s">
        <v>46</v>
      </c>
      <c r="D124" s="54"/>
      <c r="E124" s="54">
        <v>832</v>
      </c>
      <c r="F124" s="54">
        <v>832</v>
      </c>
    </row>
    <row r="125" spans="2:16" x14ac:dyDescent="0.3">
      <c r="B125" t="s">
        <v>132</v>
      </c>
      <c r="C125" t="s">
        <v>23</v>
      </c>
      <c r="D125" s="51"/>
      <c r="E125" s="51">
        <v>0.05</v>
      </c>
      <c r="F125" s="51">
        <v>0.05</v>
      </c>
    </row>
    <row r="126" spans="2:16" x14ac:dyDescent="0.3">
      <c r="B126" t="s">
        <v>133</v>
      </c>
      <c r="C126" t="s">
        <v>46</v>
      </c>
      <c r="D126" s="54">
        <v>184</v>
      </c>
      <c r="E126" s="54">
        <v>184</v>
      </c>
      <c r="F126" s="54">
        <v>184</v>
      </c>
    </row>
    <row r="127" spans="2:16" x14ac:dyDescent="0.3">
      <c r="B127" t="s">
        <v>134</v>
      </c>
      <c r="C127" t="s">
        <v>46</v>
      </c>
      <c r="D127" s="54">
        <v>0</v>
      </c>
      <c r="E127" s="54">
        <v>0</v>
      </c>
      <c r="F127" s="54">
        <v>0</v>
      </c>
    </row>
    <row r="128" spans="2:16" x14ac:dyDescent="0.3">
      <c r="B128" t="s">
        <v>1910</v>
      </c>
      <c r="C128" t="s">
        <v>46</v>
      </c>
      <c r="D128" s="54"/>
      <c r="E128" s="54"/>
      <c r="F128" s="54">
        <v>40000</v>
      </c>
    </row>
    <row r="129" spans="2:6" x14ac:dyDescent="0.3">
      <c r="B129" t="s">
        <v>135</v>
      </c>
      <c r="C129" t="s">
        <v>69</v>
      </c>
      <c r="D129" s="218"/>
      <c r="E129" s="218">
        <v>1074</v>
      </c>
      <c r="F129" s="218">
        <v>1057</v>
      </c>
    </row>
    <row r="130" spans="2:6" x14ac:dyDescent="0.3">
      <c r="B130" t="s">
        <v>283</v>
      </c>
      <c r="C130" t="s">
        <v>46</v>
      </c>
      <c r="D130" s="54"/>
      <c r="E130" s="54">
        <v>0</v>
      </c>
      <c r="F130" s="54">
        <v>0</v>
      </c>
    </row>
    <row r="131" spans="2:6" x14ac:dyDescent="0.3">
      <c r="B131" s="3" t="s">
        <v>1911</v>
      </c>
    </row>
    <row r="132" spans="2:6" x14ac:dyDescent="0.3">
      <c r="B132" t="s">
        <v>1912</v>
      </c>
      <c r="C132" t="s">
        <v>69</v>
      </c>
      <c r="F132" s="224">
        <v>3.75</v>
      </c>
    </row>
    <row r="133" spans="2:6" x14ac:dyDescent="0.3">
      <c r="B133" t="s">
        <v>1913</v>
      </c>
      <c r="C133" t="s">
        <v>66</v>
      </c>
      <c r="F133" s="224">
        <v>161.26</v>
      </c>
    </row>
    <row r="134" spans="2:6" x14ac:dyDescent="0.3">
      <c r="B134" t="s">
        <v>1914</v>
      </c>
      <c r="C134" t="s">
        <v>69</v>
      </c>
      <c r="F134" s="224">
        <v>25</v>
      </c>
    </row>
    <row r="135" spans="2:6" x14ac:dyDescent="0.3">
      <c r="B135" t="s">
        <v>1915</v>
      </c>
      <c r="C135" t="s">
        <v>46</v>
      </c>
      <c r="F135" s="218">
        <v>1379</v>
      </c>
    </row>
    <row r="136" spans="2:6" x14ac:dyDescent="0.3">
      <c r="B136" t="s">
        <v>1916</v>
      </c>
      <c r="C136" t="s">
        <v>23</v>
      </c>
      <c r="F136" s="86">
        <v>0.13</v>
      </c>
    </row>
    <row r="137" spans="2:6" x14ac:dyDescent="0.3">
      <c r="B137" t="s">
        <v>1917</v>
      </c>
      <c r="C137" t="s">
        <v>69</v>
      </c>
      <c r="F137" s="225">
        <f>IF($C$13&gt;F133,F132*(1-F133/$C$13),0)</f>
        <v>0.69999243455893501</v>
      </c>
    </row>
    <row r="138" spans="2:6" x14ac:dyDescent="0.3">
      <c r="B138" t="s">
        <v>2146</v>
      </c>
      <c r="C138" t="s">
        <v>69</v>
      </c>
      <c r="F138" s="42">
        <v>18</v>
      </c>
    </row>
    <row r="160" spans="2:2" x14ac:dyDescent="0.3">
      <c r="B160" t="s">
        <v>1805</v>
      </c>
    </row>
    <row r="161" spans="2:16" x14ac:dyDescent="0.3">
      <c r="B161" t="s">
        <v>1806</v>
      </c>
      <c r="C161" t="s">
        <v>46</v>
      </c>
      <c r="F161" s="54">
        <v>0</v>
      </c>
    </row>
    <row r="163" spans="2:16" ht="15.6" x14ac:dyDescent="0.3">
      <c r="B163" s="140" t="s">
        <v>1807</v>
      </c>
      <c r="C163" s="140"/>
      <c r="D163" s="140"/>
      <c r="E163" s="140"/>
      <c r="F163" s="140"/>
      <c r="G163" s="140"/>
      <c r="H163" s="140"/>
      <c r="I163" s="140"/>
      <c r="J163" s="140"/>
      <c r="K163" s="140"/>
      <c r="L163" s="140"/>
      <c r="M163" s="140"/>
      <c r="N163" s="140"/>
      <c r="O163" s="140"/>
      <c r="P163" s="140"/>
    </row>
    <row r="165" spans="2:16" x14ac:dyDescent="0.3">
      <c r="B165" t="s">
        <v>1918</v>
      </c>
      <c r="C165" t="s">
        <v>23</v>
      </c>
      <c r="G165" s="51">
        <v>0.6</v>
      </c>
      <c r="H165" s="51">
        <v>0.33</v>
      </c>
      <c r="I165" s="51">
        <v>0.22</v>
      </c>
      <c r="J165" s="51">
        <v>0.15</v>
      </c>
      <c r="K165" s="51">
        <v>0.12</v>
      </c>
      <c r="L165" s="51">
        <v>0.1</v>
      </c>
      <c r="M165" s="51">
        <v>0.08</v>
      </c>
      <c r="N165" s="51">
        <v>0.06</v>
      </c>
      <c r="O165" s="51">
        <v>0.05</v>
      </c>
      <c r="P165" s="51">
        <v>0.04</v>
      </c>
    </row>
    <row r="166" spans="2:16" x14ac:dyDescent="0.3">
      <c r="B166" t="s">
        <v>1919</v>
      </c>
      <c r="C166" t="s">
        <v>23</v>
      </c>
      <c r="G166" s="51">
        <v>-0.15</v>
      </c>
      <c r="H166" s="51">
        <v>0.02</v>
      </c>
      <c r="I166" s="51">
        <v>0.03</v>
      </c>
      <c r="J166" s="51">
        <v>0.02</v>
      </c>
      <c r="K166" s="51">
        <v>0.02</v>
      </c>
      <c r="L166" s="51">
        <v>0.02</v>
      </c>
      <c r="M166" s="51">
        <v>0.02</v>
      </c>
      <c r="N166" s="51">
        <v>0.02</v>
      </c>
      <c r="O166" s="51">
        <v>2.5000000000000001E-2</v>
      </c>
      <c r="P166" s="51">
        <v>2.5000000000000001E-2</v>
      </c>
    </row>
    <row r="167" spans="2:16" x14ac:dyDescent="0.3">
      <c r="B167" t="s">
        <v>1920</v>
      </c>
      <c r="C167" t="s">
        <v>23</v>
      </c>
      <c r="G167" s="51">
        <v>-0.02</v>
      </c>
      <c r="H167" s="51">
        <v>-0.02</v>
      </c>
      <c r="I167" s="51">
        <v>0</v>
      </c>
      <c r="J167" s="51">
        <v>0.01</v>
      </c>
      <c r="K167" s="51">
        <v>0.01</v>
      </c>
      <c r="L167" s="51">
        <v>0.01</v>
      </c>
      <c r="M167" s="51">
        <v>1.4999999999999999E-2</v>
      </c>
      <c r="N167" s="51">
        <v>1.4999999999999999E-2</v>
      </c>
      <c r="O167" s="51">
        <v>0.02</v>
      </c>
      <c r="P167" s="51">
        <v>0.02</v>
      </c>
    </row>
    <row r="168" spans="2:16" x14ac:dyDescent="0.3">
      <c r="B168" t="s">
        <v>1921</v>
      </c>
      <c r="C168" t="s">
        <v>23</v>
      </c>
      <c r="G168" s="51">
        <v>0.22</v>
      </c>
      <c r="H168" s="51">
        <v>0.17</v>
      </c>
      <c r="I168" s="51">
        <v>0.15</v>
      </c>
      <c r="J168" s="51">
        <v>0.13</v>
      </c>
      <c r="K168" s="51">
        <v>0.11</v>
      </c>
      <c r="L168" s="51">
        <v>0.09</v>
      </c>
      <c r="M168" s="51">
        <v>0.08</v>
      </c>
      <c r="N168" s="51">
        <v>7.0000000000000007E-2</v>
      </c>
      <c r="O168" s="51">
        <v>0.06</v>
      </c>
      <c r="P168" s="51">
        <v>0.05</v>
      </c>
    </row>
    <row r="169" spans="2:16" x14ac:dyDescent="0.3">
      <c r="B169" t="s">
        <v>50</v>
      </c>
      <c r="C169" t="s">
        <v>23</v>
      </c>
      <c r="G169" s="53">
        <v>0.54500000000000004</v>
      </c>
      <c r="H169" s="53">
        <v>0.55000000000000004</v>
      </c>
      <c r="I169" s="53">
        <v>0.55500000000000005</v>
      </c>
      <c r="J169" s="53">
        <v>0.55500000000000005</v>
      </c>
      <c r="K169" s="53">
        <v>0.55500000000000005</v>
      </c>
      <c r="L169" s="53">
        <v>0.55500000000000005</v>
      </c>
      <c r="M169" s="53">
        <v>0.55500000000000005</v>
      </c>
      <c r="N169" s="53">
        <v>0.55500000000000005</v>
      </c>
      <c r="O169" s="53">
        <v>0.55500000000000005</v>
      </c>
      <c r="P169" s="53">
        <v>0.55500000000000005</v>
      </c>
    </row>
    <row r="170" spans="2:16" x14ac:dyDescent="0.3">
      <c r="B170" t="s">
        <v>1922</v>
      </c>
      <c r="C170" t="s">
        <v>23</v>
      </c>
      <c r="G170" s="51">
        <v>8.5000000000000006E-2</v>
      </c>
      <c r="H170" s="51">
        <v>0.08</v>
      </c>
      <c r="I170" s="51">
        <v>7.6999999999999999E-2</v>
      </c>
      <c r="J170" s="51">
        <v>7.4999999999999997E-2</v>
      </c>
      <c r="K170" s="51">
        <v>7.2999999999999995E-2</v>
      </c>
      <c r="L170" s="51">
        <v>7.1999999999999995E-2</v>
      </c>
      <c r="M170" s="51">
        <v>7.0999999999999994E-2</v>
      </c>
      <c r="N170" s="51">
        <v>7.0999999999999994E-2</v>
      </c>
      <c r="O170" s="51">
        <v>7.0999999999999994E-2</v>
      </c>
      <c r="P170" s="51">
        <v>7.0999999999999994E-2</v>
      </c>
    </row>
    <row r="171" spans="2:16" x14ac:dyDescent="0.3">
      <c r="B171" t="s">
        <v>1808</v>
      </c>
      <c r="C171" t="s">
        <v>23</v>
      </c>
      <c r="G171" s="51">
        <v>0.23499999999999999</v>
      </c>
      <c r="H171" s="51">
        <v>0.22500000000000001</v>
      </c>
      <c r="I171" s="51">
        <v>0.215</v>
      </c>
      <c r="J171" s="51">
        <v>0.21</v>
      </c>
      <c r="K171" s="51">
        <v>0.20699999999999999</v>
      </c>
      <c r="L171" s="51">
        <v>0.20499999999999999</v>
      </c>
      <c r="M171" s="51">
        <v>0.20499999999999999</v>
      </c>
      <c r="N171" s="51">
        <v>0.20499999999999999</v>
      </c>
      <c r="O171" s="51">
        <v>0.20499999999999999</v>
      </c>
      <c r="P171" s="51">
        <v>0.20499999999999999</v>
      </c>
    </row>
    <row r="172" spans="2:16" x14ac:dyDescent="0.3">
      <c r="B172" t="s">
        <v>1923</v>
      </c>
      <c r="C172" t="s">
        <v>23</v>
      </c>
      <c r="G172" s="51">
        <v>0</v>
      </c>
      <c r="H172" s="51">
        <v>0</v>
      </c>
      <c r="I172" s="51">
        <v>0</v>
      </c>
      <c r="J172" s="51">
        <v>0</v>
      </c>
      <c r="K172" s="51">
        <v>0</v>
      </c>
      <c r="L172" s="51">
        <v>0</v>
      </c>
      <c r="M172" s="51">
        <v>0</v>
      </c>
      <c r="N172" s="51">
        <v>0</v>
      </c>
      <c r="O172" s="51">
        <v>0</v>
      </c>
      <c r="P172" s="51">
        <v>0</v>
      </c>
    </row>
    <row r="173" spans="2:16" x14ac:dyDescent="0.3">
      <c r="B173" t="s">
        <v>251</v>
      </c>
      <c r="C173" t="s">
        <v>46</v>
      </c>
      <c r="G173" s="54">
        <v>430</v>
      </c>
      <c r="H173" s="54">
        <v>350</v>
      </c>
      <c r="I173" s="54">
        <v>280</v>
      </c>
      <c r="J173" s="54">
        <v>210</v>
      </c>
      <c r="K173" s="54">
        <v>140</v>
      </c>
      <c r="L173" s="54">
        <v>100</v>
      </c>
      <c r="M173" s="54">
        <v>0</v>
      </c>
      <c r="N173" s="54">
        <v>0</v>
      </c>
      <c r="O173" s="54">
        <v>0</v>
      </c>
      <c r="P173" s="54">
        <v>0</v>
      </c>
    </row>
    <row r="174" spans="2:16" x14ac:dyDescent="0.3">
      <c r="B174" t="s">
        <v>1924</v>
      </c>
      <c r="C174" t="s">
        <v>46</v>
      </c>
      <c r="G174" s="54">
        <v>100</v>
      </c>
      <c r="H174" s="54">
        <v>100</v>
      </c>
      <c r="I174" s="54">
        <v>100</v>
      </c>
      <c r="J174" s="54">
        <v>100</v>
      </c>
      <c r="K174" s="54">
        <v>100</v>
      </c>
      <c r="L174" s="54">
        <v>100</v>
      </c>
      <c r="M174" s="54">
        <v>100</v>
      </c>
      <c r="N174" s="54">
        <v>100</v>
      </c>
      <c r="O174" s="54">
        <v>100</v>
      </c>
      <c r="P174" s="54">
        <v>100</v>
      </c>
    </row>
    <row r="175" spans="2:16" x14ac:dyDescent="0.3">
      <c r="B175" t="s">
        <v>143</v>
      </c>
      <c r="C175" t="s">
        <v>23</v>
      </c>
      <c r="G175" s="53">
        <v>4.4999999999999998E-2</v>
      </c>
      <c r="H175" s="53">
        <v>3.7999999999999999E-2</v>
      </c>
      <c r="I175" s="53">
        <v>3.4000000000000002E-2</v>
      </c>
      <c r="J175" s="53">
        <v>0.03</v>
      </c>
      <c r="K175" s="53">
        <v>0.03</v>
      </c>
      <c r="L175" s="53">
        <v>0.03</v>
      </c>
      <c r="M175" s="53">
        <v>0.03</v>
      </c>
      <c r="N175" s="53">
        <v>0.03</v>
      </c>
      <c r="O175" s="53">
        <v>0.03</v>
      </c>
      <c r="P175" s="53">
        <v>0.03</v>
      </c>
    </row>
    <row r="176" spans="2:16" x14ac:dyDescent="0.3">
      <c r="B176" t="s">
        <v>1809</v>
      </c>
      <c r="C176" t="s">
        <v>149</v>
      </c>
      <c r="G176" s="45">
        <v>38</v>
      </c>
      <c r="H176" s="45">
        <v>38</v>
      </c>
      <c r="I176" s="45">
        <v>38</v>
      </c>
      <c r="J176" s="45">
        <v>38</v>
      </c>
      <c r="K176" s="45">
        <v>38</v>
      </c>
      <c r="L176" s="45">
        <v>38</v>
      </c>
      <c r="M176" s="45">
        <v>38</v>
      </c>
      <c r="N176" s="45">
        <v>38</v>
      </c>
      <c r="O176" s="45">
        <v>38</v>
      </c>
      <c r="P176" s="45">
        <v>38</v>
      </c>
    </row>
    <row r="177" spans="2:16" x14ac:dyDescent="0.3">
      <c r="B177" t="s">
        <v>261</v>
      </c>
      <c r="C177" t="s">
        <v>23</v>
      </c>
      <c r="G177" s="51">
        <v>0.13400000000000001</v>
      </c>
      <c r="H177" s="51">
        <v>0.13400000000000001</v>
      </c>
      <c r="I177" s="51">
        <v>0.13400000000000001</v>
      </c>
      <c r="J177" s="51">
        <v>0.13400000000000001</v>
      </c>
      <c r="K177" s="51">
        <v>0.13400000000000001</v>
      </c>
      <c r="L177" s="51">
        <v>0.13400000000000001</v>
      </c>
      <c r="M177" s="51">
        <v>0.13400000000000001</v>
      </c>
      <c r="N177" s="51">
        <v>0.13400000000000001</v>
      </c>
      <c r="O177" s="51">
        <v>0.13400000000000001</v>
      </c>
      <c r="P177" s="51">
        <v>0.13400000000000001</v>
      </c>
    </row>
    <row r="178" spans="2:16" x14ac:dyDescent="0.3">
      <c r="B178" t="s">
        <v>151</v>
      </c>
      <c r="C178" t="s">
        <v>23</v>
      </c>
      <c r="G178" s="51">
        <v>7.0000000000000001E-3</v>
      </c>
      <c r="H178" s="51">
        <v>7.0000000000000001E-3</v>
      </c>
      <c r="I178" s="51">
        <v>7.0000000000000001E-3</v>
      </c>
      <c r="J178" s="51">
        <v>7.0000000000000001E-3</v>
      </c>
      <c r="K178" s="51">
        <v>7.0000000000000001E-3</v>
      </c>
      <c r="L178" s="51">
        <v>7.0000000000000001E-3</v>
      </c>
      <c r="M178" s="51">
        <v>7.0000000000000001E-3</v>
      </c>
      <c r="N178" s="51">
        <v>7.0000000000000001E-3</v>
      </c>
      <c r="O178" s="51">
        <v>7.0000000000000001E-3</v>
      </c>
      <c r="P178" s="51">
        <v>7.0000000000000001E-3</v>
      </c>
    </row>
    <row r="179" spans="2:16" x14ac:dyDescent="0.3">
      <c r="B179" t="s">
        <v>1925</v>
      </c>
      <c r="C179" t="s">
        <v>23</v>
      </c>
      <c r="G179" s="51">
        <v>0.21</v>
      </c>
      <c r="H179" s="51">
        <v>0.2</v>
      </c>
      <c r="I179" s="51">
        <v>0.2</v>
      </c>
      <c r="J179" s="51">
        <v>0.2</v>
      </c>
      <c r="K179" s="51">
        <v>0.2</v>
      </c>
      <c r="L179" s="51">
        <v>0.2</v>
      </c>
      <c r="M179" s="51">
        <v>0.2</v>
      </c>
      <c r="N179" s="51">
        <v>0.2</v>
      </c>
      <c r="O179" s="51">
        <v>0.2</v>
      </c>
      <c r="P179" s="51">
        <v>0.2</v>
      </c>
    </row>
    <row r="180" spans="2:16" x14ac:dyDescent="0.3">
      <c r="B180" t="s">
        <v>1926</v>
      </c>
      <c r="C180" t="s">
        <v>23</v>
      </c>
      <c r="G180" s="51">
        <v>3.7999999999999999E-2</v>
      </c>
      <c r="H180" s="51">
        <v>3.7999999999999999E-2</v>
      </c>
      <c r="I180" s="51">
        <v>3.7999999999999999E-2</v>
      </c>
      <c r="J180" s="51">
        <v>3.7999999999999999E-2</v>
      </c>
      <c r="K180" s="51">
        <v>3.7999999999999999E-2</v>
      </c>
      <c r="L180" s="51">
        <v>3.7999999999999999E-2</v>
      </c>
      <c r="M180" s="51">
        <v>3.7999999999999999E-2</v>
      </c>
      <c r="N180" s="51">
        <v>3.7999999999999999E-2</v>
      </c>
      <c r="O180" s="51">
        <v>3.7999999999999999E-2</v>
      </c>
      <c r="P180" s="51">
        <v>3.7999999999999999E-2</v>
      </c>
    </row>
    <row r="181" spans="2:16" x14ac:dyDescent="0.3">
      <c r="B181" t="s">
        <v>262</v>
      </c>
      <c r="C181" t="s">
        <v>23</v>
      </c>
      <c r="G181" s="51">
        <v>9.7000000000000003E-2</v>
      </c>
      <c r="H181" s="51">
        <v>9.7000000000000003E-2</v>
      </c>
      <c r="I181" s="51">
        <v>9.7000000000000003E-2</v>
      </c>
      <c r="J181" s="51">
        <v>9.7000000000000003E-2</v>
      </c>
      <c r="K181" s="51">
        <v>9.7000000000000003E-2</v>
      </c>
      <c r="L181" s="51">
        <v>9.7000000000000003E-2</v>
      </c>
      <c r="M181" s="51">
        <v>9.7000000000000003E-2</v>
      </c>
      <c r="N181" s="51">
        <v>9.7000000000000003E-2</v>
      </c>
      <c r="O181" s="51">
        <v>9.7000000000000003E-2</v>
      </c>
      <c r="P181" s="51">
        <v>9.7000000000000003E-2</v>
      </c>
    </row>
    <row r="182" spans="2:16" x14ac:dyDescent="0.3">
      <c r="B182" t="s">
        <v>309</v>
      </c>
      <c r="C182" t="s">
        <v>23</v>
      </c>
      <c r="G182" s="53">
        <v>0.14000000000000001</v>
      </c>
      <c r="H182" s="53">
        <v>0.14499999999999999</v>
      </c>
      <c r="I182" s="53">
        <v>0.15</v>
      </c>
      <c r="J182" s="53">
        <v>0.155</v>
      </c>
      <c r="K182" s="53">
        <v>0.16</v>
      </c>
      <c r="L182" s="53">
        <v>0.16500000000000001</v>
      </c>
      <c r="M182" s="53">
        <v>0.17</v>
      </c>
      <c r="N182" s="53">
        <v>0.17</v>
      </c>
      <c r="O182" s="53">
        <v>0.17</v>
      </c>
      <c r="P182" s="53">
        <v>0.17</v>
      </c>
    </row>
    <row r="183" spans="2:16" x14ac:dyDescent="0.3">
      <c r="B183" t="s">
        <v>1810</v>
      </c>
      <c r="C183" t="s">
        <v>23</v>
      </c>
      <c r="G183" s="51">
        <v>7.4999999999999997E-2</v>
      </c>
      <c r="H183" s="51">
        <v>7.1999999999999995E-2</v>
      </c>
      <c r="I183" s="51">
        <v>7.0000000000000007E-2</v>
      </c>
      <c r="J183" s="51">
        <v>6.8000000000000005E-2</v>
      </c>
      <c r="K183" s="51">
        <v>6.6000000000000003E-2</v>
      </c>
      <c r="L183" s="51">
        <v>6.5000000000000002E-2</v>
      </c>
      <c r="M183" s="51">
        <v>6.4000000000000001E-2</v>
      </c>
      <c r="N183" s="51">
        <v>6.3E-2</v>
      </c>
      <c r="O183" s="51">
        <v>6.2E-2</v>
      </c>
      <c r="P183" s="51">
        <v>0.06</v>
      </c>
    </row>
    <row r="185" spans="2:16" ht="15.6" x14ac:dyDescent="0.3">
      <c r="B185" s="140" t="s">
        <v>1811</v>
      </c>
      <c r="C185" s="140"/>
      <c r="D185" s="140"/>
      <c r="E185" s="140"/>
      <c r="F185" s="140"/>
      <c r="G185" s="140"/>
      <c r="H185" s="140"/>
      <c r="I185" s="140"/>
      <c r="J185" s="140"/>
      <c r="K185" s="140"/>
      <c r="L185" s="140"/>
      <c r="M185" s="140"/>
      <c r="N185" s="140"/>
      <c r="O185" s="140"/>
      <c r="P185" s="140"/>
    </row>
    <row r="186" spans="2:16" x14ac:dyDescent="0.3">
      <c r="B186" t="s">
        <v>1812</v>
      </c>
      <c r="C186" t="s">
        <v>238</v>
      </c>
      <c r="D186" s="219">
        <v>10</v>
      </c>
    </row>
    <row r="187" spans="2:16" x14ac:dyDescent="0.3">
      <c r="B187" t="s">
        <v>1813</v>
      </c>
      <c r="D187" s="219">
        <v>2</v>
      </c>
    </row>
    <row r="188" spans="2:16" x14ac:dyDescent="0.3">
      <c r="B188" t="s">
        <v>1814</v>
      </c>
      <c r="D188" s="219">
        <v>1</v>
      </c>
    </row>
    <row r="189" spans="2:16" x14ac:dyDescent="0.3">
      <c r="B189" t="s">
        <v>256</v>
      </c>
      <c r="C189" t="s">
        <v>238</v>
      </c>
      <c r="D189" s="58">
        <v>4.5</v>
      </c>
    </row>
    <row r="190" spans="2:16" x14ac:dyDescent="0.3">
      <c r="B190" t="s">
        <v>1815</v>
      </c>
      <c r="C190" t="s">
        <v>23</v>
      </c>
      <c r="D190" s="51">
        <v>0.21</v>
      </c>
    </row>
    <row r="191" spans="2:16" x14ac:dyDescent="0.3">
      <c r="B191" t="s">
        <v>353</v>
      </c>
      <c r="C191" t="s">
        <v>23</v>
      </c>
      <c r="D191" s="53">
        <v>0.03</v>
      </c>
    </row>
    <row r="192" spans="2:16" x14ac:dyDescent="0.3">
      <c r="B192" t="s">
        <v>270</v>
      </c>
      <c r="C192" t="s">
        <v>145</v>
      </c>
      <c r="D192" s="43">
        <v>14</v>
      </c>
    </row>
    <row r="193" spans="2:16" x14ac:dyDescent="0.3">
      <c r="B193" t="s">
        <v>1816</v>
      </c>
      <c r="C193" t="s">
        <v>23</v>
      </c>
      <c r="D193" s="51">
        <v>0.04</v>
      </c>
    </row>
    <row r="194" spans="2:16" x14ac:dyDescent="0.3">
      <c r="B194" t="s">
        <v>1817</v>
      </c>
      <c r="C194" t="s">
        <v>23</v>
      </c>
      <c r="D194" s="53">
        <v>0.3</v>
      </c>
    </row>
    <row r="195" spans="2:16" x14ac:dyDescent="0.3">
      <c r="B195" t="s">
        <v>273</v>
      </c>
      <c r="C195" t="s">
        <v>23</v>
      </c>
      <c r="D195" s="51">
        <v>0.02</v>
      </c>
    </row>
    <row r="196" spans="2:16" x14ac:dyDescent="0.3">
      <c r="B196" t="s">
        <v>470</v>
      </c>
      <c r="C196" t="s">
        <v>23</v>
      </c>
      <c r="D196" s="51">
        <v>0.05</v>
      </c>
    </row>
    <row r="197" spans="2:16" x14ac:dyDescent="0.3">
      <c r="B197" t="s">
        <v>471</v>
      </c>
      <c r="C197" t="s">
        <v>23</v>
      </c>
      <c r="D197" s="51">
        <v>0.5</v>
      </c>
    </row>
    <row r="198" spans="2:16" x14ac:dyDescent="0.3">
      <c r="B198" t="s">
        <v>1818</v>
      </c>
      <c r="C198" t="s">
        <v>23</v>
      </c>
      <c r="D198" s="51">
        <v>4.4999999999999998E-2</v>
      </c>
    </row>
    <row r="199" spans="2:16" x14ac:dyDescent="0.3">
      <c r="B199" t="s">
        <v>1819</v>
      </c>
      <c r="C199" t="s">
        <v>23</v>
      </c>
      <c r="D199" s="51">
        <v>0</v>
      </c>
    </row>
    <row r="200" spans="2:16" x14ac:dyDescent="0.3">
      <c r="B200" t="s">
        <v>1820</v>
      </c>
      <c r="C200" t="s">
        <v>46</v>
      </c>
      <c r="D200" s="54">
        <v>5000</v>
      </c>
    </row>
    <row r="201" spans="2:16" x14ac:dyDescent="0.3">
      <c r="B201" t="s">
        <v>1821</v>
      </c>
      <c r="C201" t="s">
        <v>23</v>
      </c>
      <c r="D201" s="114">
        <v>0</v>
      </c>
    </row>
    <row r="202" spans="2:16" x14ac:dyDescent="0.3">
      <c r="B202" t="s">
        <v>1927</v>
      </c>
      <c r="C202" t="s">
        <v>23</v>
      </c>
      <c r="D202" s="63">
        <v>0.4</v>
      </c>
    </row>
    <row r="203" spans="2:16" x14ac:dyDescent="0.3">
      <c r="B203" t="s">
        <v>1822</v>
      </c>
      <c r="C203" t="s">
        <v>23</v>
      </c>
      <c r="D203" s="63">
        <v>0.6</v>
      </c>
    </row>
    <row r="204" spans="2:16" x14ac:dyDescent="0.3">
      <c r="B204" t="s">
        <v>1928</v>
      </c>
      <c r="C204" t="s">
        <v>23</v>
      </c>
      <c r="D204" s="63">
        <v>0</v>
      </c>
    </row>
    <row r="206" spans="2:16" ht="15.6" x14ac:dyDescent="0.3">
      <c r="B206" s="140" t="s">
        <v>1823</v>
      </c>
      <c r="C206" s="140"/>
      <c r="D206" s="140"/>
      <c r="E206" s="140"/>
      <c r="F206" s="140"/>
      <c r="G206" s="140"/>
      <c r="H206" s="140"/>
      <c r="I206" s="140"/>
      <c r="J206" s="140"/>
      <c r="K206" s="140"/>
      <c r="L206" s="140"/>
      <c r="M206" s="140"/>
      <c r="N206" s="140"/>
      <c r="O206" s="140"/>
      <c r="P206" s="140"/>
    </row>
    <row r="207" spans="2:16" x14ac:dyDescent="0.3">
      <c r="B207" t="s">
        <v>1824</v>
      </c>
      <c r="C207" t="s">
        <v>23</v>
      </c>
      <c r="D207" s="228">
        <v>4.9599999999999998E-2</v>
      </c>
    </row>
    <row r="208" spans="2:16" x14ac:dyDescent="0.3">
      <c r="B208" t="s">
        <v>324</v>
      </c>
      <c r="C208" t="s">
        <v>23</v>
      </c>
      <c r="D208" s="53">
        <v>4.2299999999999997E-2</v>
      </c>
    </row>
    <row r="209" spans="2:16" x14ac:dyDescent="0.3">
      <c r="B209" t="s">
        <v>1825</v>
      </c>
      <c r="C209" t="s">
        <v>23</v>
      </c>
      <c r="D209" s="51">
        <v>0</v>
      </c>
    </row>
    <row r="210" spans="2:16" x14ac:dyDescent="0.3">
      <c r="B210" t="s">
        <v>1826</v>
      </c>
      <c r="C210" t="s">
        <v>145</v>
      </c>
      <c r="D210" s="92">
        <v>1.68</v>
      </c>
    </row>
    <row r="211" spans="2:16" x14ac:dyDescent="0.3">
      <c r="B211" t="s">
        <v>1827</v>
      </c>
      <c r="C211" t="s">
        <v>145</v>
      </c>
      <c r="D211" s="43">
        <f>F121/(F129*C13)</f>
        <v>7.2862999095439501E-2</v>
      </c>
    </row>
    <row r="212" spans="2:16" x14ac:dyDescent="0.3">
      <c r="B212" t="s">
        <v>1828</v>
      </c>
      <c r="C212" t="s">
        <v>23</v>
      </c>
      <c r="D212" s="228">
        <v>5.5500000000000001E-2</v>
      </c>
    </row>
    <row r="213" spans="2:16" x14ac:dyDescent="0.3">
      <c r="B213" t="s">
        <v>1829</v>
      </c>
      <c r="C213" t="s">
        <v>23</v>
      </c>
      <c r="D213" s="51">
        <v>7.0000000000000007E-2</v>
      </c>
    </row>
    <row r="214" spans="2:16" x14ac:dyDescent="0.3">
      <c r="B214" t="s">
        <v>1830</v>
      </c>
      <c r="C214" t="s">
        <v>2147</v>
      </c>
      <c r="D214" s="50"/>
    </row>
    <row r="216" spans="2:16" ht="15.6" x14ac:dyDescent="0.3">
      <c r="B216" s="140" t="s">
        <v>1831</v>
      </c>
      <c r="C216" s="140"/>
      <c r="D216" s="140"/>
      <c r="E216" s="140"/>
      <c r="F216" s="140"/>
      <c r="G216" s="140"/>
      <c r="H216" s="140"/>
      <c r="I216" s="140"/>
      <c r="J216" s="140"/>
      <c r="K216" s="140"/>
      <c r="L216" s="140"/>
      <c r="M216" s="140"/>
      <c r="N216" s="140"/>
      <c r="O216" s="140"/>
      <c r="P216" s="140"/>
    </row>
    <row r="217" spans="2:16" x14ac:dyDescent="0.3">
      <c r="B217" s="157" t="s">
        <v>190</v>
      </c>
      <c r="C217" s="157" t="s">
        <v>42</v>
      </c>
      <c r="D217" s="157" t="s">
        <v>1832</v>
      </c>
      <c r="E217" s="157" t="s">
        <v>192</v>
      </c>
      <c r="F217" s="157" t="s">
        <v>1833</v>
      </c>
    </row>
    <row r="218" spans="2:16" x14ac:dyDescent="0.3">
      <c r="B218" t="s">
        <v>1929</v>
      </c>
      <c r="C218" t="s">
        <v>145</v>
      </c>
      <c r="D218" s="43">
        <v>0.7</v>
      </c>
      <c r="E218" s="43">
        <v>1</v>
      </c>
      <c r="F218" s="43">
        <v>1.25</v>
      </c>
    </row>
    <row r="219" spans="2:16" x14ac:dyDescent="0.3">
      <c r="B219" t="s">
        <v>196</v>
      </c>
      <c r="C219" t="s">
        <v>23</v>
      </c>
      <c r="D219" s="51">
        <v>-1.4999999999999999E-2</v>
      </c>
      <c r="E219" s="51">
        <v>0</v>
      </c>
      <c r="F219" s="51">
        <v>1.4999999999999999E-2</v>
      </c>
    </row>
    <row r="220" spans="2:16" x14ac:dyDescent="0.3">
      <c r="B220" t="s">
        <v>197</v>
      </c>
      <c r="C220" t="s">
        <v>23</v>
      </c>
      <c r="D220" s="51">
        <v>-1.4999999999999999E-2</v>
      </c>
      <c r="E220" s="51">
        <v>0</v>
      </c>
      <c r="F220" s="51">
        <v>1.4999999999999999E-2</v>
      </c>
    </row>
    <row r="221" spans="2:16" x14ac:dyDescent="0.3">
      <c r="B221" t="s">
        <v>198</v>
      </c>
      <c r="C221" t="s">
        <v>23</v>
      </c>
      <c r="D221" s="51">
        <v>0.01</v>
      </c>
      <c r="E221" s="51">
        <v>0</v>
      </c>
      <c r="F221" s="51">
        <v>-0.01</v>
      </c>
    </row>
    <row r="222" spans="2:16" x14ac:dyDescent="0.3">
      <c r="B222" t="s">
        <v>199</v>
      </c>
      <c r="C222" t="s">
        <v>145</v>
      </c>
      <c r="D222" s="43">
        <v>1.1499999999999999</v>
      </c>
      <c r="E222" s="43">
        <v>1</v>
      </c>
      <c r="F222" s="43">
        <v>0.95</v>
      </c>
    </row>
    <row r="223" spans="2:16" x14ac:dyDescent="0.3">
      <c r="B223" t="s">
        <v>200</v>
      </c>
      <c r="C223" t="s">
        <v>149</v>
      </c>
      <c r="D223" s="45">
        <v>5</v>
      </c>
      <c r="E223" s="45">
        <v>0</v>
      </c>
      <c r="F223" s="45">
        <v>-3</v>
      </c>
    </row>
    <row r="224" spans="2:16" x14ac:dyDescent="0.3">
      <c r="B224" t="s">
        <v>201</v>
      </c>
      <c r="C224" t="s">
        <v>23</v>
      </c>
      <c r="D224" s="51">
        <v>0.02</v>
      </c>
      <c r="E224" s="51">
        <v>0</v>
      </c>
      <c r="F224" s="51">
        <v>-0.01</v>
      </c>
    </row>
    <row r="225" spans="2:16" x14ac:dyDescent="0.3">
      <c r="B225" t="s">
        <v>202</v>
      </c>
      <c r="C225" t="s">
        <v>23</v>
      </c>
      <c r="D225" s="51">
        <v>-7.4999999999999997E-3</v>
      </c>
      <c r="E225" s="51">
        <v>0</v>
      </c>
      <c r="F225" s="51">
        <v>5.0000000000000001E-3</v>
      </c>
    </row>
    <row r="226" spans="2:16" x14ac:dyDescent="0.3">
      <c r="B226" t="s">
        <v>203</v>
      </c>
      <c r="C226" t="s">
        <v>23</v>
      </c>
      <c r="D226" s="51">
        <v>0.01</v>
      </c>
      <c r="E226" s="51">
        <v>0</v>
      </c>
      <c r="F226" s="51">
        <v>-5.0000000000000001E-3</v>
      </c>
    </row>
    <row r="228" spans="2:16" x14ac:dyDescent="0.3">
      <c r="B228" t="s">
        <v>1834</v>
      </c>
      <c r="D228" s="219">
        <v>2</v>
      </c>
    </row>
    <row r="230" spans="2:16" ht="15.6" x14ac:dyDescent="0.3">
      <c r="B230" s="140" t="s">
        <v>1835</v>
      </c>
      <c r="C230" s="140"/>
      <c r="D230" s="140"/>
      <c r="E230" s="140"/>
      <c r="F230" s="140"/>
      <c r="G230" s="140"/>
      <c r="H230" s="140"/>
      <c r="I230" s="140"/>
      <c r="J230" s="140"/>
      <c r="K230" s="140"/>
      <c r="L230" s="140"/>
      <c r="M230" s="140"/>
      <c r="N230" s="140"/>
      <c r="O230" s="140"/>
      <c r="P230" s="140"/>
    </row>
    <row r="231" spans="2:16" x14ac:dyDescent="0.3">
      <c r="B231" t="s">
        <v>1836</v>
      </c>
    </row>
    <row r="232" spans="2:16" x14ac:dyDescent="0.3">
      <c r="B232" s="157" t="s">
        <v>1837</v>
      </c>
      <c r="C232" s="157" t="s">
        <v>42</v>
      </c>
      <c r="D232" s="157" t="s">
        <v>1838</v>
      </c>
    </row>
    <row r="233" spans="2:16" x14ac:dyDescent="0.3">
      <c r="B233" t="s">
        <v>1839</v>
      </c>
      <c r="C233" t="s">
        <v>145</v>
      </c>
      <c r="D233" s="43">
        <v>5</v>
      </c>
    </row>
    <row r="234" spans="2:16" x14ac:dyDescent="0.3">
      <c r="B234" t="s">
        <v>1840</v>
      </c>
      <c r="C234" t="s">
        <v>145</v>
      </c>
      <c r="D234" s="43">
        <v>16</v>
      </c>
    </row>
    <row r="235" spans="2:16" x14ac:dyDescent="0.3">
      <c r="B235" t="s">
        <v>1841</v>
      </c>
      <c r="C235" t="s">
        <v>145</v>
      </c>
      <c r="D235" s="43">
        <v>13</v>
      </c>
    </row>
    <row r="236" spans="2:16" x14ac:dyDescent="0.3">
      <c r="B236" t="s">
        <v>1842</v>
      </c>
      <c r="C236" t="s">
        <v>145</v>
      </c>
      <c r="D236" s="43">
        <v>16</v>
      </c>
    </row>
    <row r="237" spans="2:16" x14ac:dyDescent="0.3">
      <c r="B237" t="s">
        <v>1843</v>
      </c>
      <c r="C237" t="s">
        <v>145</v>
      </c>
      <c r="D237" s="43">
        <v>20</v>
      </c>
    </row>
    <row r="238" spans="2:16" x14ac:dyDescent="0.3">
      <c r="B238" t="s">
        <v>1844</v>
      </c>
      <c r="C238" t="s">
        <v>145</v>
      </c>
      <c r="D238" s="43">
        <v>18</v>
      </c>
    </row>
    <row r="240" spans="2:16" x14ac:dyDescent="0.3">
      <c r="B240" s="157" t="s">
        <v>1845</v>
      </c>
      <c r="C240" s="157" t="s">
        <v>42</v>
      </c>
      <c r="D240" s="157" t="s">
        <v>1838</v>
      </c>
    </row>
    <row r="241" spans="2:16" x14ac:dyDescent="0.3">
      <c r="B241" t="s">
        <v>1846</v>
      </c>
      <c r="C241" t="s">
        <v>23</v>
      </c>
      <c r="D241" s="63">
        <v>0.2</v>
      </c>
    </row>
    <row r="242" spans="2:16" x14ac:dyDescent="0.3">
      <c r="B242" t="s">
        <v>1847</v>
      </c>
      <c r="C242" t="s">
        <v>23</v>
      </c>
      <c r="D242" s="63">
        <v>0.45</v>
      </c>
    </row>
    <row r="243" spans="2:16" x14ac:dyDescent="0.3">
      <c r="B243" t="s">
        <v>1848</v>
      </c>
      <c r="C243" t="s">
        <v>23</v>
      </c>
      <c r="D243" s="63">
        <v>0.15</v>
      </c>
    </row>
    <row r="244" spans="2:16" x14ac:dyDescent="0.3">
      <c r="B244" t="s">
        <v>1849</v>
      </c>
      <c r="C244" t="s">
        <v>23</v>
      </c>
      <c r="D244" s="63">
        <v>0.1</v>
      </c>
    </row>
    <row r="245" spans="2:16" x14ac:dyDescent="0.3">
      <c r="B245" t="s">
        <v>1850</v>
      </c>
      <c r="C245" t="s">
        <v>23</v>
      </c>
      <c r="D245" s="63">
        <v>0.1</v>
      </c>
    </row>
    <row r="246" spans="2:16" x14ac:dyDescent="0.3">
      <c r="B246" t="s">
        <v>1851</v>
      </c>
      <c r="D246" s="221">
        <f>SUM(D241:D245)</f>
        <v>1</v>
      </c>
    </row>
    <row r="248" spans="2:16" ht="15.6" x14ac:dyDescent="0.3">
      <c r="B248" s="140" t="s">
        <v>1852</v>
      </c>
      <c r="C248" s="140"/>
      <c r="D248" s="140"/>
      <c r="E248" s="140"/>
      <c r="F248" s="140"/>
      <c r="G248" s="140"/>
      <c r="H248" s="140"/>
      <c r="I248" s="140"/>
      <c r="J248" s="140"/>
      <c r="K248" s="140"/>
      <c r="L248" s="140"/>
      <c r="M248" s="140"/>
      <c r="N248" s="140"/>
      <c r="O248" s="140"/>
      <c r="P248" s="140"/>
    </row>
    <row r="249" spans="2:16" x14ac:dyDescent="0.3">
      <c r="B249" s="157" t="s">
        <v>665</v>
      </c>
      <c r="C249" s="157" t="s">
        <v>1853</v>
      </c>
      <c r="D249" s="157" t="s">
        <v>1854</v>
      </c>
      <c r="E249" s="157" t="s">
        <v>1855</v>
      </c>
    </row>
    <row r="250" spans="2:16" x14ac:dyDescent="0.3">
      <c r="B250" t="s">
        <v>1930</v>
      </c>
      <c r="C250" s="51">
        <v>0.22</v>
      </c>
      <c r="D250" s="43">
        <v>20</v>
      </c>
      <c r="E250" s="43">
        <v>12</v>
      </c>
    </row>
    <row r="251" spans="2:16" x14ac:dyDescent="0.3">
      <c r="B251" t="s">
        <v>1931</v>
      </c>
      <c r="C251" s="51">
        <v>0.25</v>
      </c>
      <c r="D251" s="43">
        <v>10</v>
      </c>
    </row>
    <row r="252" spans="2:16" x14ac:dyDescent="0.3">
      <c r="B252" t="s">
        <v>1932</v>
      </c>
      <c r="C252" s="51">
        <v>0.7</v>
      </c>
      <c r="D252" s="43">
        <v>14</v>
      </c>
    </row>
    <row r="253" spans="2:16" x14ac:dyDescent="0.3">
      <c r="B253" t="s">
        <v>1933</v>
      </c>
      <c r="C253" s="51">
        <v>0.2</v>
      </c>
      <c r="D253" s="43">
        <v>20</v>
      </c>
    </row>
    <row r="255" spans="2:16" ht="15.6" x14ac:dyDescent="0.3">
      <c r="B255" s="140" t="s">
        <v>1856</v>
      </c>
      <c r="C255" s="140"/>
      <c r="D255" s="140"/>
      <c r="E255" s="140"/>
      <c r="F255" s="140"/>
      <c r="G255" s="140"/>
      <c r="H255" s="140"/>
      <c r="I255" s="140"/>
      <c r="J255" s="140"/>
      <c r="K255" s="140"/>
      <c r="L255" s="140"/>
      <c r="M255" s="140"/>
      <c r="N255" s="140"/>
      <c r="O255" s="140"/>
      <c r="P255" s="140"/>
    </row>
    <row r="256" spans="2:16" x14ac:dyDescent="0.3">
      <c r="B256" t="s">
        <v>1857</v>
      </c>
      <c r="C256" t="s">
        <v>46</v>
      </c>
      <c r="D256" s="62">
        <f>'Escenario Base'!$F$66</f>
        <v>149457.62152792938</v>
      </c>
    </row>
    <row r="257" spans="2:4" x14ac:dyDescent="0.3">
      <c r="B257" t="s">
        <v>1858</v>
      </c>
      <c r="C257" t="s">
        <v>46</v>
      </c>
      <c r="D257" s="62">
        <f>'Escenario Base'!$F$70</f>
        <v>143012.66152792939</v>
      </c>
    </row>
    <row r="258" spans="2:4" x14ac:dyDescent="0.3">
      <c r="B258" t="s">
        <v>414</v>
      </c>
      <c r="C258" t="s">
        <v>69</v>
      </c>
      <c r="D258" s="61">
        <f>'Escenario Base'!$F$71</f>
        <v>1085.6999924345589</v>
      </c>
    </row>
    <row r="259" spans="2:4" x14ac:dyDescent="0.3">
      <c r="B259" t="s">
        <v>1859</v>
      </c>
      <c r="C259" t="s">
        <v>66</v>
      </c>
      <c r="D259" s="179">
        <f>'Escenario Pesimista'!$F$72</f>
        <v>81.620029460337619</v>
      </c>
    </row>
    <row r="260" spans="2:4" x14ac:dyDescent="0.3">
      <c r="B260" t="s">
        <v>1860</v>
      </c>
      <c r="C260" t="s">
        <v>66</v>
      </c>
      <c r="D260" s="179">
        <f>'Escenario Base'!$F$72</f>
        <v>131.72392237678821</v>
      </c>
    </row>
    <row r="261" spans="2:4" x14ac:dyDescent="0.3">
      <c r="B261" t="s">
        <v>1861</v>
      </c>
      <c r="C261" t="s">
        <v>66</v>
      </c>
      <c r="D261" s="179">
        <f>'Escenario Optimista'!$F$72</f>
        <v>193.18353256268804</v>
      </c>
    </row>
    <row r="262" spans="2:4" x14ac:dyDescent="0.3">
      <c r="B262" t="s">
        <v>1862</v>
      </c>
      <c r="C262" t="s">
        <v>66</v>
      </c>
      <c r="D262" s="179">
        <f>'01 Summary'!$C$80</f>
        <v>144.95219437825708</v>
      </c>
    </row>
    <row r="263" spans="2:4" x14ac:dyDescent="0.3">
      <c r="B263" t="s">
        <v>570</v>
      </c>
      <c r="C263" t="s">
        <v>66</v>
      </c>
      <c r="D263" s="179">
        <f>$C$13</f>
        <v>198.27</v>
      </c>
    </row>
    <row r="264" spans="2:4" x14ac:dyDescent="0.3">
      <c r="B264" t="s">
        <v>1727</v>
      </c>
      <c r="C264" t="s">
        <v>23</v>
      </c>
      <c r="D264" s="222">
        <f>IF(OR($C$13&lt;=0,NOT(ISNUMBER(D262))),"introducir precio en C13",D262/$C$13-1)</f>
        <v>-0.26891514410522488</v>
      </c>
    </row>
    <row r="265" spans="2:4" x14ac:dyDescent="0.3">
      <c r="B265" t="s">
        <v>1728</v>
      </c>
      <c r="C265" t="s">
        <v>23</v>
      </c>
      <c r="D265" s="222">
        <f>IF(OR($C$13&lt;=0,NOT(ISNUMBER(D262))),"introducir precio en C13",1-$C$13/D262)</f>
        <v>-0.36783027570185323</v>
      </c>
    </row>
    <row r="266" spans="2:4" x14ac:dyDescent="0.3">
      <c r="B266" t="s">
        <v>1863</v>
      </c>
      <c r="C266" t="s">
        <v>23</v>
      </c>
      <c r="D266" s="57">
        <f>'Escenario Base'!$P$52</f>
        <v>0.11540544272914492</v>
      </c>
    </row>
    <row r="267" spans="2:4" x14ac:dyDescent="0.3">
      <c r="B267" t="s">
        <v>1864</v>
      </c>
      <c r="C267" t="s">
        <v>23</v>
      </c>
      <c r="D267" s="57">
        <f>'Escenario Base'!$P$53</f>
        <v>0.03</v>
      </c>
    </row>
    <row r="268" spans="2:4" x14ac:dyDescent="0.3">
      <c r="B268" t="s">
        <v>406</v>
      </c>
      <c r="C268" t="s">
        <v>23</v>
      </c>
      <c r="D268" s="57">
        <f>'Escenario Base'!$F$67</f>
        <v>0.46198292106518363</v>
      </c>
    </row>
    <row r="269" spans="2:4" x14ac:dyDescent="0.3">
      <c r="B269" t="s">
        <v>1865</v>
      </c>
      <c r="C269" t="s">
        <v>145</v>
      </c>
      <c r="D269" s="93">
        <f>'Escenario Base'!$F$68</f>
        <v>8.2480731952847481</v>
      </c>
    </row>
    <row r="270" spans="2:4" x14ac:dyDescent="0.3">
      <c r="B270" t="s">
        <v>1849</v>
      </c>
      <c r="C270" t="s">
        <v>66</v>
      </c>
      <c r="D270" s="179">
        <f>'01 Summary'!$H$67</f>
        <v>198.41913428021408</v>
      </c>
    </row>
    <row r="271" spans="2:4" x14ac:dyDescent="0.3">
      <c r="B271" t="s">
        <v>1850</v>
      </c>
      <c r="C271" t="s">
        <v>66</v>
      </c>
      <c r="D271" s="179">
        <f>'12 SOTP'!$G$25</f>
        <v>205.32980104210236</v>
      </c>
    </row>
    <row r="273" spans="2:16" ht="15.6" x14ac:dyDescent="0.3">
      <c r="B273" s="140" t="s">
        <v>1866</v>
      </c>
      <c r="C273" s="140"/>
      <c r="D273" s="140"/>
      <c r="E273" s="140"/>
      <c r="F273" s="140"/>
      <c r="G273" s="140"/>
      <c r="H273" s="140"/>
      <c r="I273" s="140"/>
      <c r="J273" s="140"/>
      <c r="K273" s="140"/>
      <c r="L273" s="140"/>
      <c r="M273" s="140"/>
      <c r="N273" s="140"/>
      <c r="O273" s="140"/>
      <c r="P273" s="140"/>
    </row>
    <row r="274" spans="2:16" x14ac:dyDescent="0.3">
      <c r="B274" t="s">
        <v>692</v>
      </c>
      <c r="C274" t="s">
        <v>1482</v>
      </c>
      <c r="D274" s="223">
        <f>'13 Checks'!$D$5</f>
        <v>0</v>
      </c>
    </row>
    <row r="275" spans="2:16" x14ac:dyDescent="0.3">
      <c r="B275" t="s">
        <v>693</v>
      </c>
      <c r="C275" t="s">
        <v>1482</v>
      </c>
      <c r="D275" s="223">
        <f>'13 Checks'!$D$6</f>
        <v>2</v>
      </c>
    </row>
    <row r="276" spans="2:16" x14ac:dyDescent="0.3">
      <c r="B276" t="s">
        <v>694</v>
      </c>
      <c r="C276" t="s">
        <v>1482</v>
      </c>
      <c r="D276" s="223">
        <f>'13 Checks'!$D$7</f>
        <v>76</v>
      </c>
    </row>
    <row r="277" spans="2:16" x14ac:dyDescent="0.3">
      <c r="B277" t="s">
        <v>1867</v>
      </c>
      <c r="D277" s="49" t="str">
        <f>'13 Checks'!$D$8</f>
        <v>UTILIZABLE CON RESERVAS — revisar los AVISOS</v>
      </c>
    </row>
    <row r="278" spans="2:16" x14ac:dyDescent="0.3">
      <c r="B278" t="s">
        <v>1868</v>
      </c>
      <c r="D278" s="49" t="str">
        <f>'Escenario Base'!$F$82</f>
        <v>OK</v>
      </c>
    </row>
    <row r="279" spans="2:16" x14ac:dyDescent="0.3">
      <c r="B279" t="s">
        <v>1869</v>
      </c>
      <c r="D279" s="49" t="str">
        <f>'01 Summary'!$G$26</f>
        <v>OK</v>
      </c>
    </row>
    <row r="280" spans="2:16" x14ac:dyDescent="0.3">
      <c r="B280" t="s">
        <v>1870</v>
      </c>
      <c r="D280" s="49" t="str">
        <f>'01 Summary'!$E$79</f>
        <v>OK</v>
      </c>
    </row>
    <row r="281" spans="2:16" x14ac:dyDescent="0.3">
      <c r="B281" t="s">
        <v>1871</v>
      </c>
      <c r="D281" s="49" t="str">
        <f>'01 Summary'!$C$86</f>
        <v>AVISO: los métodos discrepan más de 2,5 veces. El precio objetivo ponderado promedia resultados incompatibles: presentar el RANGO, no el punto.</v>
      </c>
    </row>
    <row r="282" spans="2:16" x14ac:dyDescent="0.3">
      <c r="B282" t="s">
        <v>1872</v>
      </c>
      <c r="C282" t="s">
        <v>46</v>
      </c>
      <c r="D282" s="62">
        <f>'03 Historical'!$F$75</f>
        <v>0</v>
      </c>
    </row>
    <row r="283" spans="2:16" x14ac:dyDescent="0.3">
      <c r="B283" t="s">
        <v>1873</v>
      </c>
      <c r="C283" t="s">
        <v>46</v>
      </c>
      <c r="D283" s="62">
        <f>'03 Historical'!$F$105</f>
        <v>0</v>
      </c>
    </row>
    <row r="284" spans="2:16" x14ac:dyDescent="0.3">
      <c r="B284" t="s">
        <v>1874</v>
      </c>
      <c r="C284" t="s">
        <v>46</v>
      </c>
      <c r="D284" s="62">
        <f>SUM('05 Three Statement'!$G$61:$P$61)</f>
        <v>0</v>
      </c>
    </row>
    <row r="285" spans="2:16" x14ac:dyDescent="0.3">
      <c r="B285" t="s">
        <v>1875</v>
      </c>
      <c r="C285" t="s">
        <v>46</v>
      </c>
      <c r="D285" s="62">
        <f>SUM('05 Three Statement'!$G$89:$P$89)</f>
        <v>0</v>
      </c>
    </row>
    <row r="286" spans="2:16" x14ac:dyDescent="0.3">
      <c r="B286" t="s">
        <v>1876</v>
      </c>
      <c r="D286" s="49" t="str">
        <f>'13 Checks'!$F$76</f>
        <v>OK</v>
      </c>
    </row>
    <row r="287" spans="2:16" x14ac:dyDescent="0.3">
      <c r="B287" t="s">
        <v>1877</v>
      </c>
      <c r="D287" s="49" t="str">
        <f>'13 Checks'!$F$65</f>
        <v>OK</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77196-BB91-4CC4-985E-1C1C5B792E2B}">
  <dimension ref="A1:I86"/>
  <sheetViews>
    <sheetView tabSelected="1" zoomScale="71" workbookViewId="0">
      <selection activeCell="C10" sqref="C10"/>
    </sheetView>
  </sheetViews>
  <sheetFormatPr baseColWidth="10" defaultRowHeight="14.4" x14ac:dyDescent="0.3"/>
  <cols>
    <col min="2" max="2" width="70.33203125" customWidth="1"/>
    <col min="3" max="3" width="37" customWidth="1"/>
    <col min="4" max="4" width="25.44140625" customWidth="1"/>
    <col min="5" max="5" width="22" customWidth="1"/>
    <col min="6" max="6" width="114.77734375" customWidth="1"/>
    <col min="7" max="8" width="17.5546875" customWidth="1"/>
    <col min="9" max="9" width="13" customWidth="1"/>
  </cols>
  <sheetData>
    <row r="1" spans="1:9" ht="21" x14ac:dyDescent="0.4">
      <c r="A1" s="109" t="s">
        <v>1975</v>
      </c>
    </row>
    <row r="2" spans="1:9" x14ac:dyDescent="0.3">
      <c r="A2" s="14" t="s">
        <v>433</v>
      </c>
    </row>
    <row r="3" spans="1:9" ht="75" customHeight="1" x14ac:dyDescent="0.3">
      <c r="B3" s="216" t="s">
        <v>1779</v>
      </c>
      <c r="C3" s="215"/>
      <c r="D3" s="215"/>
      <c r="E3" s="215"/>
      <c r="F3" s="215"/>
      <c r="G3" s="215"/>
      <c r="H3" s="215"/>
      <c r="I3" s="215"/>
    </row>
    <row r="4" spans="1:9" x14ac:dyDescent="0.3">
      <c r="B4" s="2" t="s">
        <v>434</v>
      </c>
      <c r="C4" s="2"/>
      <c r="E4" s="5" t="s">
        <v>461</v>
      </c>
      <c r="F4" s="16"/>
    </row>
    <row r="5" spans="1:9" ht="28.8" x14ac:dyDescent="0.3">
      <c r="B5" t="s">
        <v>435</v>
      </c>
      <c r="C5" s="49" t="str">
        <f>'00 Panel del Analista'!C8</f>
        <v>QUALCOMM Incorporated</v>
      </c>
      <c r="E5" s="37">
        <v>1</v>
      </c>
      <c r="F5" s="37" t="s">
        <v>462</v>
      </c>
    </row>
    <row r="6" spans="1:9" ht="28.8" x14ac:dyDescent="0.3">
      <c r="B6" t="s">
        <v>436</v>
      </c>
      <c r="C6" s="49" t="str">
        <f>'00 Panel del Analista'!C9</f>
        <v>QCOM — Nasdaq</v>
      </c>
      <c r="E6" s="37">
        <v>2</v>
      </c>
      <c r="F6" s="37" t="s">
        <v>463</v>
      </c>
    </row>
    <row r="7" spans="1:9" x14ac:dyDescent="0.3">
      <c r="B7" t="s">
        <v>235</v>
      </c>
      <c r="C7" s="49" t="str">
        <f>'00 Panel del Analista'!C10</f>
        <v>USD millones</v>
      </c>
      <c r="E7" s="37">
        <v>3</v>
      </c>
      <c r="F7" s="37" t="s">
        <v>464</v>
      </c>
    </row>
    <row r="8" spans="1:9" x14ac:dyDescent="0.3">
      <c r="B8" t="s">
        <v>233</v>
      </c>
      <c r="C8" s="227">
        <f>'00 Panel del Analista'!C11</f>
        <v>46288</v>
      </c>
      <c r="E8" s="37">
        <v>4</v>
      </c>
      <c r="F8" s="37" t="s">
        <v>465</v>
      </c>
    </row>
    <row r="9" spans="1:9" x14ac:dyDescent="0.3">
      <c r="B9" t="s">
        <v>437</v>
      </c>
      <c r="C9" s="49" t="str">
        <f>'00 Panel del Analista'!C12</f>
        <v>FY2025A auditado (cerrado 28/09/2025); base del forecast FY2026E = 9M real + guía Q4</v>
      </c>
      <c r="E9" s="37">
        <v>5</v>
      </c>
      <c r="F9" s="37" t="s">
        <v>466</v>
      </c>
    </row>
    <row r="10" spans="1:9" ht="15.6" x14ac:dyDescent="0.3">
      <c r="B10" s="40" t="s">
        <v>438</v>
      </c>
      <c r="C10" s="165">
        <f>'00 Panel del Analista'!C13</f>
        <v>198.27</v>
      </c>
      <c r="E10" s="37">
        <v>6</v>
      </c>
      <c r="F10" s="37" t="s">
        <v>467</v>
      </c>
    </row>
    <row r="11" spans="1:9" x14ac:dyDescent="0.3">
      <c r="E11" s="37">
        <v>7</v>
      </c>
      <c r="F11" s="37" t="s">
        <v>468</v>
      </c>
    </row>
    <row r="12" spans="1:9" x14ac:dyDescent="0.3">
      <c r="B12" s="2" t="s">
        <v>439</v>
      </c>
      <c r="C12" s="2"/>
      <c r="E12" s="89" t="s">
        <v>1778</v>
      </c>
    </row>
    <row r="13" spans="1:9" x14ac:dyDescent="0.3">
      <c r="B13" t="s">
        <v>440</v>
      </c>
      <c r="C13" s="49" t="str">
        <f>'09 Escenarios'!C5</f>
        <v>BASE</v>
      </c>
      <c r="E13" s="2" t="s">
        <v>1732</v>
      </c>
      <c r="F13" s="1"/>
      <c r="G13" s="1"/>
      <c r="H13" s="1"/>
      <c r="I13" s="1"/>
    </row>
    <row r="14" spans="1:9" ht="409.6" x14ac:dyDescent="0.3">
      <c r="B14" s="3" t="s">
        <v>441</v>
      </c>
      <c r="C14" s="68">
        <f>'06 DCF'!F44</f>
        <v>149457.62152792938</v>
      </c>
      <c r="E14" s="113" t="s">
        <v>1733</v>
      </c>
    </row>
    <row r="15" spans="1:9" x14ac:dyDescent="0.3">
      <c r="B15" s="3" t="s">
        <v>442</v>
      </c>
      <c r="C15" s="68">
        <f>'06 DCF'!F53-'06 DCF'!F44</f>
        <v>-6444.9599999999919</v>
      </c>
      <c r="E15" s="157" t="s">
        <v>210</v>
      </c>
      <c r="F15" s="157" t="s">
        <v>1734</v>
      </c>
      <c r="G15" s="157" t="s">
        <v>1476</v>
      </c>
      <c r="H15" s="157" t="s">
        <v>1735</v>
      </c>
      <c r="I15" s="157" t="s">
        <v>42</v>
      </c>
    </row>
    <row r="16" spans="1:9" x14ac:dyDescent="0.3">
      <c r="B16" s="3" t="s">
        <v>443</v>
      </c>
      <c r="C16" s="68">
        <f>'06 DCF'!F53</f>
        <v>143012.66152792939</v>
      </c>
      <c r="E16" s="158" t="s">
        <v>670</v>
      </c>
      <c r="F16" s="187">
        <f>'Escenario Pesimista'!$F$66</f>
        <v>95059.825367597019</v>
      </c>
      <c r="G16" s="187">
        <f>'Escenario Base'!$F$66</f>
        <v>149457.62152792938</v>
      </c>
      <c r="H16" s="187">
        <f>'Escenario Optimista'!$F$66</f>
        <v>216184.31984179176</v>
      </c>
      <c r="I16" s="159" t="s">
        <v>46</v>
      </c>
    </row>
    <row r="17" spans="2:9" x14ac:dyDescent="0.3">
      <c r="B17" t="s">
        <v>414</v>
      </c>
      <c r="C17" s="21">
        <f>'06 DCF'!F54</f>
        <v>1085.6999924345589</v>
      </c>
      <c r="E17" s="160" t="s">
        <v>1477</v>
      </c>
      <c r="F17" s="188">
        <f>'Escenario Pesimista'!$F$70</f>
        <v>88614.865367597027</v>
      </c>
      <c r="G17" s="188">
        <f>'Escenario Base'!$F$70</f>
        <v>143012.66152792939</v>
      </c>
      <c r="H17" s="188">
        <f>'Escenario Optimista'!$F$70</f>
        <v>209739.35984179177</v>
      </c>
      <c r="I17" s="161" t="s">
        <v>46</v>
      </c>
    </row>
    <row r="18" spans="2:9" ht="18" x14ac:dyDescent="0.35">
      <c r="B18" s="110" t="s">
        <v>444</v>
      </c>
      <c r="C18" s="166">
        <f>'06 DCF'!F55</f>
        <v>131.72392237678821</v>
      </c>
      <c r="E18" s="191" t="s">
        <v>1478</v>
      </c>
      <c r="F18" s="192">
        <f>'Escenario Pesimista'!$F$72</f>
        <v>81.620029460337619</v>
      </c>
      <c r="G18" s="192">
        <f>'Escenario Base'!$F$72</f>
        <v>131.72392237678821</v>
      </c>
      <c r="H18" s="192">
        <f>'Escenario Optimista'!$F$72</f>
        <v>193.18353256268804</v>
      </c>
      <c r="I18" s="193" t="s">
        <v>66</v>
      </c>
    </row>
    <row r="19" spans="2:9" x14ac:dyDescent="0.3">
      <c r="B19" t="s">
        <v>445</v>
      </c>
      <c r="C19" s="19">
        <f>IF($C$10&lt;=0,"◄ introducir el precio en C10",'06 DCF'!F57)</f>
        <v>-0.33563361891971455</v>
      </c>
      <c r="E19" s="160" t="s">
        <v>348</v>
      </c>
      <c r="F19" s="162">
        <f>'Escenario Pesimista'!$P$52</f>
        <v>0.12540544272914492</v>
      </c>
      <c r="G19" s="162">
        <f>'Escenario Base'!$P$52</f>
        <v>0.11540544272914492</v>
      </c>
      <c r="H19" s="162">
        <f>'Escenario Optimista'!$P$52</f>
        <v>0.11040544272914492</v>
      </c>
      <c r="I19" s="161" t="s">
        <v>23</v>
      </c>
    </row>
    <row r="20" spans="2:9" x14ac:dyDescent="0.3">
      <c r="B20" t="s">
        <v>446</v>
      </c>
      <c r="C20" s="19">
        <f>IF($C$10&lt;=0,"◄ introducir el precio en C10",'06 DCF'!F58)</f>
        <v>-0.50519356258509229</v>
      </c>
      <c r="E20" s="160" t="s">
        <v>1479</v>
      </c>
      <c r="F20" s="162">
        <f>'Escenario Pesimista'!$P$53</f>
        <v>2.2499999999999999E-2</v>
      </c>
      <c r="G20" s="162">
        <f>'Escenario Base'!$P$53</f>
        <v>0.03</v>
      </c>
      <c r="H20" s="162">
        <f>'Escenario Optimista'!$P$53</f>
        <v>3.4999999999999996E-2</v>
      </c>
      <c r="I20" s="161" t="s">
        <v>23</v>
      </c>
    </row>
    <row r="21" spans="2:9" x14ac:dyDescent="0.3">
      <c r="E21" s="160" t="s">
        <v>217</v>
      </c>
      <c r="F21" s="162">
        <f>'Escenario Pesimista'!$F$67</f>
        <v>0.38859778563874303</v>
      </c>
      <c r="G21" s="162">
        <f>'Escenario Base'!$F$67</f>
        <v>0.46198292106518363</v>
      </c>
      <c r="H21" s="162">
        <f>'Escenario Optimista'!$F$67</f>
        <v>0.51577143128993763</v>
      </c>
      <c r="I21" s="161" t="s">
        <v>23</v>
      </c>
    </row>
    <row r="22" spans="2:9" x14ac:dyDescent="0.3">
      <c r="B22" s="2" t="s">
        <v>447</v>
      </c>
      <c r="C22" s="2"/>
      <c r="E22" s="160" t="s">
        <v>1480</v>
      </c>
      <c r="F22" s="189">
        <f>'Escenario Pesimista'!$F$68</f>
        <v>6.6289131932822478</v>
      </c>
      <c r="G22" s="189">
        <f>'Escenario Base'!$F$68</f>
        <v>8.2480731952847481</v>
      </c>
      <c r="H22" s="189">
        <f>'Escenario Optimista'!$F$68</f>
        <v>9.4614903126496017</v>
      </c>
      <c r="I22" s="161" t="s">
        <v>145</v>
      </c>
    </row>
    <row r="23" spans="2:9" x14ac:dyDescent="0.3">
      <c r="B23" t="s">
        <v>448</v>
      </c>
      <c r="C23" s="89" t="s">
        <v>1475</v>
      </c>
      <c r="E23" s="160" t="s">
        <v>1481</v>
      </c>
      <c r="F23" s="188">
        <f>'Escenario Pesimista'!$F$75</f>
        <v>63665.185077758928</v>
      </c>
      <c r="G23" s="188">
        <f>'Escenario Base'!$F$75</f>
        <v>81883.255155127539</v>
      </c>
      <c r="H23" s="188">
        <f>'Escenario Optimista'!$F$75</f>
        <v>102631.84764864022</v>
      </c>
      <c r="I23" s="161" t="s">
        <v>46</v>
      </c>
    </row>
    <row r="24" spans="2:9" x14ac:dyDescent="0.3">
      <c r="E24" s="75" t="s">
        <v>216</v>
      </c>
      <c r="F24" s="190">
        <f>'Escenario Pesimista'!$F$74</f>
        <v>-0.5883389849178513</v>
      </c>
      <c r="G24" s="190">
        <f>'Escenario Base'!$F$74</f>
        <v>-0.33563361891971455</v>
      </c>
      <c r="H24" s="190">
        <f>'Escenario Optimista'!$F$74</f>
        <v>-2.5654246418076232E-2</v>
      </c>
      <c r="I24" s="163" t="s">
        <v>23</v>
      </c>
    </row>
    <row r="25" spans="2:9" x14ac:dyDescent="0.3">
      <c r="B25" s="2" t="s">
        <v>449</v>
      </c>
      <c r="C25" s="2"/>
      <c r="E25" s="24" t="s">
        <v>1736</v>
      </c>
      <c r="F25" s="22"/>
      <c r="G25" s="22" t="str">
        <f>'Escenario Base'!$F$82</f>
        <v>OK</v>
      </c>
    </row>
    <row r="26" spans="2:9" x14ac:dyDescent="0.3">
      <c r="B26" t="s">
        <v>386</v>
      </c>
      <c r="C26" s="57">
        <f>'07 WACC'!C38</f>
        <v>0.11540544272914492</v>
      </c>
      <c r="E26" s="24" t="s">
        <v>1737</v>
      </c>
      <c r="F26" s="22"/>
      <c r="G26" s="22" t="str">
        <f>IF(AND($F$18&lt;$G$18,$G$18&lt;$H$18),"OK","FALLO: los escenarios no están ordenados")</f>
        <v>OK</v>
      </c>
    </row>
    <row r="27" spans="2:9" x14ac:dyDescent="0.3">
      <c r="B27" t="s">
        <v>353</v>
      </c>
      <c r="C27" s="57">
        <f>'06 DCF'!F26</f>
        <v>0.03</v>
      </c>
    </row>
    <row r="28" spans="2:9" x14ac:dyDescent="0.3">
      <c r="B28" t="s">
        <v>389</v>
      </c>
      <c r="C28" s="57">
        <f>'06 DCF'!F27</f>
        <v>0.3</v>
      </c>
    </row>
    <row r="29" spans="2:9" x14ac:dyDescent="0.3">
      <c r="B29" t="s">
        <v>355</v>
      </c>
      <c r="C29" s="57">
        <f>'07 WACC'!C43</f>
        <v>8.5405442729144923E-2</v>
      </c>
    </row>
    <row r="30" spans="2:9" x14ac:dyDescent="0.3">
      <c r="B30" t="s">
        <v>406</v>
      </c>
      <c r="C30" s="57">
        <f>'06 DCF'!F45</f>
        <v>0.46198292106518363</v>
      </c>
    </row>
    <row r="31" spans="2:9" x14ac:dyDescent="0.3">
      <c r="B31" t="s">
        <v>450</v>
      </c>
      <c r="C31" s="69">
        <f>'06 DCF'!F62</f>
        <v>8.2480731952847481</v>
      </c>
    </row>
    <row r="32" spans="2:9" x14ac:dyDescent="0.3">
      <c r="B32" t="s">
        <v>1972</v>
      </c>
      <c r="C32" s="69">
        <f>'06 DCF'!F71</f>
        <v>13.903465675952376</v>
      </c>
    </row>
    <row r="33" spans="2:3" x14ac:dyDescent="0.3">
      <c r="B33" t="s">
        <v>1973</v>
      </c>
      <c r="C33" s="69">
        <f>'06 DCF'!F72</f>
        <v>3.4840230669944843</v>
      </c>
    </row>
    <row r="34" spans="2:3" x14ac:dyDescent="0.3">
      <c r="C34" s="49"/>
    </row>
    <row r="35" spans="2:3" x14ac:dyDescent="0.3">
      <c r="B35" s="2" t="s">
        <v>1976</v>
      </c>
      <c r="C35" s="111"/>
    </row>
    <row r="36" spans="2:3" x14ac:dyDescent="0.3">
      <c r="B36" t="s">
        <v>451</v>
      </c>
      <c r="C36" s="62">
        <f>'03 Historical'!F11</f>
        <v>42898</v>
      </c>
    </row>
    <row r="37" spans="2:3" x14ac:dyDescent="0.3">
      <c r="B37" t="s">
        <v>137</v>
      </c>
      <c r="C37" s="57">
        <f>'03 Historical'!F121</f>
        <v>-3.129798572847986E-2</v>
      </c>
    </row>
    <row r="38" spans="2:3" x14ac:dyDescent="0.3">
      <c r="B38" t="s">
        <v>374</v>
      </c>
      <c r="C38" s="62">
        <f>'03 Historical'!F127</f>
        <v>9147</v>
      </c>
    </row>
    <row r="39" spans="2:3" x14ac:dyDescent="0.3">
      <c r="B39" t="s">
        <v>293</v>
      </c>
      <c r="C39" s="57">
        <f>'03 Historical'!F128</f>
        <v>0.21322672385659006</v>
      </c>
    </row>
    <row r="40" spans="2:3" x14ac:dyDescent="0.3">
      <c r="B40" t="s">
        <v>142</v>
      </c>
      <c r="C40" s="62">
        <f>'03 Historical'!F129</f>
        <v>2104</v>
      </c>
    </row>
    <row r="41" spans="2:3" x14ac:dyDescent="0.3">
      <c r="B41" t="s">
        <v>143</v>
      </c>
      <c r="C41" s="57">
        <f>'03 Historical'!F130</f>
        <v>4.9046575597929971E-2</v>
      </c>
    </row>
    <row r="42" spans="2:3" x14ac:dyDescent="0.3">
      <c r="B42" t="s">
        <v>452</v>
      </c>
      <c r="C42" s="62">
        <f>'03 Historical'!F85</f>
        <v>11092</v>
      </c>
    </row>
    <row r="43" spans="2:3" x14ac:dyDescent="0.3">
      <c r="B43" t="s">
        <v>146</v>
      </c>
      <c r="C43" s="62">
        <f>'03 Historical'!F132</f>
        <v>8988</v>
      </c>
    </row>
    <row r="44" spans="2:3" x14ac:dyDescent="0.3">
      <c r="B44" t="s">
        <v>453</v>
      </c>
      <c r="C44" s="62">
        <f>'03 Historical'!F137</f>
        <v>6966</v>
      </c>
    </row>
    <row r="45" spans="2:3" x14ac:dyDescent="0.3">
      <c r="B45" t="s">
        <v>153</v>
      </c>
      <c r="C45" s="69">
        <f>'03 Historical'!F138</f>
        <v>0.64802009364631463</v>
      </c>
    </row>
    <row r="46" spans="2:3" x14ac:dyDescent="0.3">
      <c r="B46" t="s">
        <v>1977</v>
      </c>
      <c r="C46" s="62">
        <f>'03 Historical'!F117</f>
        <v>40000</v>
      </c>
    </row>
    <row r="48" spans="2:3" x14ac:dyDescent="0.3">
      <c r="B48" s="2" t="s">
        <v>454</v>
      </c>
      <c r="C48" s="2"/>
    </row>
    <row r="49" spans="2:8" x14ac:dyDescent="0.3">
      <c r="B49" s="13" t="s">
        <v>455</v>
      </c>
      <c r="C49" s="13" t="str">
        <f>IF('03 Historical'!F75=0,"OK","FALLO")</f>
        <v>OK</v>
      </c>
    </row>
    <row r="50" spans="2:8" x14ac:dyDescent="0.3">
      <c r="B50" s="13" t="s">
        <v>456</v>
      </c>
      <c r="C50" s="13" t="str">
        <f>'06 DCF'!F67</f>
        <v>OK</v>
      </c>
    </row>
    <row r="51" spans="2:8" x14ac:dyDescent="0.3">
      <c r="B51" s="13" t="s">
        <v>457</v>
      </c>
      <c r="C51" s="13" t="str">
        <f>'06 DCF'!F75</f>
        <v>OK</v>
      </c>
    </row>
    <row r="52" spans="2:8" x14ac:dyDescent="0.3">
      <c r="B52" s="13" t="s">
        <v>458</v>
      </c>
      <c r="C52" s="13" t="str">
        <f>'06 DCF'!F70</f>
        <v>OK</v>
      </c>
    </row>
    <row r="53" spans="2:8" x14ac:dyDescent="0.3">
      <c r="B53" s="13" t="s">
        <v>459</v>
      </c>
      <c r="C53" s="13" t="str">
        <f>'06 DCF'!F69</f>
        <v>OK</v>
      </c>
    </row>
    <row r="54" spans="2:8" x14ac:dyDescent="0.3">
      <c r="B54" s="13" t="s">
        <v>460</v>
      </c>
      <c r="C54" s="13" t="str">
        <f>"Ver hoja '13 Checks'"</f>
        <v>Ver hoja '13 Checks'</v>
      </c>
    </row>
    <row r="56" spans="2:8" x14ac:dyDescent="0.3">
      <c r="B56" s="194" t="s">
        <v>1780</v>
      </c>
      <c r="C56" s="8"/>
      <c r="D56" s="8"/>
      <c r="E56" s="8"/>
      <c r="F56" s="8"/>
      <c r="G56" s="8"/>
      <c r="H56" s="8"/>
    </row>
    <row r="57" spans="2:8" ht="86.4" x14ac:dyDescent="0.3">
      <c r="B57" s="153" t="s">
        <v>1695</v>
      </c>
      <c r="C57" s="195"/>
      <c r="D57" s="195"/>
      <c r="E57" s="195"/>
      <c r="F57" s="195"/>
      <c r="G57" s="195"/>
      <c r="H57" s="195"/>
    </row>
    <row r="58" spans="2:8" x14ac:dyDescent="0.3">
      <c r="B58" s="196" t="s">
        <v>1696</v>
      </c>
      <c r="C58" s="196" t="s">
        <v>210</v>
      </c>
      <c r="D58" s="196" t="s">
        <v>1697</v>
      </c>
      <c r="E58" s="196" t="s">
        <v>1698</v>
      </c>
      <c r="F58" s="196" t="s">
        <v>1699</v>
      </c>
      <c r="G58" s="196" t="s">
        <v>1700</v>
      </c>
      <c r="H58" s="196" t="s">
        <v>1701</v>
      </c>
    </row>
    <row r="59" spans="2:8" x14ac:dyDescent="0.3">
      <c r="B59" s="197" t="s">
        <v>1702</v>
      </c>
      <c r="C59" s="195" t="s">
        <v>1703</v>
      </c>
      <c r="D59" s="198">
        <f>'04 Operating Model'!G11</f>
        <v>44928.06</v>
      </c>
      <c r="E59" s="199">
        <f>'00 Panel del Analista'!D233</f>
        <v>5</v>
      </c>
      <c r="F59" s="198">
        <f>D59*E59</f>
        <v>224640.3</v>
      </c>
      <c r="G59" s="198">
        <f>F59+SUM('06 DCF'!$F$46:$F$52)</f>
        <v>218195.34</v>
      </c>
      <c r="H59" s="200">
        <f>G59/'02 Assumptions'!$C$69</f>
        <v>200.97203787458977</v>
      </c>
    </row>
    <row r="60" spans="2:8" x14ac:dyDescent="0.3">
      <c r="B60" s="197" t="s">
        <v>1704</v>
      </c>
      <c r="C60" s="195" t="s">
        <v>1705</v>
      </c>
      <c r="D60" s="198">
        <f>'04 Operating Model'!G39</f>
        <v>11492.787133333337</v>
      </c>
      <c r="E60" s="199">
        <f>'00 Panel del Analista'!D234</f>
        <v>16</v>
      </c>
      <c r="F60" s="198">
        <f>D60*E60</f>
        <v>183884.59413333339</v>
      </c>
      <c r="G60" s="198">
        <f>F60+SUM('06 DCF'!$F$46:$F$52)</f>
        <v>177439.6341333334</v>
      </c>
      <c r="H60" s="200">
        <f>G60/'02 Assumptions'!$C$69</f>
        <v>163.43339354313264</v>
      </c>
    </row>
    <row r="61" spans="2:8" x14ac:dyDescent="0.3">
      <c r="B61" s="197" t="s">
        <v>1706</v>
      </c>
      <c r="C61" s="195" t="s">
        <v>1707</v>
      </c>
      <c r="D61" s="198">
        <f>'04 Operating Model'!I39</f>
        <v>16261.080104114488</v>
      </c>
      <c r="E61" s="199">
        <f>'00 Panel del Analista'!D235</f>
        <v>13</v>
      </c>
      <c r="F61" s="198">
        <f>D61*E61</f>
        <v>211394.04135348834</v>
      </c>
      <c r="G61" s="198">
        <f>F61+SUM('06 DCF'!$F$46:$F$52)</f>
        <v>204949.08135348835</v>
      </c>
      <c r="H61" s="200">
        <f>G61/'02 Assumptions'!$C$69</f>
        <v>188.77137586960217</v>
      </c>
    </row>
    <row r="62" spans="2:8" x14ac:dyDescent="0.3">
      <c r="B62" s="197" t="s">
        <v>1708</v>
      </c>
      <c r="C62" s="195" t="s">
        <v>1709</v>
      </c>
      <c r="D62" s="198">
        <f>'04 Operating Model'!I29</f>
        <v>14380.410330780003</v>
      </c>
      <c r="E62" s="199">
        <f>'00 Panel del Analista'!D236</f>
        <v>16</v>
      </c>
      <c r="F62" s="198">
        <f>D62*E62</f>
        <v>230086.56529248005</v>
      </c>
      <c r="G62" s="198">
        <f>F62+SUM('06 DCF'!$F$46:$F$52)</f>
        <v>223641.60529248006</v>
      </c>
      <c r="H62" s="200">
        <f>G62/'02 Assumptions'!$C$69</f>
        <v>205.98840089423706</v>
      </c>
    </row>
    <row r="63" spans="2:8" x14ac:dyDescent="0.3">
      <c r="B63" s="197" t="s">
        <v>1710</v>
      </c>
      <c r="C63" s="195" t="s">
        <v>1711</v>
      </c>
      <c r="D63" s="198">
        <f>'06 DCF'!K15</f>
        <v>14207.976507645368</v>
      </c>
      <c r="E63" s="199">
        <f>'00 Panel del Analista'!D237</f>
        <v>20</v>
      </c>
      <c r="F63" s="198">
        <f>D63*E63</f>
        <v>284159.53015290736</v>
      </c>
      <c r="G63" s="198">
        <f>F63+SUM('06 DCF'!$F$46:$F$52)</f>
        <v>277714.57015290734</v>
      </c>
      <c r="H63" s="200">
        <f>G63/'02 Assumptions'!$C$69</f>
        <v>255.7931031482868</v>
      </c>
    </row>
    <row r="64" spans="2:8" x14ac:dyDescent="0.3">
      <c r="B64" s="197" t="s">
        <v>1712</v>
      </c>
      <c r="C64" s="195" t="s">
        <v>1713</v>
      </c>
      <c r="D64" s="198">
        <f>'05 Three Statement'!I16</f>
        <v>11813.998065211128</v>
      </c>
      <c r="E64" s="199">
        <f>'00 Panel del Analista'!D238</f>
        <v>18</v>
      </c>
      <c r="F64" s="195" t="s">
        <v>1694</v>
      </c>
      <c r="G64" s="198">
        <f>D64*E64</f>
        <v>212651.9651738003</v>
      </c>
      <c r="H64" s="200">
        <f>G64/'02 Assumptions'!$C$69</f>
        <v>195.86623068583839</v>
      </c>
    </row>
    <row r="65" spans="2:8" x14ac:dyDescent="0.3">
      <c r="B65" s="195"/>
      <c r="C65" s="195"/>
      <c r="D65" s="195"/>
      <c r="E65" s="195"/>
      <c r="F65" s="195"/>
      <c r="G65" s="195"/>
      <c r="H65" s="200"/>
    </row>
    <row r="66" spans="2:8" x14ac:dyDescent="0.3">
      <c r="B66" s="201" t="s">
        <v>1714</v>
      </c>
      <c r="C66" s="202"/>
      <c r="D66" s="202"/>
      <c r="E66" s="202"/>
      <c r="F66" s="202"/>
      <c r="G66" s="202"/>
      <c r="H66" s="203">
        <f>AVERAGE(H59:H64)</f>
        <v>201.80409033594779</v>
      </c>
    </row>
    <row r="67" spans="2:8" x14ac:dyDescent="0.3">
      <c r="B67" s="204" t="s">
        <v>1715</v>
      </c>
      <c r="C67" s="205"/>
      <c r="D67" s="205"/>
      <c r="E67" s="205"/>
      <c r="F67" s="205"/>
      <c r="G67" s="205"/>
      <c r="H67" s="206">
        <f>MEDIAN(H59:H64)</f>
        <v>198.41913428021408</v>
      </c>
    </row>
    <row r="68" spans="2:8" x14ac:dyDescent="0.3">
      <c r="B68" s="197" t="s">
        <v>1716</v>
      </c>
      <c r="C68" s="195"/>
      <c r="D68" s="195"/>
      <c r="E68" s="195"/>
      <c r="F68" s="195"/>
      <c r="G68" s="200">
        <f>MIN(H59:H64)</f>
        <v>163.43339354313264</v>
      </c>
      <c r="H68" s="200">
        <f>MAX(H59:H64)</f>
        <v>255.7931031482868</v>
      </c>
    </row>
    <row r="69" spans="2:8" x14ac:dyDescent="0.3">
      <c r="B69" s="197" t="s">
        <v>1717</v>
      </c>
      <c r="C69" s="195"/>
      <c r="D69" s="195"/>
      <c r="E69" s="195"/>
      <c r="F69" s="195"/>
      <c r="G69" s="195"/>
      <c r="H69" s="200">
        <f>'06 DCF'!$F$55</f>
        <v>131.72392237678821</v>
      </c>
    </row>
    <row r="70" spans="2:8" x14ac:dyDescent="0.3">
      <c r="B70" s="195"/>
      <c r="C70" s="195"/>
      <c r="D70" s="195"/>
      <c r="E70" s="195"/>
      <c r="F70" s="195"/>
      <c r="G70" s="195"/>
      <c r="H70" s="195"/>
    </row>
    <row r="71" spans="2:8" x14ac:dyDescent="0.3">
      <c r="B71" s="194" t="s">
        <v>1781</v>
      </c>
      <c r="C71" s="8"/>
      <c r="D71" s="8"/>
      <c r="E71" s="8"/>
      <c r="F71" s="8"/>
      <c r="G71" s="8"/>
      <c r="H71" s="8"/>
    </row>
    <row r="72" spans="2:8" ht="72" x14ac:dyDescent="0.3">
      <c r="B72" s="207" t="s">
        <v>1718</v>
      </c>
      <c r="C72" s="195"/>
      <c r="D72" s="195"/>
      <c r="E72" s="195"/>
      <c r="F72" s="195"/>
      <c r="G72" s="195"/>
      <c r="H72" s="195"/>
    </row>
    <row r="73" spans="2:8" x14ac:dyDescent="0.3">
      <c r="B73" s="196" t="s">
        <v>1696</v>
      </c>
      <c r="C73" s="196" t="s">
        <v>1701</v>
      </c>
      <c r="D73" s="196" t="s">
        <v>1719</v>
      </c>
      <c r="E73" s="196" t="s">
        <v>1720</v>
      </c>
      <c r="F73" s="195"/>
      <c r="G73" s="195"/>
      <c r="H73" s="195"/>
    </row>
    <row r="74" spans="2:8" x14ac:dyDescent="0.3">
      <c r="B74" s="197" t="s">
        <v>1721</v>
      </c>
      <c r="C74" s="200">
        <f>'Escenario Pesimista'!$F$72</f>
        <v>81.620029460337619</v>
      </c>
      <c r="D74" s="208">
        <f>'00 Panel del Analista'!D241</f>
        <v>0.2</v>
      </c>
      <c r="E74" s="200">
        <f>C74*D74</f>
        <v>16.324005892067525</v>
      </c>
      <c r="F74" s="195"/>
      <c r="G74" s="195"/>
      <c r="H74" s="195"/>
    </row>
    <row r="75" spans="2:8" x14ac:dyDescent="0.3">
      <c r="B75" s="197" t="s">
        <v>1722</v>
      </c>
      <c r="C75" s="200">
        <f>'Escenario Base'!$F$72</f>
        <v>131.72392237678821</v>
      </c>
      <c r="D75" s="208">
        <f>'00 Panel del Analista'!D242</f>
        <v>0.45</v>
      </c>
      <c r="E75" s="200">
        <f>C75*D75</f>
        <v>59.275765069554694</v>
      </c>
      <c r="F75" s="195"/>
      <c r="G75" s="195"/>
      <c r="H75" s="195"/>
    </row>
    <row r="76" spans="2:8" x14ac:dyDescent="0.3">
      <c r="B76" s="197" t="s">
        <v>1723</v>
      </c>
      <c r="C76" s="200">
        <f>'Escenario Optimista'!$F$72</f>
        <v>193.18353256268804</v>
      </c>
      <c r="D76" s="208">
        <f>'00 Panel del Analista'!D243</f>
        <v>0.15</v>
      </c>
      <c r="E76" s="200">
        <f>C76*D76</f>
        <v>28.977529884403204</v>
      </c>
      <c r="F76" s="195"/>
      <c r="G76" s="195"/>
      <c r="H76" s="195"/>
    </row>
    <row r="77" spans="2:8" x14ac:dyDescent="0.3">
      <c r="B77" s="197" t="s">
        <v>1724</v>
      </c>
      <c r="C77" s="200">
        <f>$H$67</f>
        <v>198.41913428021408</v>
      </c>
      <c r="D77" s="208">
        <f>'00 Panel del Analista'!D244</f>
        <v>0.1</v>
      </c>
      <c r="E77" s="200">
        <f>C77*D77</f>
        <v>19.84191342802141</v>
      </c>
      <c r="F77" s="195"/>
      <c r="G77" s="195"/>
      <c r="H77" s="195"/>
    </row>
    <row r="78" spans="2:8" x14ac:dyDescent="0.3">
      <c r="B78" s="197" t="s">
        <v>1318</v>
      </c>
      <c r="C78" s="200">
        <f>'12 SOTP'!$G$25</f>
        <v>205.32980104210236</v>
      </c>
      <c r="D78" s="208">
        <f>'00 Panel del Analista'!D245</f>
        <v>0.1</v>
      </c>
      <c r="E78" s="200">
        <f>C78*D78</f>
        <v>20.532980104210239</v>
      </c>
      <c r="F78" s="195"/>
      <c r="G78" s="195"/>
      <c r="H78" s="195"/>
    </row>
    <row r="79" spans="2:8" x14ac:dyDescent="0.3">
      <c r="B79" s="197" t="s">
        <v>1725</v>
      </c>
      <c r="C79" s="197"/>
      <c r="D79" s="209">
        <f>SUM(D74:D78)</f>
        <v>1</v>
      </c>
      <c r="E79" s="197" t="str">
        <f>IF(ABS(D79-1)&lt;0.0001,"OK","FALLO: los pesos deben sumar 100%")</f>
        <v>OK</v>
      </c>
      <c r="F79" s="195"/>
      <c r="G79" s="195"/>
      <c r="H79" s="195"/>
    </row>
    <row r="80" spans="2:8" ht="17.399999999999999" x14ac:dyDescent="0.3">
      <c r="B80" s="210" t="s">
        <v>1726</v>
      </c>
      <c r="C80" s="211">
        <f>IF(ABS($D$79-1)&gt;0.0001,"corregir los pesos",SUMPRODUCT(C74:C78,D74:D78))</f>
        <v>144.95219437825708</v>
      </c>
      <c r="D80" s="195"/>
      <c r="E80" s="195"/>
      <c r="F80" s="195"/>
      <c r="G80" s="195"/>
      <c r="H80" s="195"/>
    </row>
    <row r="81" spans="2:8" x14ac:dyDescent="0.3">
      <c r="B81" s="197" t="s">
        <v>570</v>
      </c>
      <c r="C81" s="200">
        <f>$C$10</f>
        <v>198.27</v>
      </c>
      <c r="D81" s="195"/>
      <c r="E81" s="195"/>
      <c r="F81" s="195"/>
      <c r="G81" s="195"/>
      <c r="H81" s="195"/>
    </row>
    <row r="82" spans="2:8" x14ac:dyDescent="0.3">
      <c r="B82" s="197" t="s">
        <v>1727</v>
      </c>
      <c r="C82" s="212">
        <f>IF(OR($C$10&lt;=0,NOT(ISNUMBER($C$80))),"introducir precio",$C$80/$C$10-1)</f>
        <v>-0.26891514410522488</v>
      </c>
      <c r="D82" s="195"/>
      <c r="E82" s="195"/>
      <c r="F82" s="195"/>
      <c r="G82" s="195"/>
      <c r="H82" s="195"/>
    </row>
    <row r="83" spans="2:8" x14ac:dyDescent="0.3">
      <c r="B83" s="197" t="s">
        <v>1728</v>
      </c>
      <c r="C83" s="212">
        <f>IF(OR($C$10&lt;=0,NOT(ISNUMBER($C$80))),"introducir precio",1-$C$10/$C$80)</f>
        <v>-0.36783027570185323</v>
      </c>
      <c r="D83" s="195"/>
      <c r="E83" s="195"/>
      <c r="F83" s="195"/>
      <c r="G83" s="195"/>
      <c r="H83" s="195"/>
    </row>
    <row r="84" spans="2:8" x14ac:dyDescent="0.3">
      <c r="B84" s="197" t="s">
        <v>1729</v>
      </c>
      <c r="C84" s="200">
        <f>MIN(C74:C78)</f>
        <v>81.620029460337619</v>
      </c>
      <c r="D84" s="200">
        <f>MAX(C74:C78)</f>
        <v>205.32980104210236</v>
      </c>
      <c r="E84" s="195"/>
      <c r="F84" s="195"/>
      <c r="G84" s="195"/>
      <c r="H84" s="195"/>
    </row>
    <row r="85" spans="2:8" x14ac:dyDescent="0.3">
      <c r="B85" s="197" t="s">
        <v>1730</v>
      </c>
      <c r="C85" s="213">
        <f>IFERROR(D84/C84,"n/a")</f>
        <v>2.5156790851427</v>
      </c>
      <c r="D85" s="195"/>
      <c r="E85" s="195"/>
      <c r="F85" s="195"/>
      <c r="G85" s="195"/>
      <c r="H85" s="195"/>
    </row>
    <row r="86" spans="2:8" x14ac:dyDescent="0.3">
      <c r="B86" s="214" t="s">
        <v>1731</v>
      </c>
      <c r="C86" s="214" t="str">
        <f>IF(NOT(ISNUMBER($C$85)),"n/a",IF($C$85&gt;2.5,"AVISO: los métodos discrepan más de 2,5 veces. El precio objetivo ponderado promedia resultados incompatibles: presentar el RANGO, no el punto.","OK"))</f>
        <v>AVISO: los métodos discrepan más de 2,5 veces. El precio objetivo ponderado promedia resultados incompatibles: presentar el RANGO, no el punto.</v>
      </c>
      <c r="D86" s="195"/>
      <c r="E86" s="195"/>
      <c r="F86" s="195"/>
      <c r="G86" s="195"/>
      <c r="H86" s="19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B073D-8AE7-48F4-9CF0-7D961FA652E2}">
  <dimension ref="A1:Q106"/>
  <sheetViews>
    <sheetView workbookViewId="0"/>
  </sheetViews>
  <sheetFormatPr baseColWidth="10" defaultRowHeight="14.4" x14ac:dyDescent="0.3"/>
  <cols>
    <col min="2" max="2" width="61.109375" customWidth="1"/>
    <col min="3" max="3" width="166.6640625" customWidth="1"/>
    <col min="4" max="17" width="15.21875" customWidth="1"/>
  </cols>
  <sheetData>
    <row r="1" spans="1:17" ht="18" x14ac:dyDescent="0.35">
      <c r="A1" s="4" t="s">
        <v>1978</v>
      </c>
    </row>
    <row r="2" spans="1:17" x14ac:dyDescent="0.3">
      <c r="A2" s="14" t="s">
        <v>218</v>
      </c>
    </row>
    <row r="4" spans="1:17" ht="28.8" x14ac:dyDescent="0.3">
      <c r="B4" s="48" t="s">
        <v>32</v>
      </c>
      <c r="C4" s="48" t="s">
        <v>42</v>
      </c>
      <c r="D4" s="48" t="str">
        <f>'00 Panel del Analista'!D14</f>
        <v>FY2024A</v>
      </c>
      <c r="E4" s="48" t="str">
        <f>'00 Panel del Analista'!E14</f>
        <v>FY2025A</v>
      </c>
      <c r="F4" s="48" t="str">
        <f>'00 Panel del Analista'!F14</f>
        <v>FY2026E</v>
      </c>
      <c r="G4" s="48" t="str">
        <f>'00 Panel del Analista'!G14</f>
        <v>FY2027E</v>
      </c>
      <c r="H4" s="48" t="str">
        <f>'00 Panel del Analista'!H14</f>
        <v>FY2028E</v>
      </c>
      <c r="I4" s="48" t="str">
        <f>'00 Panel del Analista'!I14</f>
        <v>FY2029E</v>
      </c>
      <c r="J4" s="48" t="str">
        <f>'00 Panel del Analista'!J14</f>
        <v>FY2030E</v>
      </c>
      <c r="K4" s="48" t="str">
        <f>'00 Panel del Analista'!K14</f>
        <v>FY2031E</v>
      </c>
      <c r="L4" s="48" t="str">
        <f>'00 Panel del Analista'!L14</f>
        <v>FY2032E</v>
      </c>
      <c r="M4" s="48" t="str">
        <f>'00 Panel del Analista'!M14</f>
        <v>FY2033E</v>
      </c>
      <c r="N4" s="48" t="str">
        <f>'00 Panel del Analista'!N14</f>
        <v>FY2034E</v>
      </c>
      <c r="O4" s="48" t="str">
        <f>'00 Panel del Analista'!O14</f>
        <v>FY2035E</v>
      </c>
      <c r="P4" s="48" t="str">
        <f>'00 Panel del Analista'!P14</f>
        <v>FY2036E</v>
      </c>
      <c r="Q4" s="48" t="s">
        <v>229</v>
      </c>
    </row>
    <row r="6" spans="1:17" x14ac:dyDescent="0.3">
      <c r="B6" s="5" t="s">
        <v>230</v>
      </c>
      <c r="C6" s="5"/>
      <c r="D6" s="5"/>
      <c r="E6" s="5"/>
      <c r="F6" s="5"/>
      <c r="G6" s="5"/>
      <c r="H6" s="5"/>
      <c r="I6" s="5"/>
      <c r="J6" s="5"/>
      <c r="K6" s="5"/>
      <c r="L6" s="5"/>
      <c r="M6" s="5"/>
      <c r="N6" s="5"/>
      <c r="O6" s="5"/>
      <c r="P6" s="5"/>
    </row>
    <row r="7" spans="1:17" x14ac:dyDescent="0.3">
      <c r="B7" t="s">
        <v>231</v>
      </c>
      <c r="C7" s="49">
        <f>'09 Escenarios'!C4</f>
        <v>2</v>
      </c>
    </row>
    <row r="8" spans="1:17" x14ac:dyDescent="0.3">
      <c r="B8" t="s">
        <v>232</v>
      </c>
      <c r="C8" s="49" t="str">
        <f>'09 Escenarios'!C5</f>
        <v>BASE</v>
      </c>
    </row>
    <row r="9" spans="1:17" x14ac:dyDescent="0.3">
      <c r="B9" t="s">
        <v>233</v>
      </c>
      <c r="C9" s="226">
        <f>'00 Panel del Analista'!C11</f>
        <v>46288</v>
      </c>
    </row>
    <row r="10" spans="1:17" x14ac:dyDescent="0.3">
      <c r="B10" t="s">
        <v>235</v>
      </c>
      <c r="C10" s="42" t="str">
        <f>'00 Panel del Analista'!C10</f>
        <v>USD millones</v>
      </c>
    </row>
    <row r="11" spans="1:17" x14ac:dyDescent="0.3">
      <c r="B11" t="s">
        <v>237</v>
      </c>
      <c r="C11" s="42">
        <f>'00 Panel del Analista'!D186</f>
        <v>10</v>
      </c>
    </row>
    <row r="12" spans="1:17" x14ac:dyDescent="0.3">
      <c r="B12" t="s">
        <v>239</v>
      </c>
      <c r="C12" s="42">
        <f>'00 Panel del Analista'!D187</f>
        <v>2</v>
      </c>
    </row>
    <row r="13" spans="1:17" x14ac:dyDescent="0.3">
      <c r="B13" t="s">
        <v>240</v>
      </c>
      <c r="C13" s="42">
        <f>'00 Panel del Analista'!D188</f>
        <v>1</v>
      </c>
    </row>
    <row r="14" spans="1:17" x14ac:dyDescent="0.3">
      <c r="B14" t="s">
        <v>241</v>
      </c>
      <c r="C14" s="42" t="s">
        <v>242</v>
      </c>
    </row>
    <row r="15" spans="1:17" x14ac:dyDescent="0.3">
      <c r="B15" t="s">
        <v>243</v>
      </c>
      <c r="C15" s="42" t="s">
        <v>244</v>
      </c>
    </row>
    <row r="16" spans="1:17" x14ac:dyDescent="0.3">
      <c r="B16" t="s">
        <v>245</v>
      </c>
      <c r="C16" s="42" t="str">
        <f>'00 Panel del Analista'!C12</f>
        <v>FY2025A auditado (cerrado 28/09/2025); base del forecast FY2026E = 9M real + guía Q4</v>
      </c>
    </row>
    <row r="18" spans="2:17" x14ac:dyDescent="0.3">
      <c r="B18" s="5" t="s">
        <v>1979</v>
      </c>
      <c r="C18" s="5"/>
      <c r="D18" s="5"/>
      <c r="E18" s="5"/>
      <c r="F18" s="5"/>
      <c r="G18" s="5"/>
      <c r="H18" s="5"/>
      <c r="I18" s="5"/>
      <c r="J18" s="5"/>
      <c r="K18" s="5"/>
      <c r="L18" s="5"/>
      <c r="M18" s="5"/>
      <c r="N18" s="5"/>
      <c r="O18" s="5"/>
      <c r="P18" s="5"/>
    </row>
    <row r="19" spans="2:17" x14ac:dyDescent="0.3">
      <c r="B19" t="s">
        <v>1980</v>
      </c>
      <c r="C19" t="s">
        <v>23</v>
      </c>
      <c r="G19" s="53">
        <f>'00 Panel del Analista'!G165</f>
        <v>0.6</v>
      </c>
      <c r="H19" s="53">
        <f>'00 Panel del Analista'!H165</f>
        <v>0.33</v>
      </c>
      <c r="I19" s="53">
        <f>'00 Panel del Analista'!I165</f>
        <v>0.22</v>
      </c>
      <c r="J19" s="53">
        <f>'00 Panel del Analista'!J165</f>
        <v>0.15</v>
      </c>
      <c r="K19" s="53">
        <f>'00 Panel del Analista'!K165</f>
        <v>0.12</v>
      </c>
      <c r="L19" s="53">
        <f>'00 Panel del Analista'!L165</f>
        <v>0.1</v>
      </c>
      <c r="M19" s="53">
        <f>'00 Panel del Analista'!M165</f>
        <v>0.08</v>
      </c>
      <c r="N19" s="53">
        <f>'00 Panel del Analista'!N165</f>
        <v>0.06</v>
      </c>
      <c r="O19" s="53">
        <f>'00 Panel del Analista'!O165</f>
        <v>0.05</v>
      </c>
      <c r="P19" s="53">
        <f>'00 Panel del Analista'!P165</f>
        <v>0.04</v>
      </c>
    </row>
    <row r="20" spans="2:17" x14ac:dyDescent="0.3">
      <c r="B20" t="s">
        <v>1981</v>
      </c>
      <c r="C20" t="s">
        <v>23</v>
      </c>
      <c r="G20" s="52">
        <f>G19*'09 Escenarios'!$G$9+$C$104</f>
        <v>0.6</v>
      </c>
      <c r="H20" s="52">
        <f>H19*'09 Escenarios'!$G$9+$C$104</f>
        <v>0.33</v>
      </c>
      <c r="I20" s="52">
        <f>I19*'09 Escenarios'!$G$9+$C$104</f>
        <v>0.22</v>
      </c>
      <c r="J20" s="52">
        <f>J19*'09 Escenarios'!$G$9+$C$104</f>
        <v>0.15</v>
      </c>
      <c r="K20" s="52">
        <f>K19*'09 Escenarios'!$G$9+$C$104</f>
        <v>0.12</v>
      </c>
      <c r="L20" s="52">
        <f>L19*'09 Escenarios'!$G$9+$C$104</f>
        <v>0.1</v>
      </c>
      <c r="M20" s="52">
        <f>M19*'09 Escenarios'!$G$9+$C$104</f>
        <v>0.08</v>
      </c>
      <c r="N20" s="52">
        <f>N19*'09 Escenarios'!$G$9+$C$104</f>
        <v>0.06</v>
      </c>
      <c r="O20" s="52">
        <f>O19*'09 Escenarios'!$G$9+$C$104</f>
        <v>0.05</v>
      </c>
      <c r="P20" s="52">
        <f>P19*'09 Escenarios'!$G$9+$C$104</f>
        <v>0.04</v>
      </c>
    </row>
    <row r="21" spans="2:17" x14ac:dyDescent="0.3">
      <c r="B21" t="s">
        <v>1982</v>
      </c>
      <c r="C21" t="s">
        <v>23</v>
      </c>
      <c r="G21" s="51">
        <f>'00 Panel del Analista'!G166</f>
        <v>-0.15</v>
      </c>
      <c r="H21" s="51">
        <f>'00 Panel del Analista'!H166</f>
        <v>0.02</v>
      </c>
      <c r="I21" s="51">
        <f>'00 Panel del Analista'!I166</f>
        <v>0.03</v>
      </c>
      <c r="J21" s="51">
        <f>'00 Panel del Analista'!J166</f>
        <v>0.02</v>
      </c>
      <c r="K21" s="51">
        <f>'00 Panel del Analista'!K166</f>
        <v>0.02</v>
      </c>
      <c r="L21" s="51">
        <f>'00 Panel del Analista'!L166</f>
        <v>0.02</v>
      </c>
      <c r="M21" s="51">
        <f>'00 Panel del Analista'!M166</f>
        <v>0.02</v>
      </c>
      <c r="N21" s="51">
        <f>'00 Panel del Analista'!N166</f>
        <v>0.02</v>
      </c>
      <c r="O21" s="51">
        <f>'00 Panel del Analista'!O166</f>
        <v>2.5000000000000001E-2</v>
      </c>
      <c r="P21" s="51">
        <f>'00 Panel del Analista'!P166</f>
        <v>2.5000000000000001E-2</v>
      </c>
    </row>
    <row r="22" spans="2:17" x14ac:dyDescent="0.3">
      <c r="B22" t="s">
        <v>1983</v>
      </c>
      <c r="C22" t="s">
        <v>23</v>
      </c>
      <c r="G22" s="52">
        <f>G21+'09 Escenarios'!$G$10+$C$104</f>
        <v>-0.15</v>
      </c>
      <c r="H22" s="52">
        <f>H21+'09 Escenarios'!$G$10+$C$104</f>
        <v>0.02</v>
      </c>
      <c r="I22" s="52">
        <f>I21+'09 Escenarios'!$G$10+$C$104</f>
        <v>0.03</v>
      </c>
      <c r="J22" s="52">
        <f>J21+'09 Escenarios'!$G$10+$C$104</f>
        <v>0.02</v>
      </c>
      <c r="K22" s="52">
        <f>K21+'09 Escenarios'!$G$10+$C$104</f>
        <v>0.02</v>
      </c>
      <c r="L22" s="52">
        <f>L21+'09 Escenarios'!$G$10+$C$104</f>
        <v>0.02</v>
      </c>
      <c r="M22" s="52">
        <f>M21+'09 Escenarios'!$G$10+$C$104</f>
        <v>0.02</v>
      </c>
      <c r="N22" s="52">
        <f>N21+'09 Escenarios'!$G$10+$C$104</f>
        <v>0.02</v>
      </c>
      <c r="O22" s="52">
        <f>O21+'09 Escenarios'!$G$10+$C$104</f>
        <v>2.5000000000000001E-2</v>
      </c>
      <c r="P22" s="52">
        <f>P21+'09 Escenarios'!$G$10+$C$104</f>
        <v>2.5000000000000001E-2</v>
      </c>
    </row>
    <row r="23" spans="2:17" x14ac:dyDescent="0.3">
      <c r="B23" t="s">
        <v>1984</v>
      </c>
      <c r="C23" t="s">
        <v>23</v>
      </c>
      <c r="G23" s="51">
        <f>'00 Panel del Analista'!G167</f>
        <v>-0.02</v>
      </c>
      <c r="H23" s="51">
        <f>'00 Panel del Analista'!H167</f>
        <v>-0.02</v>
      </c>
      <c r="I23" s="51">
        <f>'00 Panel del Analista'!I167</f>
        <v>0</v>
      </c>
      <c r="J23" s="51">
        <f>'00 Panel del Analista'!J167</f>
        <v>0.01</v>
      </c>
      <c r="K23" s="51">
        <f>'00 Panel del Analista'!K167</f>
        <v>0.01</v>
      </c>
      <c r="L23" s="51">
        <f>'00 Panel del Analista'!L167</f>
        <v>0.01</v>
      </c>
      <c r="M23" s="51">
        <f>'00 Panel del Analista'!M167</f>
        <v>1.4999999999999999E-2</v>
      </c>
      <c r="N23" s="51">
        <f>'00 Panel del Analista'!N167</f>
        <v>1.4999999999999999E-2</v>
      </c>
      <c r="O23" s="51">
        <f>'00 Panel del Analista'!O167</f>
        <v>0.02</v>
      </c>
      <c r="P23" s="51">
        <f>'00 Panel del Analista'!P167</f>
        <v>0.02</v>
      </c>
    </row>
    <row r="24" spans="2:17" x14ac:dyDescent="0.3">
      <c r="B24" t="s">
        <v>1985</v>
      </c>
      <c r="C24" t="s">
        <v>23</v>
      </c>
      <c r="G24" s="52">
        <f>G23+'09 Escenarios'!$G$10+$C$104</f>
        <v>-0.02</v>
      </c>
      <c r="H24" s="52">
        <f>H23+'09 Escenarios'!$G$10+$C$104</f>
        <v>-0.02</v>
      </c>
      <c r="I24" s="52">
        <f>I23+'09 Escenarios'!$G$10+$C$104</f>
        <v>0</v>
      </c>
      <c r="J24" s="52">
        <f>J23+'09 Escenarios'!$G$10+$C$104</f>
        <v>0.01</v>
      </c>
      <c r="K24" s="52">
        <f>K23+'09 Escenarios'!$G$10+$C$104</f>
        <v>0.01</v>
      </c>
      <c r="L24" s="52">
        <f>L23+'09 Escenarios'!$G$10+$C$104</f>
        <v>0.01</v>
      </c>
      <c r="M24" s="52">
        <f>M23+'09 Escenarios'!$G$10+$C$104</f>
        <v>1.4999999999999999E-2</v>
      </c>
      <c r="N24" s="52">
        <f>N23+'09 Escenarios'!$G$10+$C$104</f>
        <v>1.4999999999999999E-2</v>
      </c>
      <c r="O24" s="52">
        <f>O23+'09 Escenarios'!$G$10+$C$104</f>
        <v>0.02</v>
      </c>
      <c r="P24" s="52">
        <f>P23+'09 Escenarios'!$G$10+$C$104</f>
        <v>0.02</v>
      </c>
    </row>
    <row r="25" spans="2:17" x14ac:dyDescent="0.3">
      <c r="B25" t="s">
        <v>1986</v>
      </c>
      <c r="C25" t="s">
        <v>23</v>
      </c>
      <c r="G25" s="51">
        <f>'00 Panel del Analista'!G168</f>
        <v>0.22</v>
      </c>
      <c r="H25" s="51">
        <f>'00 Panel del Analista'!H168</f>
        <v>0.17</v>
      </c>
      <c r="I25" s="51">
        <f>'00 Panel del Analista'!I168</f>
        <v>0.15</v>
      </c>
      <c r="J25" s="51">
        <f>'00 Panel del Analista'!J168</f>
        <v>0.13</v>
      </c>
      <c r="K25" s="51">
        <f>'00 Panel del Analista'!K168</f>
        <v>0.11</v>
      </c>
      <c r="L25" s="51">
        <f>'00 Panel del Analista'!L168</f>
        <v>0.09</v>
      </c>
      <c r="M25" s="51">
        <f>'00 Panel del Analista'!M168</f>
        <v>0.08</v>
      </c>
      <c r="N25" s="51">
        <f>'00 Panel del Analista'!N168</f>
        <v>7.0000000000000007E-2</v>
      </c>
      <c r="O25" s="51">
        <f>'00 Panel del Analista'!O168</f>
        <v>0.06</v>
      </c>
      <c r="P25" s="51">
        <f>'00 Panel del Analista'!P168</f>
        <v>0.05</v>
      </c>
    </row>
    <row r="26" spans="2:17" x14ac:dyDescent="0.3">
      <c r="B26" t="s">
        <v>1987</v>
      </c>
      <c r="C26" t="s">
        <v>23</v>
      </c>
      <c r="G26" s="52">
        <f>G25+'09 Escenarios'!$G$10+$C$104</f>
        <v>0.22</v>
      </c>
      <c r="H26" s="52">
        <f>H25+'09 Escenarios'!$G$10+$C$104</f>
        <v>0.17</v>
      </c>
      <c r="I26" s="52">
        <f>I25+'09 Escenarios'!$G$10+$C$104</f>
        <v>0.15</v>
      </c>
      <c r="J26" s="52">
        <f>J25+'09 Escenarios'!$G$10+$C$104</f>
        <v>0.13</v>
      </c>
      <c r="K26" s="52">
        <f>K25+'09 Escenarios'!$G$10+$C$104</f>
        <v>0.11</v>
      </c>
      <c r="L26" s="52">
        <f>L25+'09 Escenarios'!$G$10+$C$104</f>
        <v>0.09</v>
      </c>
      <c r="M26" s="52">
        <f>M25+'09 Escenarios'!$G$10+$C$104</f>
        <v>0.08</v>
      </c>
      <c r="N26" s="52">
        <f>N25+'09 Escenarios'!$G$10+$C$104</f>
        <v>7.0000000000000007E-2</v>
      </c>
      <c r="O26" s="52">
        <f>O25+'09 Escenarios'!$G$10+$C$104</f>
        <v>0.06</v>
      </c>
      <c r="P26" s="52">
        <f>P25+'09 Escenarios'!$G$10+$C$104</f>
        <v>0.05</v>
      </c>
    </row>
    <row r="28" spans="2:17" x14ac:dyDescent="0.3">
      <c r="B28" s="5" t="s">
        <v>246</v>
      </c>
      <c r="C28" s="5"/>
      <c r="D28" s="5"/>
      <c r="E28" s="5"/>
      <c r="F28" s="5"/>
      <c r="G28" s="5"/>
      <c r="H28" s="5"/>
      <c r="I28" s="5"/>
      <c r="J28" s="5"/>
      <c r="K28" s="5"/>
      <c r="L28" s="5"/>
      <c r="M28" s="5"/>
      <c r="N28" s="5"/>
      <c r="O28" s="5"/>
      <c r="P28" s="5"/>
    </row>
    <row r="29" spans="2:17" x14ac:dyDescent="0.3">
      <c r="B29" t="s">
        <v>247</v>
      </c>
      <c r="C29" t="s">
        <v>23</v>
      </c>
      <c r="G29" s="53">
        <f>'00 Panel del Analista'!G169</f>
        <v>0.54500000000000004</v>
      </c>
      <c r="H29" s="53">
        <f>'00 Panel del Analista'!H169</f>
        <v>0.55000000000000004</v>
      </c>
      <c r="I29" s="53">
        <f>'00 Panel del Analista'!I169</f>
        <v>0.55500000000000005</v>
      </c>
      <c r="J29" s="53">
        <f>'00 Panel del Analista'!J169</f>
        <v>0.55500000000000005</v>
      </c>
      <c r="K29" s="53">
        <f>'00 Panel del Analista'!K169</f>
        <v>0.55500000000000005</v>
      </c>
      <c r="L29" s="53">
        <f>'00 Panel del Analista'!L169</f>
        <v>0.55500000000000005</v>
      </c>
      <c r="M29" s="53">
        <f>'00 Panel del Analista'!M169</f>
        <v>0.55500000000000005</v>
      </c>
      <c r="N29" s="53">
        <f>'00 Panel del Analista'!N169</f>
        <v>0.55500000000000005</v>
      </c>
      <c r="O29" s="53">
        <f>'00 Panel del Analista'!O169</f>
        <v>0.55500000000000005</v>
      </c>
      <c r="P29" s="53">
        <f>'00 Panel del Analista'!P169</f>
        <v>0.55500000000000005</v>
      </c>
    </row>
    <row r="30" spans="2:17" x14ac:dyDescent="0.3">
      <c r="B30" t="s">
        <v>248</v>
      </c>
      <c r="C30" t="s">
        <v>23</v>
      </c>
      <c r="G30" s="52">
        <f>G29+'09 Escenarios'!$G$11</f>
        <v>0.54500000000000004</v>
      </c>
      <c r="H30" s="52">
        <f>H29+'09 Escenarios'!$G$11</f>
        <v>0.55000000000000004</v>
      </c>
      <c r="I30" s="52">
        <f>I29+'09 Escenarios'!$G$11</f>
        <v>0.55500000000000005</v>
      </c>
      <c r="J30" s="52">
        <f>J29+'09 Escenarios'!$G$11</f>
        <v>0.55500000000000005</v>
      </c>
      <c r="K30" s="52">
        <f>K29+'09 Escenarios'!$G$11</f>
        <v>0.55500000000000005</v>
      </c>
      <c r="L30" s="52">
        <f>L29+'09 Escenarios'!$G$11</f>
        <v>0.55500000000000005</v>
      </c>
      <c r="M30" s="52">
        <f>M29+'09 Escenarios'!$G$11</f>
        <v>0.55500000000000005</v>
      </c>
      <c r="N30" s="52">
        <f>N29+'09 Escenarios'!$G$11</f>
        <v>0.55500000000000005</v>
      </c>
      <c r="O30" s="52">
        <f>O29+'09 Escenarios'!$G$11</f>
        <v>0.55500000000000005</v>
      </c>
      <c r="P30" s="52">
        <f>P29+'09 Escenarios'!$G$11</f>
        <v>0.55500000000000005</v>
      </c>
    </row>
    <row r="31" spans="2:17" x14ac:dyDescent="0.3">
      <c r="B31" t="s">
        <v>1988</v>
      </c>
      <c r="C31" t="s">
        <v>23</v>
      </c>
      <c r="G31" s="51">
        <f>'00 Panel del Analista'!G170</f>
        <v>8.5000000000000006E-2</v>
      </c>
      <c r="H31" s="51">
        <f>'00 Panel del Analista'!H170</f>
        <v>0.08</v>
      </c>
      <c r="I31" s="51">
        <f>'00 Panel del Analista'!I170</f>
        <v>7.6999999999999999E-2</v>
      </c>
      <c r="J31" s="51">
        <f>'00 Panel del Analista'!J170</f>
        <v>7.4999999999999997E-2</v>
      </c>
      <c r="K31" s="51">
        <f>'00 Panel del Analista'!K170</f>
        <v>7.2999999999999995E-2</v>
      </c>
      <c r="L31" s="51">
        <f>'00 Panel del Analista'!L170</f>
        <v>7.1999999999999995E-2</v>
      </c>
      <c r="M31" s="51">
        <f>'00 Panel del Analista'!M170</f>
        <v>7.0999999999999994E-2</v>
      </c>
      <c r="N31" s="51">
        <f>'00 Panel del Analista'!N170</f>
        <v>7.0999999999999994E-2</v>
      </c>
      <c r="O31" s="51">
        <f>'00 Panel del Analista'!O170</f>
        <v>7.0999999999999994E-2</v>
      </c>
      <c r="P31" s="51">
        <f>'00 Panel del Analista'!P170</f>
        <v>7.0999999999999994E-2</v>
      </c>
    </row>
    <row r="32" spans="2:17" x14ac:dyDescent="0.3">
      <c r="B32" t="s">
        <v>1989</v>
      </c>
      <c r="C32" t="s">
        <v>23</v>
      </c>
      <c r="G32" s="52">
        <f>G31+'09 Escenarios'!$G$12*$Q$32</f>
        <v>8.5000000000000006E-2</v>
      </c>
      <c r="H32" s="52">
        <f>H31+'09 Escenarios'!$G$12*$Q$32</f>
        <v>0.08</v>
      </c>
      <c r="I32" s="52">
        <f>I31+'09 Escenarios'!$G$12*$Q$32</f>
        <v>7.6999999999999999E-2</v>
      </c>
      <c r="J32" s="52">
        <f>J31+'09 Escenarios'!$G$12*$Q$32</f>
        <v>7.4999999999999997E-2</v>
      </c>
      <c r="K32" s="52">
        <f>K31+'09 Escenarios'!$G$12*$Q$32</f>
        <v>7.2999999999999995E-2</v>
      </c>
      <c r="L32" s="52">
        <f>L31+'09 Escenarios'!$G$12*$Q$32</f>
        <v>7.1999999999999995E-2</v>
      </c>
      <c r="M32" s="52">
        <f>M31+'09 Escenarios'!$G$12*$Q$32</f>
        <v>7.0999999999999994E-2</v>
      </c>
      <c r="N32" s="52">
        <f>N31+'09 Escenarios'!$G$12*$Q$32</f>
        <v>7.0999999999999994E-2</v>
      </c>
      <c r="O32" s="52">
        <f>O31+'09 Escenarios'!$G$12*$Q$32</f>
        <v>7.0999999999999994E-2</v>
      </c>
      <c r="P32" s="52">
        <f>P31+'09 Escenarios'!$G$12*$Q$32</f>
        <v>7.0999999999999994E-2</v>
      </c>
      <c r="Q32" s="63">
        <f>'00 Panel del Analista'!D202</f>
        <v>0.4</v>
      </c>
    </row>
    <row r="33" spans="2:17" x14ac:dyDescent="0.3">
      <c r="B33" t="s">
        <v>249</v>
      </c>
      <c r="C33" t="s">
        <v>23</v>
      </c>
      <c r="G33" s="51">
        <f>'00 Panel del Analista'!G171</f>
        <v>0.23499999999999999</v>
      </c>
      <c r="H33" s="51">
        <f>'00 Panel del Analista'!H171</f>
        <v>0.22500000000000001</v>
      </c>
      <c r="I33" s="51">
        <f>'00 Panel del Analista'!I171</f>
        <v>0.215</v>
      </c>
      <c r="J33" s="51">
        <f>'00 Panel del Analista'!J171</f>
        <v>0.21</v>
      </c>
      <c r="K33" s="51">
        <f>'00 Panel del Analista'!K171</f>
        <v>0.20699999999999999</v>
      </c>
      <c r="L33" s="51">
        <f>'00 Panel del Analista'!L171</f>
        <v>0.20499999999999999</v>
      </c>
      <c r="M33" s="51">
        <f>'00 Panel del Analista'!M171</f>
        <v>0.20499999999999999</v>
      </c>
      <c r="N33" s="51">
        <f>'00 Panel del Analista'!N171</f>
        <v>0.20499999999999999</v>
      </c>
      <c r="O33" s="51">
        <f>'00 Panel del Analista'!O171</f>
        <v>0.20499999999999999</v>
      </c>
      <c r="P33" s="51">
        <f>'00 Panel del Analista'!P171</f>
        <v>0.20499999999999999</v>
      </c>
      <c r="Q33" s="64"/>
    </row>
    <row r="34" spans="2:17" x14ac:dyDescent="0.3">
      <c r="B34" t="s">
        <v>250</v>
      </c>
      <c r="C34" t="s">
        <v>23</v>
      </c>
      <c r="G34" s="52">
        <f>G33+'09 Escenarios'!$G$12*$Q$34</f>
        <v>0.23499999999999999</v>
      </c>
      <c r="H34" s="52">
        <f>H33+'09 Escenarios'!$G$12*$Q$34</f>
        <v>0.22500000000000001</v>
      </c>
      <c r="I34" s="52">
        <f>I33+'09 Escenarios'!$G$12*$Q$34</f>
        <v>0.215</v>
      </c>
      <c r="J34" s="52">
        <f>J33+'09 Escenarios'!$G$12*$Q$34</f>
        <v>0.21</v>
      </c>
      <c r="K34" s="52">
        <f>K33+'09 Escenarios'!$G$12*$Q$34</f>
        <v>0.20699999999999999</v>
      </c>
      <c r="L34" s="52">
        <f>L33+'09 Escenarios'!$G$12*$Q$34</f>
        <v>0.20499999999999999</v>
      </c>
      <c r="M34" s="52">
        <f>M33+'09 Escenarios'!$G$12*$Q$34</f>
        <v>0.20499999999999999</v>
      </c>
      <c r="N34" s="52">
        <f>N33+'09 Escenarios'!$G$12*$Q$34</f>
        <v>0.20499999999999999</v>
      </c>
      <c r="O34" s="52">
        <f>O33+'09 Escenarios'!$G$12*$Q$34</f>
        <v>0.20499999999999999</v>
      </c>
      <c r="P34" s="52">
        <f>P33+'09 Escenarios'!$G$12*$Q$34</f>
        <v>0.20499999999999999</v>
      </c>
      <c r="Q34" s="63">
        <f>'00 Panel del Analista'!D203</f>
        <v>0.6</v>
      </c>
    </row>
    <row r="35" spans="2:17" x14ac:dyDescent="0.3">
      <c r="B35" t="s">
        <v>1990</v>
      </c>
      <c r="C35" t="s">
        <v>23</v>
      </c>
      <c r="G35" s="51">
        <f>'00 Panel del Analista'!G172</f>
        <v>0</v>
      </c>
      <c r="H35" s="51">
        <f>'00 Panel del Analista'!H172</f>
        <v>0</v>
      </c>
      <c r="I35" s="51">
        <f>'00 Panel del Analista'!I172</f>
        <v>0</v>
      </c>
      <c r="J35" s="51">
        <f>'00 Panel del Analista'!J172</f>
        <v>0</v>
      </c>
      <c r="K35" s="51">
        <f>'00 Panel del Analista'!K172</f>
        <v>0</v>
      </c>
      <c r="L35" s="51">
        <f>'00 Panel del Analista'!L172</f>
        <v>0</v>
      </c>
      <c r="M35" s="51">
        <f>'00 Panel del Analista'!M172</f>
        <v>0</v>
      </c>
      <c r="N35" s="51">
        <f>'00 Panel del Analista'!N172</f>
        <v>0</v>
      </c>
      <c r="O35" s="51">
        <f>'00 Panel del Analista'!O172</f>
        <v>0</v>
      </c>
      <c r="P35" s="51">
        <f>'00 Panel del Analista'!P172</f>
        <v>0</v>
      </c>
      <c r="Q35" s="64"/>
    </row>
    <row r="36" spans="2:17" x14ac:dyDescent="0.3">
      <c r="B36" t="s">
        <v>1991</v>
      </c>
      <c r="C36" t="s">
        <v>23</v>
      </c>
      <c r="G36" s="52">
        <f>G35+'09 Escenarios'!$G$12*$Q$36</f>
        <v>0</v>
      </c>
      <c r="H36" s="52">
        <f>H35+'09 Escenarios'!$G$12*$Q$36</f>
        <v>0</v>
      </c>
      <c r="I36" s="52">
        <f>I35+'09 Escenarios'!$G$12*$Q$36</f>
        <v>0</v>
      </c>
      <c r="J36" s="52">
        <f>J35+'09 Escenarios'!$G$12*$Q$36</f>
        <v>0</v>
      </c>
      <c r="K36" s="52">
        <f>K35+'09 Escenarios'!$G$12*$Q$36</f>
        <v>0</v>
      </c>
      <c r="L36" s="52">
        <f>L35+'09 Escenarios'!$G$12*$Q$36</f>
        <v>0</v>
      </c>
      <c r="M36" s="52">
        <f>M35+'09 Escenarios'!$G$12*$Q$36</f>
        <v>0</v>
      </c>
      <c r="N36" s="52">
        <f>N35+'09 Escenarios'!$G$12*$Q$36</f>
        <v>0</v>
      </c>
      <c r="O36" s="52">
        <f>O35+'09 Escenarios'!$G$12*$Q$36</f>
        <v>0</v>
      </c>
      <c r="P36" s="52">
        <f>P35+'09 Escenarios'!$G$12*$Q$36</f>
        <v>0</v>
      </c>
      <c r="Q36" s="63">
        <f>'00 Panel del Analista'!D204</f>
        <v>0</v>
      </c>
    </row>
    <row r="37" spans="2:17" x14ac:dyDescent="0.3">
      <c r="B37" t="s">
        <v>251</v>
      </c>
      <c r="C37" t="s">
        <v>46</v>
      </c>
      <c r="G37" s="54">
        <f>'00 Panel del Analista'!G173</f>
        <v>430</v>
      </c>
      <c r="H37" s="54">
        <f>'00 Panel del Analista'!H173</f>
        <v>350</v>
      </c>
      <c r="I37" s="54">
        <f>'00 Panel del Analista'!I173</f>
        <v>280</v>
      </c>
      <c r="J37" s="54">
        <f>'00 Panel del Analista'!J173</f>
        <v>210</v>
      </c>
      <c r="K37" s="54">
        <f>'00 Panel del Analista'!K173</f>
        <v>140</v>
      </c>
      <c r="L37" s="54">
        <f>'00 Panel del Analista'!L173</f>
        <v>100</v>
      </c>
      <c r="M37" s="54">
        <f>'00 Panel del Analista'!M173</f>
        <v>0</v>
      </c>
      <c r="N37" s="54">
        <f>'00 Panel del Analista'!N173</f>
        <v>0</v>
      </c>
      <c r="O37" s="54">
        <f>'00 Panel del Analista'!O173</f>
        <v>0</v>
      </c>
      <c r="P37" s="54">
        <f>'00 Panel del Analista'!P173</f>
        <v>0</v>
      </c>
    </row>
    <row r="38" spans="2:17" x14ac:dyDescent="0.3">
      <c r="B38" t="s">
        <v>1924</v>
      </c>
      <c r="C38" t="s">
        <v>46</v>
      </c>
      <c r="G38" s="54">
        <f>'00 Panel del Analista'!G174</f>
        <v>100</v>
      </c>
      <c r="H38" s="54">
        <f>'00 Panel del Analista'!H174</f>
        <v>100</v>
      </c>
      <c r="I38" s="54">
        <f>'00 Panel del Analista'!I174</f>
        <v>100</v>
      </c>
      <c r="J38" s="54">
        <f>'00 Panel del Analista'!J174</f>
        <v>100</v>
      </c>
      <c r="K38" s="54">
        <f>'00 Panel del Analista'!K174</f>
        <v>100</v>
      </c>
      <c r="L38" s="54">
        <f>'00 Panel del Analista'!L174</f>
        <v>100</v>
      </c>
      <c r="M38" s="54">
        <f>'00 Panel del Analista'!M174</f>
        <v>100</v>
      </c>
      <c r="N38" s="54">
        <f>'00 Panel del Analista'!N174</f>
        <v>100</v>
      </c>
      <c r="O38" s="54">
        <f>'00 Panel del Analista'!O174</f>
        <v>100</v>
      </c>
      <c r="P38" s="54">
        <f>'00 Panel del Analista'!P174</f>
        <v>100</v>
      </c>
    </row>
    <row r="40" spans="2:17" x14ac:dyDescent="0.3">
      <c r="B40" s="5" t="s">
        <v>253</v>
      </c>
      <c r="C40" s="5"/>
      <c r="D40" s="5"/>
      <c r="E40" s="5"/>
      <c r="F40" s="5"/>
      <c r="G40" s="5"/>
      <c r="H40" s="5"/>
      <c r="I40" s="5"/>
      <c r="J40" s="5"/>
      <c r="K40" s="5"/>
      <c r="L40" s="5"/>
      <c r="M40" s="5"/>
      <c r="N40" s="5"/>
      <c r="O40" s="5"/>
      <c r="P40" s="5"/>
    </row>
    <row r="41" spans="2:17" x14ac:dyDescent="0.3">
      <c r="B41" t="s">
        <v>254</v>
      </c>
      <c r="C41" t="s">
        <v>23</v>
      </c>
      <c r="G41" s="53">
        <f>'00 Panel del Analista'!G175</f>
        <v>4.4999999999999998E-2</v>
      </c>
      <c r="H41" s="53">
        <f>'00 Panel del Analista'!H175</f>
        <v>3.7999999999999999E-2</v>
      </c>
      <c r="I41" s="53">
        <f>'00 Panel del Analista'!I175</f>
        <v>3.4000000000000002E-2</v>
      </c>
      <c r="J41" s="53">
        <f>'00 Panel del Analista'!J175</f>
        <v>0.03</v>
      </c>
      <c r="K41" s="53">
        <f>'00 Panel del Analista'!K175</f>
        <v>0.03</v>
      </c>
      <c r="L41" s="53">
        <f>'00 Panel del Analista'!L175</f>
        <v>0.03</v>
      </c>
      <c r="M41" s="53">
        <f>'00 Panel del Analista'!M175</f>
        <v>0.03</v>
      </c>
      <c r="N41" s="53">
        <f>'00 Panel del Analista'!N175</f>
        <v>0.03</v>
      </c>
      <c r="O41" s="53">
        <f>'00 Panel del Analista'!O175</f>
        <v>0.03</v>
      </c>
      <c r="P41" s="53">
        <f>'00 Panel del Analista'!P175</f>
        <v>0.03</v>
      </c>
    </row>
    <row r="42" spans="2:17" x14ac:dyDescent="0.3">
      <c r="B42" t="s">
        <v>255</v>
      </c>
      <c r="C42" t="s">
        <v>23</v>
      </c>
      <c r="G42" s="52">
        <f>G41*'09 Escenarios'!$G$13</f>
        <v>4.4999999999999998E-2</v>
      </c>
      <c r="H42" s="52">
        <f>H41*'09 Escenarios'!$G$13</f>
        <v>3.7999999999999999E-2</v>
      </c>
      <c r="I42" s="52">
        <f>I41*'09 Escenarios'!$G$13</f>
        <v>3.4000000000000002E-2</v>
      </c>
      <c r="J42" s="52">
        <f>J41*'09 Escenarios'!$G$13</f>
        <v>0.03</v>
      </c>
      <c r="K42" s="52">
        <f>K41*'09 Escenarios'!$G$13</f>
        <v>0.03</v>
      </c>
      <c r="L42" s="52">
        <f>L41*'09 Escenarios'!$G$13</f>
        <v>0.03</v>
      </c>
      <c r="M42" s="52">
        <f>M41*'09 Escenarios'!$G$13</f>
        <v>0.03</v>
      </c>
      <c r="N42" s="52">
        <f>N41*'09 Escenarios'!$G$13</f>
        <v>0.03</v>
      </c>
      <c r="O42" s="52">
        <f>O41*'09 Escenarios'!$G$13</f>
        <v>0.03</v>
      </c>
      <c r="P42" s="52">
        <f>P41*'09 Escenarios'!$G$13</f>
        <v>0.03</v>
      </c>
    </row>
    <row r="43" spans="2:17" x14ac:dyDescent="0.3">
      <c r="B43" t="s">
        <v>256</v>
      </c>
      <c r="C43" s="58">
        <f>'00 Panel del Analista'!D189</f>
        <v>4.5</v>
      </c>
    </row>
    <row r="44" spans="2:17" x14ac:dyDescent="0.3">
      <c r="B44" t="s">
        <v>257</v>
      </c>
      <c r="C44" t="s">
        <v>238</v>
      </c>
      <c r="F44" s="59">
        <f>('03 Historical'!E48+'03 Historical'!F129/2)/'03 Historical'!F79</f>
        <v>4.5153342070773261</v>
      </c>
    </row>
    <row r="46" spans="2:17" x14ac:dyDescent="0.3">
      <c r="B46" s="5" t="s">
        <v>258</v>
      </c>
      <c r="C46" s="5"/>
      <c r="D46" s="5"/>
      <c r="E46" s="5"/>
      <c r="F46" s="5"/>
      <c r="G46" s="5"/>
      <c r="H46" s="5"/>
      <c r="I46" s="5"/>
      <c r="J46" s="5"/>
      <c r="K46" s="5"/>
      <c r="L46" s="5"/>
      <c r="M46" s="5"/>
      <c r="N46" s="5"/>
      <c r="O46" s="5"/>
      <c r="P46" s="5"/>
    </row>
    <row r="47" spans="2:17" x14ac:dyDescent="0.3">
      <c r="B47" t="s">
        <v>259</v>
      </c>
      <c r="C47" t="s">
        <v>149</v>
      </c>
      <c r="G47" s="45">
        <f>'00 Panel del Analista'!G176</f>
        <v>38</v>
      </c>
      <c r="H47" s="45">
        <f>'00 Panel del Analista'!H176</f>
        <v>38</v>
      </c>
      <c r="I47" s="45">
        <f>'00 Panel del Analista'!I176</f>
        <v>38</v>
      </c>
      <c r="J47" s="45">
        <f>'00 Panel del Analista'!J176</f>
        <v>38</v>
      </c>
      <c r="K47" s="45">
        <f>'00 Panel del Analista'!K176</f>
        <v>38</v>
      </c>
      <c r="L47" s="45">
        <f>'00 Panel del Analista'!L176</f>
        <v>38</v>
      </c>
      <c r="M47" s="45">
        <f>'00 Panel del Analista'!M176</f>
        <v>38</v>
      </c>
      <c r="N47" s="45">
        <f>'00 Panel del Analista'!N176</f>
        <v>38</v>
      </c>
      <c r="O47" s="45">
        <f>'00 Panel del Analista'!O176</f>
        <v>38</v>
      </c>
      <c r="P47" s="45">
        <f>'00 Panel del Analista'!P176</f>
        <v>38</v>
      </c>
    </row>
    <row r="48" spans="2:17" x14ac:dyDescent="0.3">
      <c r="B48" t="s">
        <v>260</v>
      </c>
      <c r="C48" t="s">
        <v>149</v>
      </c>
      <c r="G48" s="55">
        <f>G47+'09 Escenarios'!$G$14</f>
        <v>38</v>
      </c>
      <c r="H48" s="55">
        <f>H47+'09 Escenarios'!$G$14</f>
        <v>38</v>
      </c>
      <c r="I48" s="55">
        <f>I47+'09 Escenarios'!$G$14</f>
        <v>38</v>
      </c>
      <c r="J48" s="55">
        <f>J47+'09 Escenarios'!$G$14</f>
        <v>38</v>
      </c>
      <c r="K48" s="55">
        <f>K47+'09 Escenarios'!$G$14</f>
        <v>38</v>
      </c>
      <c r="L48" s="55">
        <f>L47+'09 Escenarios'!$G$14</f>
        <v>38</v>
      </c>
      <c r="M48" s="55">
        <f>M47+'09 Escenarios'!$G$14</f>
        <v>38</v>
      </c>
      <c r="N48" s="55">
        <f>N47+'09 Escenarios'!$G$14</f>
        <v>38</v>
      </c>
      <c r="O48" s="55">
        <f>O47+'09 Escenarios'!$G$14</f>
        <v>38</v>
      </c>
      <c r="P48" s="55">
        <f>P47+'09 Escenarios'!$G$14</f>
        <v>38</v>
      </c>
    </row>
    <row r="49" spans="2:16" x14ac:dyDescent="0.3">
      <c r="B49" t="s">
        <v>261</v>
      </c>
      <c r="C49" t="s">
        <v>23</v>
      </c>
      <c r="G49" s="51">
        <f>'00 Panel del Analista'!G177</f>
        <v>0.13400000000000001</v>
      </c>
      <c r="H49" s="51">
        <f>'00 Panel del Analista'!H177</f>
        <v>0.13400000000000001</v>
      </c>
      <c r="I49" s="51">
        <f>'00 Panel del Analista'!I177</f>
        <v>0.13400000000000001</v>
      </c>
      <c r="J49" s="51">
        <f>'00 Panel del Analista'!J177</f>
        <v>0.13400000000000001</v>
      </c>
      <c r="K49" s="51">
        <f>'00 Panel del Analista'!K177</f>
        <v>0.13400000000000001</v>
      </c>
      <c r="L49" s="51">
        <f>'00 Panel del Analista'!L177</f>
        <v>0.13400000000000001</v>
      </c>
      <c r="M49" s="51">
        <f>'00 Panel del Analista'!M177</f>
        <v>0.13400000000000001</v>
      </c>
      <c r="N49" s="51">
        <f>'00 Panel del Analista'!N177</f>
        <v>0.13400000000000001</v>
      </c>
      <c r="O49" s="51">
        <f>'00 Panel del Analista'!O177</f>
        <v>0.13400000000000001</v>
      </c>
      <c r="P49" s="51">
        <f>'00 Panel del Analista'!P177</f>
        <v>0.13400000000000001</v>
      </c>
    </row>
    <row r="50" spans="2:16" x14ac:dyDescent="0.3">
      <c r="B50" t="s">
        <v>151</v>
      </c>
      <c r="C50" t="s">
        <v>23</v>
      </c>
      <c r="G50" s="51">
        <f>'00 Panel del Analista'!G178</f>
        <v>7.0000000000000001E-3</v>
      </c>
      <c r="H50" s="51">
        <f>'00 Panel del Analista'!H178</f>
        <v>7.0000000000000001E-3</v>
      </c>
      <c r="I50" s="51">
        <f>'00 Panel del Analista'!I178</f>
        <v>7.0000000000000001E-3</v>
      </c>
      <c r="J50" s="51">
        <f>'00 Panel del Analista'!J178</f>
        <v>7.0000000000000001E-3</v>
      </c>
      <c r="K50" s="51">
        <f>'00 Panel del Analista'!K178</f>
        <v>7.0000000000000001E-3</v>
      </c>
      <c r="L50" s="51">
        <f>'00 Panel del Analista'!L178</f>
        <v>7.0000000000000001E-3</v>
      </c>
      <c r="M50" s="51">
        <f>'00 Panel del Analista'!M178</f>
        <v>7.0000000000000001E-3</v>
      </c>
      <c r="N50" s="51">
        <f>'00 Panel del Analista'!N178</f>
        <v>7.0000000000000001E-3</v>
      </c>
      <c r="O50" s="51">
        <f>'00 Panel del Analista'!O178</f>
        <v>7.0000000000000001E-3</v>
      </c>
      <c r="P50" s="51">
        <f>'00 Panel del Analista'!P178</f>
        <v>7.0000000000000001E-3</v>
      </c>
    </row>
    <row r="51" spans="2:16" x14ac:dyDescent="0.3">
      <c r="B51" t="s">
        <v>1925</v>
      </c>
      <c r="C51" t="s">
        <v>23</v>
      </c>
      <c r="G51" s="51">
        <f>'00 Panel del Analista'!G179</f>
        <v>0.21</v>
      </c>
      <c r="H51" s="51">
        <f>'00 Panel del Analista'!H179</f>
        <v>0.2</v>
      </c>
      <c r="I51" s="51">
        <f>'00 Panel del Analista'!I179</f>
        <v>0.2</v>
      </c>
      <c r="J51" s="51">
        <f>'00 Panel del Analista'!J179</f>
        <v>0.2</v>
      </c>
      <c r="K51" s="51">
        <f>'00 Panel del Analista'!K179</f>
        <v>0.2</v>
      </c>
      <c r="L51" s="51">
        <f>'00 Panel del Analista'!L179</f>
        <v>0.2</v>
      </c>
      <c r="M51" s="51">
        <f>'00 Panel del Analista'!M179</f>
        <v>0.2</v>
      </c>
      <c r="N51" s="51">
        <f>'00 Panel del Analista'!N179</f>
        <v>0.2</v>
      </c>
      <c r="O51" s="51">
        <f>'00 Panel del Analista'!O179</f>
        <v>0.2</v>
      </c>
      <c r="P51" s="51">
        <f>'00 Panel del Analista'!P179</f>
        <v>0.2</v>
      </c>
    </row>
    <row r="52" spans="2:16" x14ac:dyDescent="0.3">
      <c r="B52" t="s">
        <v>1926</v>
      </c>
      <c r="C52" t="s">
        <v>23</v>
      </c>
      <c r="G52" s="51">
        <f>'00 Panel del Analista'!G180</f>
        <v>3.7999999999999999E-2</v>
      </c>
      <c r="H52" s="51">
        <f>'00 Panel del Analista'!H180</f>
        <v>3.7999999999999999E-2</v>
      </c>
      <c r="I52" s="51">
        <f>'00 Panel del Analista'!I180</f>
        <v>3.7999999999999999E-2</v>
      </c>
      <c r="J52" s="51">
        <f>'00 Panel del Analista'!J180</f>
        <v>3.7999999999999999E-2</v>
      </c>
      <c r="K52" s="51">
        <f>'00 Panel del Analista'!K180</f>
        <v>3.7999999999999999E-2</v>
      </c>
      <c r="L52" s="51">
        <f>'00 Panel del Analista'!L180</f>
        <v>3.7999999999999999E-2</v>
      </c>
      <c r="M52" s="51">
        <f>'00 Panel del Analista'!M180</f>
        <v>3.7999999999999999E-2</v>
      </c>
      <c r="N52" s="51">
        <f>'00 Panel del Analista'!N180</f>
        <v>3.7999999999999999E-2</v>
      </c>
      <c r="O52" s="51">
        <f>'00 Panel del Analista'!O180</f>
        <v>3.7999999999999999E-2</v>
      </c>
      <c r="P52" s="51">
        <f>'00 Panel del Analista'!P180</f>
        <v>3.7999999999999999E-2</v>
      </c>
    </row>
    <row r="53" spans="2:16" x14ac:dyDescent="0.3">
      <c r="B53" t="s">
        <v>262</v>
      </c>
      <c r="C53" t="s">
        <v>23</v>
      </c>
      <c r="G53" s="51">
        <f>'00 Panel del Analista'!G181</f>
        <v>9.7000000000000003E-2</v>
      </c>
      <c r="H53" s="51">
        <f>'00 Panel del Analista'!H181</f>
        <v>9.7000000000000003E-2</v>
      </c>
      <c r="I53" s="51">
        <f>'00 Panel del Analista'!I181</f>
        <v>9.7000000000000003E-2</v>
      </c>
      <c r="J53" s="51">
        <f>'00 Panel del Analista'!J181</f>
        <v>9.7000000000000003E-2</v>
      </c>
      <c r="K53" s="51">
        <f>'00 Panel del Analista'!K181</f>
        <v>9.7000000000000003E-2</v>
      </c>
      <c r="L53" s="51">
        <f>'00 Panel del Analista'!L181</f>
        <v>9.7000000000000003E-2</v>
      </c>
      <c r="M53" s="51">
        <f>'00 Panel del Analista'!M181</f>
        <v>9.7000000000000003E-2</v>
      </c>
      <c r="N53" s="51">
        <f>'00 Panel del Analista'!N181</f>
        <v>9.7000000000000003E-2</v>
      </c>
      <c r="O53" s="51">
        <f>'00 Panel del Analista'!O181</f>
        <v>9.7000000000000003E-2</v>
      </c>
      <c r="P53" s="51">
        <f>'00 Panel del Analista'!P181</f>
        <v>9.7000000000000003E-2</v>
      </c>
    </row>
    <row r="55" spans="2:16" x14ac:dyDescent="0.3">
      <c r="B55" s="5" t="s">
        <v>263</v>
      </c>
      <c r="C55" s="5"/>
      <c r="D55" s="5"/>
      <c r="E55" s="5"/>
      <c r="F55" s="5"/>
      <c r="G55" s="5"/>
      <c r="H55" s="5"/>
      <c r="I55" s="5"/>
      <c r="J55" s="5"/>
      <c r="K55" s="5"/>
      <c r="L55" s="5"/>
      <c r="M55" s="5"/>
      <c r="N55" s="5"/>
      <c r="O55" s="5"/>
      <c r="P55" s="5"/>
    </row>
    <row r="56" spans="2:16" x14ac:dyDescent="0.3">
      <c r="B56" t="s">
        <v>264</v>
      </c>
      <c r="C56" t="s">
        <v>23</v>
      </c>
      <c r="G56" s="53">
        <f>'00 Panel del Analista'!G182</f>
        <v>0.14000000000000001</v>
      </c>
      <c r="H56" s="53">
        <f>'00 Panel del Analista'!H182</f>
        <v>0.14499999999999999</v>
      </c>
      <c r="I56" s="53">
        <f>'00 Panel del Analista'!I182</f>
        <v>0.15</v>
      </c>
      <c r="J56" s="53">
        <f>'00 Panel del Analista'!J182</f>
        <v>0.155</v>
      </c>
      <c r="K56" s="53">
        <f>'00 Panel del Analista'!K182</f>
        <v>0.16</v>
      </c>
      <c r="L56" s="53">
        <f>'00 Panel del Analista'!L182</f>
        <v>0.16500000000000001</v>
      </c>
      <c r="M56" s="53">
        <f>'00 Panel del Analista'!M182</f>
        <v>0.17</v>
      </c>
      <c r="N56" s="53">
        <f>'00 Panel del Analista'!N182</f>
        <v>0.17</v>
      </c>
      <c r="O56" s="53">
        <f>'00 Panel del Analista'!O182</f>
        <v>0.17</v>
      </c>
      <c r="P56" s="53">
        <f>'00 Panel del Analista'!P182</f>
        <v>0.17</v>
      </c>
    </row>
    <row r="57" spans="2:16" x14ac:dyDescent="0.3">
      <c r="B57" t="s">
        <v>265</v>
      </c>
      <c r="C57" t="s">
        <v>23</v>
      </c>
      <c r="G57" s="52">
        <f>G56+'09 Escenarios'!$G$15</f>
        <v>0.14000000000000001</v>
      </c>
      <c r="H57" s="52">
        <f>H56+'09 Escenarios'!$G$15</f>
        <v>0.14499999999999999</v>
      </c>
      <c r="I57" s="52">
        <f>I56+'09 Escenarios'!$G$15</f>
        <v>0.15</v>
      </c>
      <c r="J57" s="52">
        <f>J56+'09 Escenarios'!$G$15</f>
        <v>0.155</v>
      </c>
      <c r="K57" s="52">
        <f>K56+'09 Escenarios'!$G$15</f>
        <v>0.16</v>
      </c>
      <c r="L57" s="52">
        <f>L56+'09 Escenarios'!$G$15</f>
        <v>0.16500000000000001</v>
      </c>
      <c r="M57" s="52">
        <f>M56+'09 Escenarios'!$G$15</f>
        <v>0.17</v>
      </c>
      <c r="N57" s="52">
        <f>N56+'09 Escenarios'!$G$15</f>
        <v>0.17</v>
      </c>
      <c r="O57" s="52">
        <f>O56+'09 Escenarios'!$G$15</f>
        <v>0.17</v>
      </c>
      <c r="P57" s="52">
        <f>P56+'09 Escenarios'!$G$15</f>
        <v>0.17</v>
      </c>
    </row>
    <row r="58" spans="2:16" x14ac:dyDescent="0.3">
      <c r="B58" t="s">
        <v>266</v>
      </c>
      <c r="C58" s="51">
        <f>'00 Panel del Analista'!D190</f>
        <v>0.21</v>
      </c>
    </row>
    <row r="59" spans="2:16" x14ac:dyDescent="0.3">
      <c r="B59" t="s">
        <v>1934</v>
      </c>
      <c r="C59" t="s">
        <v>23</v>
      </c>
      <c r="F59" s="57">
        <f>'00 Panel del Analista'!F136</f>
        <v>0.13</v>
      </c>
    </row>
    <row r="61" spans="2:16" x14ac:dyDescent="0.3">
      <c r="B61" s="5" t="s">
        <v>267</v>
      </c>
      <c r="C61" s="5"/>
      <c r="D61" s="5"/>
      <c r="E61" s="5"/>
      <c r="F61" s="5"/>
      <c r="G61" s="5"/>
      <c r="H61" s="5"/>
      <c r="I61" s="5"/>
      <c r="J61" s="5"/>
      <c r="K61" s="5"/>
      <c r="L61" s="5"/>
      <c r="M61" s="5"/>
      <c r="N61" s="5"/>
      <c r="O61" s="5"/>
      <c r="P61" s="5"/>
    </row>
    <row r="62" spans="2:16" x14ac:dyDescent="0.3">
      <c r="B62" t="s">
        <v>268</v>
      </c>
      <c r="C62" s="53">
        <f>'00 Panel del Analista'!D191</f>
        <v>0.03</v>
      </c>
    </row>
    <row r="63" spans="2:16" x14ac:dyDescent="0.3">
      <c r="B63" t="s">
        <v>269</v>
      </c>
      <c r="C63" s="56">
        <f>C62+'09 Escenarios'!$G$16</f>
        <v>0.03</v>
      </c>
    </row>
    <row r="64" spans="2:16" x14ac:dyDescent="0.3">
      <c r="B64" t="s">
        <v>270</v>
      </c>
      <c r="C64" s="60">
        <f>'00 Panel del Analista'!D192</f>
        <v>14</v>
      </c>
    </row>
    <row r="65" spans="2:16" x14ac:dyDescent="0.3">
      <c r="B65" t="s">
        <v>271</v>
      </c>
      <c r="C65" s="51">
        <f>'00 Panel del Analista'!D193</f>
        <v>0.04</v>
      </c>
    </row>
    <row r="66" spans="2:16" x14ac:dyDescent="0.3">
      <c r="B66" t="s">
        <v>320</v>
      </c>
      <c r="C66" s="87">
        <f>'00 Panel del Analista'!D194</f>
        <v>0.3</v>
      </c>
    </row>
    <row r="67" spans="2:16" x14ac:dyDescent="0.3">
      <c r="B67" s="5" t="s">
        <v>272</v>
      </c>
      <c r="C67" s="5"/>
      <c r="D67" s="5"/>
      <c r="E67" s="5"/>
      <c r="F67" s="5"/>
      <c r="G67" s="5"/>
      <c r="H67" s="5"/>
      <c r="I67" s="5"/>
      <c r="J67" s="5"/>
      <c r="K67" s="5"/>
      <c r="L67" s="5"/>
      <c r="M67" s="5"/>
      <c r="N67" s="5"/>
      <c r="O67" s="5"/>
      <c r="P67" s="5"/>
    </row>
    <row r="68" spans="2:16" x14ac:dyDescent="0.3">
      <c r="B68" t="s">
        <v>273</v>
      </c>
      <c r="C68" s="51">
        <f>'00 Panel del Analista'!D195</f>
        <v>0.02</v>
      </c>
    </row>
    <row r="69" spans="2:16" x14ac:dyDescent="0.3">
      <c r="B69" t="s">
        <v>2148</v>
      </c>
      <c r="C69" s="61">
        <f>'03 Historical'!F118+('03 Historical'!F40-'03 Historical'!F39)+'00 Panel del Analista'!F137+'00 Panel del Analista'!F138</f>
        <v>1085.6999924345589</v>
      </c>
    </row>
    <row r="70" spans="2:16" x14ac:dyDescent="0.3">
      <c r="B70" t="s">
        <v>274</v>
      </c>
      <c r="C70" s="62">
        <f>'03 Historical'!F110</f>
        <v>15270</v>
      </c>
    </row>
    <row r="71" spans="2:16" x14ac:dyDescent="0.3">
      <c r="B71" t="s">
        <v>275</v>
      </c>
      <c r="C71" s="62">
        <f>'03 Historical'!F112</f>
        <v>0</v>
      </c>
    </row>
    <row r="72" spans="2:16" x14ac:dyDescent="0.3">
      <c r="B72" t="s">
        <v>72</v>
      </c>
      <c r="C72" s="62">
        <f>'03 Historical'!F43</f>
        <v>4533</v>
      </c>
    </row>
    <row r="73" spans="2:16" x14ac:dyDescent="0.3">
      <c r="B73" t="s">
        <v>73</v>
      </c>
      <c r="C73" s="62">
        <f>'03 Historical'!F44</f>
        <v>3771</v>
      </c>
    </row>
    <row r="74" spans="2:16" x14ac:dyDescent="0.3">
      <c r="B74" t="s">
        <v>98</v>
      </c>
      <c r="C74" s="62">
        <f>'03 Historical'!F72</f>
        <v>0</v>
      </c>
    </row>
    <row r="75" spans="2:16" x14ac:dyDescent="0.3">
      <c r="B75" t="s">
        <v>276</v>
      </c>
      <c r="C75" s="62">
        <f>'03 Historical'!F67</f>
        <v>0</v>
      </c>
    </row>
    <row r="76" spans="2:16" x14ac:dyDescent="0.3">
      <c r="B76" t="s">
        <v>277</v>
      </c>
      <c r="C76" s="62">
        <f>'03 Historical'!F113</f>
        <v>832</v>
      </c>
    </row>
    <row r="77" spans="2:16" x14ac:dyDescent="0.3">
      <c r="B77" t="s">
        <v>1960</v>
      </c>
      <c r="C77" s="61">
        <f>'00 Panel del Analista'!F135</f>
        <v>1379</v>
      </c>
    </row>
    <row r="79" spans="2:16" x14ac:dyDescent="0.3">
      <c r="B79" s="5" t="s">
        <v>278</v>
      </c>
      <c r="C79" s="16"/>
    </row>
    <row r="80" spans="2:16" x14ac:dyDescent="0.3">
      <c r="B80" s="2" t="s">
        <v>32</v>
      </c>
      <c r="C80" s="2" t="s">
        <v>279</v>
      </c>
    </row>
    <row r="81" spans="2:16" ht="57.6" x14ac:dyDescent="0.3">
      <c r="B81" s="37" t="s">
        <v>2000</v>
      </c>
      <c r="C81" s="37" t="s">
        <v>2001</v>
      </c>
    </row>
    <row r="82" spans="2:16" ht="28.8" x14ac:dyDescent="0.3">
      <c r="B82" s="37" t="s">
        <v>2002</v>
      </c>
      <c r="C82" s="37" t="s">
        <v>2003</v>
      </c>
    </row>
    <row r="83" spans="2:16" ht="28.8" x14ac:dyDescent="0.3">
      <c r="B83" s="37" t="s">
        <v>2004</v>
      </c>
      <c r="C83" s="37" t="s">
        <v>2005</v>
      </c>
    </row>
    <row r="84" spans="2:16" ht="28.8" x14ac:dyDescent="0.3">
      <c r="B84" s="37" t="s">
        <v>2006</v>
      </c>
      <c r="C84" s="37" t="s">
        <v>2007</v>
      </c>
    </row>
    <row r="85" spans="2:16" ht="28.8" x14ac:dyDescent="0.3">
      <c r="B85" s="37" t="s">
        <v>2008</v>
      </c>
      <c r="C85" s="37" t="s">
        <v>2009</v>
      </c>
    </row>
    <row r="86" spans="2:16" ht="28.8" x14ac:dyDescent="0.3">
      <c r="B86" s="37" t="s">
        <v>2010</v>
      </c>
      <c r="C86" s="37" t="s">
        <v>2011</v>
      </c>
    </row>
    <row r="87" spans="2:16" x14ac:dyDescent="0.3">
      <c r="B87" s="37" t="s">
        <v>2012</v>
      </c>
      <c r="C87" s="37" t="s">
        <v>2013</v>
      </c>
    </row>
    <row r="88" spans="2:16" ht="28.8" x14ac:dyDescent="0.3">
      <c r="B88" s="37" t="s">
        <v>2014</v>
      </c>
      <c r="C88" s="37" t="s">
        <v>2015</v>
      </c>
    </row>
    <row r="89" spans="2:16" x14ac:dyDescent="0.3">
      <c r="B89" s="37" t="s">
        <v>280</v>
      </c>
      <c r="C89" s="37" t="s">
        <v>2016</v>
      </c>
    </row>
    <row r="90" spans="2:16" x14ac:dyDescent="0.3">
      <c r="B90" s="37" t="s">
        <v>281</v>
      </c>
      <c r="C90" s="37" t="s">
        <v>2017</v>
      </c>
    </row>
    <row r="91" spans="2:16" ht="28.8" x14ac:dyDescent="0.3">
      <c r="B91" s="37" t="s">
        <v>282</v>
      </c>
      <c r="C91" s="37" t="s">
        <v>2018</v>
      </c>
    </row>
    <row r="92" spans="2:16" ht="28.8" x14ac:dyDescent="0.3">
      <c r="B92" s="37" t="s">
        <v>2019</v>
      </c>
      <c r="C92" s="37" t="s">
        <v>2020</v>
      </c>
    </row>
    <row r="94" spans="2:16" ht="28.8" x14ac:dyDescent="0.3">
      <c r="B94" s="112" t="s">
        <v>469</v>
      </c>
      <c r="C94" s="16"/>
      <c r="D94" s="16"/>
      <c r="E94" s="16"/>
      <c r="F94" s="16"/>
      <c r="G94" s="16"/>
      <c r="H94" s="16"/>
      <c r="I94" s="16"/>
      <c r="J94" s="16"/>
      <c r="K94" s="16"/>
      <c r="L94" s="16"/>
      <c r="M94" s="16"/>
      <c r="N94" s="16"/>
      <c r="O94" s="16"/>
      <c r="P94" s="16"/>
    </row>
    <row r="95" spans="2:16" x14ac:dyDescent="0.3">
      <c r="B95" t="s">
        <v>147</v>
      </c>
      <c r="C95" t="s">
        <v>23</v>
      </c>
      <c r="G95" s="86">
        <f>'00 Panel del Analista'!G183</f>
        <v>7.4999999999999997E-2</v>
      </c>
      <c r="H95" s="86">
        <f>'00 Panel del Analista'!H183</f>
        <v>7.1999999999999995E-2</v>
      </c>
      <c r="I95" s="86">
        <f>'00 Panel del Analista'!I183</f>
        <v>7.0000000000000007E-2</v>
      </c>
      <c r="J95" s="86">
        <f>'00 Panel del Analista'!J183</f>
        <v>6.8000000000000005E-2</v>
      </c>
      <c r="K95" s="86">
        <f>'00 Panel del Analista'!K183</f>
        <v>6.6000000000000003E-2</v>
      </c>
      <c r="L95" s="86">
        <f>'00 Panel del Analista'!L183</f>
        <v>6.5000000000000002E-2</v>
      </c>
      <c r="M95" s="86">
        <f>'00 Panel del Analista'!M183</f>
        <v>6.4000000000000001E-2</v>
      </c>
      <c r="N95" s="86">
        <f>'00 Panel del Analista'!N183</f>
        <v>6.3E-2</v>
      </c>
      <c r="O95" s="86">
        <f>'00 Panel del Analista'!O183</f>
        <v>6.2E-2</v>
      </c>
      <c r="P95" s="86">
        <f>'00 Panel del Analista'!P183</f>
        <v>0.06</v>
      </c>
    </row>
    <row r="96" spans="2:16" x14ac:dyDescent="0.3">
      <c r="B96" t="s">
        <v>470</v>
      </c>
      <c r="C96" s="86">
        <f>'00 Panel del Analista'!D196</f>
        <v>0.05</v>
      </c>
    </row>
    <row r="97" spans="2:3" x14ac:dyDescent="0.3">
      <c r="B97" t="s">
        <v>471</v>
      </c>
      <c r="C97" s="86">
        <f>'00 Panel del Analista'!D197</f>
        <v>0.5</v>
      </c>
    </row>
    <row r="98" spans="2:3" x14ac:dyDescent="0.3">
      <c r="B98" t="s">
        <v>472</v>
      </c>
      <c r="C98" s="86">
        <f>'00 Panel del Analista'!D198</f>
        <v>4.4999999999999998E-2</v>
      </c>
    </row>
    <row r="99" spans="2:3" x14ac:dyDescent="0.3">
      <c r="B99" t="s">
        <v>1992</v>
      </c>
      <c r="C99" s="86">
        <f>'00 Panel del Analista'!D199</f>
        <v>0</v>
      </c>
    </row>
    <row r="100" spans="2:3" x14ac:dyDescent="0.3">
      <c r="B100" t="s">
        <v>473</v>
      </c>
      <c r="C100" s="54">
        <f>'00 Panel del Analista'!D200</f>
        <v>5000</v>
      </c>
    </row>
    <row r="101" spans="2:3" x14ac:dyDescent="0.3">
      <c r="B101" t="s">
        <v>1993</v>
      </c>
      <c r="C101" s="62">
        <f>SUM(G37:P37)</f>
        <v>1510</v>
      </c>
    </row>
    <row r="102" spans="2:3" x14ac:dyDescent="0.3">
      <c r="B102" t="s">
        <v>1994</v>
      </c>
      <c r="C102" s="62">
        <f>'03 Historical'!F52-C101</f>
        <v>6948</v>
      </c>
    </row>
    <row r="103" spans="2:3" ht="57.6" x14ac:dyDescent="0.3">
      <c r="B103" s="113" t="s">
        <v>474</v>
      </c>
    </row>
    <row r="104" spans="2:3" x14ac:dyDescent="0.3">
      <c r="B104" t="s">
        <v>531</v>
      </c>
      <c r="C104" s="115">
        <f>'00 Panel del Analista'!D201</f>
        <v>0</v>
      </c>
    </row>
    <row r="105" spans="2:3" ht="57.6" x14ac:dyDescent="0.3">
      <c r="B105" s="113" t="s">
        <v>532</v>
      </c>
    </row>
    <row r="106" spans="2:3" ht="86.4" x14ac:dyDescent="0.3">
      <c r="B106" s="113" t="s">
        <v>2038</v>
      </c>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C4B5-718C-4BF0-8592-771C76887685}">
  <dimension ref="A1:P157"/>
  <sheetViews>
    <sheetView zoomScale="45" workbookViewId="0">
      <pane xSplit="3" topLeftCell="D1" activePane="topRight" state="frozen"/>
      <selection pane="topRight"/>
    </sheetView>
  </sheetViews>
  <sheetFormatPr baseColWidth="10" defaultRowHeight="14.4" x14ac:dyDescent="0.3"/>
  <cols>
    <col min="2" max="2" width="61.109375" customWidth="1"/>
    <col min="3" max="3" width="10.21875" customWidth="1"/>
    <col min="4" max="5" width="17.5546875" customWidth="1"/>
    <col min="6" max="6" width="55.5546875" customWidth="1"/>
    <col min="7" max="7" width="79.6640625" customWidth="1"/>
  </cols>
  <sheetData>
    <row r="1" spans="1:16" ht="18" x14ac:dyDescent="0.35">
      <c r="A1" s="4" t="s">
        <v>1962</v>
      </c>
    </row>
    <row r="2" spans="1:16" x14ac:dyDescent="0.3">
      <c r="A2" s="14" t="s">
        <v>1963</v>
      </c>
    </row>
    <row r="4" spans="1:16" x14ac:dyDescent="0.3">
      <c r="B4" s="15" t="s">
        <v>41</v>
      </c>
      <c r="C4" s="15" t="s">
        <v>42</v>
      </c>
      <c r="D4" s="15" t="str">
        <f>'00 Panel del Analista'!D14</f>
        <v>FY2024A</v>
      </c>
      <c r="E4" s="15" t="str">
        <f>'00 Panel del Analista'!E14</f>
        <v>FY2025A</v>
      </c>
      <c r="F4" s="15" t="str">
        <f>'00 Panel del Analista'!F14</f>
        <v>FY2026E</v>
      </c>
      <c r="G4" t="str">
        <f>'00 Panel del Analista'!G14</f>
        <v>FY2027E</v>
      </c>
      <c r="H4" t="str">
        <f>'00 Panel del Analista'!H14</f>
        <v>FY2028E</v>
      </c>
      <c r="I4" t="str">
        <f>'00 Panel del Analista'!I14</f>
        <v>FY2029E</v>
      </c>
      <c r="J4" t="str">
        <f>'00 Panel del Analista'!J14</f>
        <v>FY2030E</v>
      </c>
      <c r="K4" t="str">
        <f>'00 Panel del Analista'!K14</f>
        <v>FY2031E</v>
      </c>
      <c r="L4" t="str">
        <f>'00 Panel del Analista'!L14</f>
        <v>FY2032E</v>
      </c>
      <c r="M4" t="str">
        <f>'00 Panel del Analista'!M14</f>
        <v>FY2033E</v>
      </c>
      <c r="N4" t="str">
        <f>'00 Panel del Analista'!N14</f>
        <v>FY2034E</v>
      </c>
      <c r="O4" t="str">
        <f>'00 Panel del Analista'!O14</f>
        <v>FY2035E</v>
      </c>
      <c r="P4" t="str">
        <f>'00 Panel del Analista'!P14</f>
        <v>FY2036E</v>
      </c>
    </row>
    <row r="6" spans="1:16" x14ac:dyDescent="0.3">
      <c r="B6" s="5" t="s">
        <v>45</v>
      </c>
      <c r="C6" s="5"/>
      <c r="D6" s="27"/>
      <c r="E6" s="27"/>
      <c r="F6" s="27"/>
    </row>
    <row r="7" spans="1:16" x14ac:dyDescent="0.3">
      <c r="B7" t="str">
        <f>'00 Panel del Analista'!B18</f>
        <v xml:space="preserve">  QCT IoT + Data Center y otros no reportables</v>
      </c>
      <c r="C7" t="s">
        <v>46</v>
      </c>
      <c r="D7" s="28">
        <f>'00 Panel del Analista'!D18</f>
        <v>5617</v>
      </c>
      <c r="E7" s="28">
        <f>'00 Panel del Analista'!E18</f>
        <v>6809</v>
      </c>
      <c r="F7" s="28">
        <f>'00 Panel del Analista'!F18</f>
        <v>7512</v>
      </c>
    </row>
    <row r="8" spans="1:16" x14ac:dyDescent="0.3">
      <c r="B8" t="str">
        <f>'00 Panel del Analista'!B19</f>
        <v xml:space="preserve">  QCT Handsets</v>
      </c>
      <c r="C8" t="s">
        <v>46</v>
      </c>
      <c r="D8" s="28">
        <f>'00 Panel del Analista'!D19</f>
        <v>24863</v>
      </c>
      <c r="E8" s="28">
        <f>'00 Panel del Analista'!E19</f>
        <v>27793</v>
      </c>
      <c r="F8" s="28">
        <f>'00 Panel del Analista'!F19</f>
        <v>24134</v>
      </c>
    </row>
    <row r="9" spans="1:16" x14ac:dyDescent="0.3">
      <c r="B9" t="str">
        <f>'00 Panel del Analista'!B20</f>
        <v xml:space="preserve">  QTL Licencias (incl. ingresos no asignados)</v>
      </c>
      <c r="C9" t="s">
        <v>46</v>
      </c>
      <c r="D9" s="28">
        <f>'00 Panel del Analista'!D20</f>
        <v>5572</v>
      </c>
      <c r="E9" s="28">
        <f>'00 Panel del Analista'!E20</f>
        <v>5725</v>
      </c>
      <c r="F9" s="28">
        <f>'00 Panel del Analista'!F20</f>
        <v>5552</v>
      </c>
    </row>
    <row r="10" spans="1:16" x14ac:dyDescent="0.3">
      <c r="B10" t="str">
        <f>'00 Panel del Analista'!B21</f>
        <v xml:space="preserve">  QCT Automoción</v>
      </c>
      <c r="C10" t="s">
        <v>46</v>
      </c>
      <c r="D10" s="28">
        <f>'00 Panel del Analista'!D21</f>
        <v>2910</v>
      </c>
      <c r="E10" s="28">
        <f>'00 Panel del Analista'!E21</f>
        <v>3957</v>
      </c>
      <c r="F10" s="28">
        <f>'00 Panel del Analista'!F21</f>
        <v>5700</v>
      </c>
    </row>
    <row r="11" spans="1:16" x14ac:dyDescent="0.3">
      <c r="B11" s="3" t="s">
        <v>47</v>
      </c>
      <c r="C11" s="3" t="s">
        <v>46</v>
      </c>
      <c r="D11" s="29">
        <f>SUM(D7:D10)</f>
        <v>38962</v>
      </c>
      <c r="E11" s="29">
        <f>SUM(E7:E10)</f>
        <v>44284</v>
      </c>
      <c r="F11" s="29">
        <f>SUM(F7:F10)</f>
        <v>42898</v>
      </c>
    </row>
    <row r="12" spans="1:16" x14ac:dyDescent="0.3">
      <c r="D12" s="6"/>
      <c r="E12" s="6"/>
      <c r="F12" s="6"/>
    </row>
    <row r="13" spans="1:16" x14ac:dyDescent="0.3">
      <c r="B13" t="str">
        <f>'00 Panel del Analista'!B24</f>
        <v xml:space="preserve">  Coste de los ingresos (excl. amortización de intangibles)</v>
      </c>
      <c r="C13" t="s">
        <v>46</v>
      </c>
      <c r="D13" s="28">
        <f>'00 Panel del Analista'!D24</f>
        <v>16749</v>
      </c>
      <c r="E13" s="28">
        <f>'00 Panel del Analista'!E24</f>
        <v>19417</v>
      </c>
      <c r="F13" s="28">
        <f>'00 Panel del Analista'!F24</f>
        <v>19559</v>
      </c>
    </row>
    <row r="14" spans="1:16" x14ac:dyDescent="0.3">
      <c r="B14" t="str">
        <f>'00 Panel del Analista'!B25</f>
        <v xml:space="preserve">  (no aplica — coste único en QCOM)</v>
      </c>
      <c r="C14" t="s">
        <v>46</v>
      </c>
      <c r="D14" s="28">
        <f>'00 Panel del Analista'!D25</f>
        <v>0</v>
      </c>
      <c r="E14" s="28">
        <f>'00 Panel del Analista'!E25</f>
        <v>0</v>
      </c>
      <c r="F14" s="28">
        <f>'00 Panel del Analista'!F25</f>
        <v>0</v>
      </c>
    </row>
    <row r="15" spans="1:16" x14ac:dyDescent="0.3">
      <c r="B15" t="str">
        <f>'00 Panel del Analista'!B26</f>
        <v xml:space="preserve">  (no aplica — coste único en QCOM)</v>
      </c>
      <c r="C15" t="s">
        <v>46</v>
      </c>
      <c r="D15" s="28">
        <f>'00 Panel del Analista'!D26</f>
        <v>0</v>
      </c>
      <c r="E15" s="28">
        <f>'00 Panel del Analista'!E26</f>
        <v>0</v>
      </c>
      <c r="F15" s="28">
        <f>'00 Panel del Analista'!F26</f>
        <v>0</v>
      </c>
    </row>
    <row r="16" spans="1:16" x14ac:dyDescent="0.3">
      <c r="B16" s="3" t="s">
        <v>48</v>
      </c>
      <c r="C16" s="3" t="s">
        <v>46</v>
      </c>
      <c r="D16" s="29">
        <f>SUM(D13:D15)</f>
        <v>16749</v>
      </c>
      <c r="E16" s="29">
        <f>SUM(E13:E15)</f>
        <v>19417</v>
      </c>
      <c r="F16" s="29">
        <f>SUM(F13:F15)</f>
        <v>19559</v>
      </c>
    </row>
    <row r="17" spans="2:6" x14ac:dyDescent="0.3">
      <c r="B17" s="3" t="s">
        <v>49</v>
      </c>
      <c r="C17" s="3" t="s">
        <v>46</v>
      </c>
      <c r="D17" s="29">
        <f>D11-D16</f>
        <v>22213</v>
      </c>
      <c r="E17" s="29">
        <f>E11-E16</f>
        <v>24867</v>
      </c>
      <c r="F17" s="29">
        <f>F11-F16</f>
        <v>23339</v>
      </c>
    </row>
    <row r="18" spans="2:6" x14ac:dyDescent="0.3">
      <c r="B18" t="s">
        <v>50</v>
      </c>
      <c r="C18" t="s">
        <v>23</v>
      </c>
      <c r="D18" s="30">
        <f>D17/D11</f>
        <v>0.57011960371644166</v>
      </c>
      <c r="E18" s="30">
        <f>E17/E11</f>
        <v>0.56153464005058262</v>
      </c>
      <c r="F18" s="30">
        <f>F17/F11</f>
        <v>0.54405799804186672</v>
      </c>
    </row>
    <row r="19" spans="2:6" x14ac:dyDescent="0.3">
      <c r="D19" s="6"/>
      <c r="E19" s="6"/>
      <c r="F19" s="6"/>
    </row>
    <row r="20" spans="2:6" x14ac:dyDescent="0.3">
      <c r="B20" t="str">
        <f>'00 Panel del Analista'!B31</f>
        <v xml:space="preserve">  Ventas, generales y administración (SG&amp;A)</v>
      </c>
      <c r="C20" t="s">
        <v>46</v>
      </c>
      <c r="D20" s="28">
        <f>'00 Panel del Analista'!D31</f>
        <v>2759</v>
      </c>
      <c r="E20" s="28">
        <f>'00 Panel del Analista'!E31</f>
        <v>3110</v>
      </c>
      <c r="F20" s="28">
        <f>'00 Panel del Analista'!F31</f>
        <v>3718</v>
      </c>
    </row>
    <row r="21" spans="2:6" x14ac:dyDescent="0.3">
      <c r="B21" t="str">
        <f>'00 Panel del Analista'!B32</f>
        <v xml:space="preserve">  Investigación y desarrollo</v>
      </c>
      <c r="C21" t="s">
        <v>46</v>
      </c>
      <c r="D21" s="28">
        <f>'00 Panel del Analista'!D32</f>
        <v>8893</v>
      </c>
      <c r="E21" s="28">
        <f>'00 Panel del Analista'!E32</f>
        <v>9042</v>
      </c>
      <c r="F21" s="28">
        <f>'00 Panel del Analista'!F32</f>
        <v>10143</v>
      </c>
    </row>
    <row r="22" spans="2:6" x14ac:dyDescent="0.3">
      <c r="B22" t="str">
        <f>'00 Panel del Analista'!B33</f>
        <v xml:space="preserve">  Generales y administración (incluido en SG&amp;A)</v>
      </c>
      <c r="C22" t="s">
        <v>46</v>
      </c>
      <c r="D22" s="28">
        <f>'00 Panel del Analista'!D33</f>
        <v>0</v>
      </c>
      <c r="E22" s="28">
        <f>'00 Panel del Analista'!E33</f>
        <v>0</v>
      </c>
      <c r="F22" s="28">
        <f>'00 Panel del Analista'!F33</f>
        <v>0</v>
      </c>
    </row>
    <row r="23" spans="2:6" x14ac:dyDescent="0.3">
      <c r="B23" t="str">
        <f>'00 Panel del Analista'!B34</f>
        <v xml:space="preserve">  Amortización de intangibles adquiridos (reclasificada desde coste de ingresos)</v>
      </c>
      <c r="C23" t="s">
        <v>46</v>
      </c>
      <c r="D23" s="28">
        <f>'00 Panel del Analista'!D34</f>
        <v>311</v>
      </c>
      <c r="E23" s="28">
        <f>'00 Panel del Analista'!E34</f>
        <v>321</v>
      </c>
      <c r="F23" s="28">
        <f>'00 Panel del Analista'!F34</f>
        <v>331</v>
      </c>
    </row>
    <row r="24" spans="2:6" x14ac:dyDescent="0.3">
      <c r="B24" t="str">
        <f>'00 Panel del Analista'!B35</f>
        <v xml:space="preserve">  Otros gastos operativos (reestructuración, deterioros y otros)</v>
      </c>
      <c r="C24" t="s">
        <v>46</v>
      </c>
      <c r="D24" s="28">
        <f>'00 Panel del Analista'!D35</f>
        <v>179</v>
      </c>
      <c r="E24" s="28">
        <f>'00 Panel del Analista'!E35</f>
        <v>39</v>
      </c>
      <c r="F24" s="28">
        <f>'00 Panel del Analista'!F35</f>
        <v>97</v>
      </c>
    </row>
    <row r="25" spans="2:6" x14ac:dyDescent="0.3">
      <c r="B25" s="3" t="s">
        <v>54</v>
      </c>
      <c r="C25" s="3" t="s">
        <v>46</v>
      </c>
      <c r="D25" s="29">
        <f>D16+SUM(D20:D24)</f>
        <v>28891</v>
      </c>
      <c r="E25" s="29">
        <f>E16+SUM(E20:E24)</f>
        <v>31929</v>
      </c>
      <c r="F25" s="29">
        <f>F16+SUM(F20:F24)</f>
        <v>33848</v>
      </c>
    </row>
    <row r="26" spans="2:6" x14ac:dyDescent="0.3">
      <c r="B26" s="3" t="s">
        <v>55</v>
      </c>
      <c r="C26" s="3" t="s">
        <v>46</v>
      </c>
      <c r="D26" s="29">
        <f>D11-D25</f>
        <v>10071</v>
      </c>
      <c r="E26" s="29">
        <f>E11-E25</f>
        <v>12355</v>
      </c>
      <c r="F26" s="29">
        <f>F11-F25</f>
        <v>9050</v>
      </c>
    </row>
    <row r="27" spans="2:6" x14ac:dyDescent="0.3">
      <c r="B27" t="s">
        <v>56</v>
      </c>
      <c r="C27" t="s">
        <v>23</v>
      </c>
      <c r="D27" s="30">
        <f>D26/D11</f>
        <v>0.25848262409527234</v>
      </c>
      <c r="E27" s="30">
        <f>E26/E11</f>
        <v>0.27899467076144885</v>
      </c>
      <c r="F27" s="30">
        <f>F26/F11</f>
        <v>0.21096554617930907</v>
      </c>
    </row>
    <row r="28" spans="2:6" x14ac:dyDescent="0.3">
      <c r="D28" s="6"/>
      <c r="E28" s="6"/>
      <c r="F28" s="6"/>
    </row>
    <row r="29" spans="2:6" x14ac:dyDescent="0.3">
      <c r="B29" t="s">
        <v>57</v>
      </c>
      <c r="C29" t="s">
        <v>46</v>
      </c>
      <c r="D29" s="28">
        <f>'00 Panel del Analista'!D40</f>
        <v>697</v>
      </c>
      <c r="E29" s="28">
        <f>'00 Panel del Analista'!E40</f>
        <v>664</v>
      </c>
      <c r="F29" s="28">
        <f>'00 Panel del Analista'!F40</f>
        <v>694</v>
      </c>
    </row>
    <row r="30" spans="2:6" x14ac:dyDescent="0.3">
      <c r="B30" t="s">
        <v>58</v>
      </c>
      <c r="C30" t="s">
        <v>46</v>
      </c>
      <c r="D30" s="28">
        <f>'00 Panel del Analista'!D41</f>
        <v>962</v>
      </c>
      <c r="E30" s="28">
        <f>'00 Panel del Analista'!E41</f>
        <v>972</v>
      </c>
      <c r="F30" s="28">
        <f>'00 Panel del Analista'!F41</f>
        <v>1543</v>
      </c>
    </row>
    <row r="31" spans="2:6" x14ac:dyDescent="0.3">
      <c r="B31" s="3" t="s">
        <v>59</v>
      </c>
      <c r="C31" s="3" t="s">
        <v>46</v>
      </c>
      <c r="D31" s="29">
        <f>D26-D29+D30</f>
        <v>10336</v>
      </c>
      <c r="E31" s="29">
        <f>E26-E29+E30</f>
        <v>12663</v>
      </c>
      <c r="F31" s="29">
        <f>F26-F29+F30</f>
        <v>9899</v>
      </c>
    </row>
    <row r="32" spans="2:6" x14ac:dyDescent="0.3">
      <c r="B32" t="s">
        <v>60</v>
      </c>
      <c r="C32" t="s">
        <v>46</v>
      </c>
      <c r="D32" s="28">
        <f>'00 Panel del Analista'!D43</f>
        <v>226</v>
      </c>
      <c r="E32" s="28">
        <f>'00 Panel del Analista'!E43</f>
        <v>7122</v>
      </c>
      <c r="F32" s="28">
        <f>'00 Panel del Analista'!F43</f>
        <v>-3904</v>
      </c>
    </row>
    <row r="33" spans="2:6" x14ac:dyDescent="0.3">
      <c r="B33" t="s">
        <v>61</v>
      </c>
      <c r="C33" t="s">
        <v>23</v>
      </c>
      <c r="D33" s="30">
        <f>D32/D31</f>
        <v>2.186532507739938E-2</v>
      </c>
      <c r="E33" s="30">
        <f>E32/E31</f>
        <v>0.56242596541104006</v>
      </c>
      <c r="F33" s="30">
        <f>F32/F31</f>
        <v>-0.39438327103747856</v>
      </c>
    </row>
    <row r="34" spans="2:6" x14ac:dyDescent="0.3">
      <c r="B34" s="3" t="s">
        <v>62</v>
      </c>
      <c r="C34" s="3" t="s">
        <v>46</v>
      </c>
      <c r="D34" s="29">
        <f>D31-D32</f>
        <v>10110</v>
      </c>
      <c r="E34" s="29">
        <f>E31-E32</f>
        <v>5541</v>
      </c>
      <c r="F34" s="29">
        <f>F31-F32</f>
        <v>13803</v>
      </c>
    </row>
    <row r="35" spans="2:6" x14ac:dyDescent="0.3">
      <c r="B35" t="s">
        <v>63</v>
      </c>
      <c r="C35" t="s">
        <v>46</v>
      </c>
      <c r="D35" s="28">
        <f>'00 Panel del Analista'!D46</f>
        <v>0</v>
      </c>
      <c r="E35" s="28">
        <f>'00 Panel del Analista'!E46</f>
        <v>0</v>
      </c>
      <c r="F35" s="28">
        <f>'00 Panel del Analista'!F46</f>
        <v>0</v>
      </c>
    </row>
    <row r="36" spans="2:6" x14ac:dyDescent="0.3">
      <c r="B36" s="3" t="s">
        <v>64</v>
      </c>
      <c r="C36" s="3" t="s">
        <v>46</v>
      </c>
      <c r="D36" s="29">
        <f>D34-D35</f>
        <v>10110</v>
      </c>
      <c r="E36" s="29">
        <f>E34-E35</f>
        <v>5541</v>
      </c>
      <c r="F36" s="29">
        <f>F34-F35</f>
        <v>13803</v>
      </c>
    </row>
    <row r="37" spans="2:6" x14ac:dyDescent="0.3">
      <c r="B37" t="s">
        <v>65</v>
      </c>
      <c r="C37" t="s">
        <v>66</v>
      </c>
      <c r="D37" s="167">
        <f>'00 Panel del Analista'!D48</f>
        <v>9.06</v>
      </c>
      <c r="E37" s="167">
        <f>'00 Panel del Analista'!E48</f>
        <v>5.05</v>
      </c>
      <c r="F37" s="167">
        <f>'00 Panel del Analista'!F48</f>
        <v>12.960563380281689</v>
      </c>
    </row>
    <row r="38" spans="2:6" x14ac:dyDescent="0.3">
      <c r="B38" t="s">
        <v>67</v>
      </c>
      <c r="C38" t="s">
        <v>66</v>
      </c>
      <c r="D38" s="167">
        <f>'00 Panel del Analista'!D49</f>
        <v>8.94</v>
      </c>
      <c r="E38" s="167">
        <f>'00 Panel del Analista'!E49</f>
        <v>5.01</v>
      </c>
      <c r="F38" s="167">
        <f>'00 Panel del Analista'!F49</f>
        <v>12.84</v>
      </c>
    </row>
    <row r="39" spans="2:6" x14ac:dyDescent="0.3">
      <c r="B39" t="s">
        <v>68</v>
      </c>
      <c r="C39" t="s">
        <v>69</v>
      </c>
      <c r="D39" s="31">
        <f>'00 Panel del Analista'!D50</f>
        <v>1116</v>
      </c>
      <c r="E39" s="31">
        <f>'00 Panel del Analista'!E50</f>
        <v>1096</v>
      </c>
      <c r="F39" s="31">
        <f>'00 Panel del Analista'!F50</f>
        <v>1065</v>
      </c>
    </row>
    <row r="40" spans="2:6" x14ac:dyDescent="0.3">
      <c r="B40" t="s">
        <v>70</v>
      </c>
      <c r="C40" t="s">
        <v>69</v>
      </c>
      <c r="D40" s="31">
        <f>'00 Panel del Analista'!D51</f>
        <v>1130</v>
      </c>
      <c r="E40" s="31">
        <f>'00 Panel del Analista'!E51</f>
        <v>1105</v>
      </c>
      <c r="F40" s="31">
        <f>'00 Panel del Analista'!F51</f>
        <v>1075</v>
      </c>
    </row>
    <row r="41" spans="2:6" x14ac:dyDescent="0.3">
      <c r="D41" s="6"/>
      <c r="E41" s="6"/>
      <c r="F41" s="6"/>
    </row>
    <row r="42" spans="2:6" x14ac:dyDescent="0.3">
      <c r="B42" s="5" t="s">
        <v>71</v>
      </c>
      <c r="C42" s="5"/>
      <c r="D42" s="27"/>
      <c r="E42" s="27"/>
      <c r="F42" s="27"/>
    </row>
    <row r="43" spans="2:6" x14ac:dyDescent="0.3">
      <c r="B43" t="s">
        <v>72</v>
      </c>
      <c r="C43" t="s">
        <v>46</v>
      </c>
      <c r="D43" s="28"/>
      <c r="E43" s="28">
        <f>'00 Panel del Analista'!E54</f>
        <v>7843</v>
      </c>
      <c r="F43" s="28">
        <f>'00 Panel del Analista'!F54</f>
        <v>4533</v>
      </c>
    </row>
    <row r="44" spans="2:6" x14ac:dyDescent="0.3">
      <c r="B44" t="s">
        <v>73</v>
      </c>
      <c r="C44" t="s">
        <v>46</v>
      </c>
      <c r="D44" s="28"/>
      <c r="E44" s="28">
        <f>'00 Panel del Analista'!E55</f>
        <v>4635</v>
      </c>
      <c r="F44" s="28">
        <f>'00 Panel del Analista'!F55</f>
        <v>3771</v>
      </c>
    </row>
    <row r="45" spans="2:6" x14ac:dyDescent="0.3">
      <c r="B45" t="s">
        <v>74</v>
      </c>
      <c r="C45" t="s">
        <v>46</v>
      </c>
      <c r="D45" s="28"/>
      <c r="E45" s="28">
        <f>'00 Panel del Analista'!E56</f>
        <v>4315</v>
      </c>
      <c r="F45" s="28">
        <f>'00 Panel del Analista'!F56</f>
        <v>4668</v>
      </c>
    </row>
    <row r="46" spans="2:6" x14ac:dyDescent="0.3">
      <c r="B46" t="s">
        <v>75</v>
      </c>
      <c r="C46" t="s">
        <v>46</v>
      </c>
      <c r="D46" s="28"/>
      <c r="E46" s="28">
        <f>'00 Panel del Analista'!E57</f>
        <v>8961</v>
      </c>
      <c r="F46" s="28">
        <f>'00 Panel del Analista'!F57</f>
        <v>10032</v>
      </c>
    </row>
    <row r="47" spans="2:6" x14ac:dyDescent="0.3">
      <c r="B47" s="3" t="s">
        <v>76</v>
      </c>
      <c r="C47" s="3" t="s">
        <v>46</v>
      </c>
      <c r="D47" s="29"/>
      <c r="E47" s="29">
        <f>SUM(E43:E46)</f>
        <v>25754</v>
      </c>
      <c r="F47" s="29">
        <f>SUM(F43:F46)</f>
        <v>23004</v>
      </c>
    </row>
    <row r="48" spans="2:6" x14ac:dyDescent="0.3">
      <c r="B48" t="s">
        <v>77</v>
      </c>
      <c r="C48" t="s">
        <v>46</v>
      </c>
      <c r="D48" s="28"/>
      <c r="E48" s="28">
        <f>'00 Panel del Analista'!E59</f>
        <v>4690</v>
      </c>
      <c r="F48" s="28">
        <f>'00 Panel del Analista'!F59</f>
        <v>5217</v>
      </c>
    </row>
    <row r="49" spans="2:6" x14ac:dyDescent="0.3">
      <c r="B49" t="s">
        <v>78</v>
      </c>
      <c r="C49" t="s">
        <v>46</v>
      </c>
      <c r="D49" s="28"/>
      <c r="E49" s="28">
        <f>'00 Panel del Analista'!E60</f>
        <v>735</v>
      </c>
      <c r="F49" s="28">
        <f>'00 Panel del Analista'!F60</f>
        <v>735</v>
      </c>
    </row>
    <row r="50" spans="2:6" x14ac:dyDescent="0.3">
      <c r="B50" t="s">
        <v>79</v>
      </c>
      <c r="C50" t="s">
        <v>46</v>
      </c>
      <c r="D50" s="28"/>
      <c r="E50" s="28">
        <f>'00 Panel del Analista'!E61</f>
        <v>11358</v>
      </c>
      <c r="F50" s="28">
        <f>'00 Panel del Analista'!F61</f>
        <v>14274</v>
      </c>
    </row>
    <row r="51" spans="2:6" x14ac:dyDescent="0.3">
      <c r="B51" t="s">
        <v>80</v>
      </c>
      <c r="C51" t="s">
        <v>46</v>
      </c>
      <c r="D51" s="28"/>
      <c r="E51" s="28">
        <f>'00 Panel del Analista'!E62</f>
        <v>743</v>
      </c>
      <c r="F51" s="28">
        <f>'00 Panel del Analista'!F62</f>
        <v>5679</v>
      </c>
    </row>
    <row r="52" spans="2:6" x14ac:dyDescent="0.3">
      <c r="B52" t="s">
        <v>81</v>
      </c>
      <c r="C52" t="s">
        <v>46</v>
      </c>
      <c r="D52" s="28"/>
      <c r="E52" s="28">
        <f>'00 Panel del Analista'!E63</f>
        <v>6863</v>
      </c>
      <c r="F52" s="28">
        <f>'00 Panel del Analista'!F63</f>
        <v>8458</v>
      </c>
    </row>
    <row r="53" spans="2:6" x14ac:dyDescent="0.3">
      <c r="B53" s="3" t="s">
        <v>82</v>
      </c>
      <c r="C53" s="3" t="s">
        <v>46</v>
      </c>
      <c r="D53" s="29"/>
      <c r="E53" s="29">
        <f>SUM(E48:E52)</f>
        <v>24389</v>
      </c>
      <c r="F53" s="29">
        <f>SUM(F48:F52)</f>
        <v>34363</v>
      </c>
    </row>
    <row r="54" spans="2:6" x14ac:dyDescent="0.3">
      <c r="B54" s="3" t="s">
        <v>83</v>
      </c>
      <c r="C54" s="3" t="s">
        <v>46</v>
      </c>
      <c r="D54" s="29"/>
      <c r="E54" s="29">
        <f>E47+E53</f>
        <v>50143</v>
      </c>
      <c r="F54" s="29">
        <f>F47+F53</f>
        <v>57367</v>
      </c>
    </row>
    <row r="55" spans="2:6" x14ac:dyDescent="0.3">
      <c r="D55" s="6"/>
      <c r="E55" s="6"/>
      <c r="F55" s="6"/>
    </row>
    <row r="56" spans="2:6" x14ac:dyDescent="0.3">
      <c r="B56" t="s">
        <v>84</v>
      </c>
      <c r="C56" t="s">
        <v>46</v>
      </c>
      <c r="D56" s="28"/>
      <c r="E56" s="28">
        <f>'00 Panel del Analista'!E67</f>
        <v>0</v>
      </c>
      <c r="F56" s="28">
        <f>'00 Panel del Analista'!F67</f>
        <v>2489</v>
      </c>
    </row>
    <row r="57" spans="2:6" x14ac:dyDescent="0.3">
      <c r="B57" t="s">
        <v>85</v>
      </c>
      <c r="C57" t="s">
        <v>46</v>
      </c>
      <c r="D57" s="28"/>
      <c r="E57" s="28">
        <f>'00 Panel del Analista'!E68</f>
        <v>2791</v>
      </c>
      <c r="F57" s="28">
        <f>'00 Panel del Analista'!F68</f>
        <v>2897</v>
      </c>
    </row>
    <row r="58" spans="2:6" x14ac:dyDescent="0.3">
      <c r="B58" t="s">
        <v>86</v>
      </c>
      <c r="C58" t="s">
        <v>46</v>
      </c>
      <c r="D58" s="28"/>
      <c r="E58" s="28">
        <f>'00 Panel del Analista'!E69</f>
        <v>1839</v>
      </c>
      <c r="F58" s="28">
        <f>'00 Panel del Analista'!F69</f>
        <v>1470</v>
      </c>
    </row>
    <row r="59" spans="2:6" x14ac:dyDescent="0.3">
      <c r="B59" t="s">
        <v>87</v>
      </c>
      <c r="C59" t="s">
        <v>46</v>
      </c>
      <c r="D59" s="28"/>
      <c r="E59" s="28">
        <f>'00 Panel del Analista'!E70</f>
        <v>358</v>
      </c>
      <c r="F59" s="28">
        <f>'00 Panel del Analista'!F70</f>
        <v>280</v>
      </c>
    </row>
    <row r="60" spans="2:6" x14ac:dyDescent="0.3">
      <c r="B60" t="s">
        <v>88</v>
      </c>
      <c r="C60" t="s">
        <v>46</v>
      </c>
      <c r="D60" s="28"/>
      <c r="E60" s="28">
        <f>'00 Panel del Analista'!E71</f>
        <v>4156</v>
      </c>
      <c r="F60" s="28">
        <f>'00 Panel del Analista'!F71</f>
        <v>4277</v>
      </c>
    </row>
    <row r="61" spans="2:6" x14ac:dyDescent="0.3">
      <c r="B61" s="3" t="s">
        <v>89</v>
      </c>
      <c r="C61" s="3" t="s">
        <v>46</v>
      </c>
      <c r="D61" s="29"/>
      <c r="E61" s="29">
        <f>SUM(E56:E60)</f>
        <v>9144</v>
      </c>
      <c r="F61" s="29">
        <f>SUM(F56:F60)</f>
        <v>11413</v>
      </c>
    </row>
    <row r="62" spans="2:6" x14ac:dyDescent="0.3">
      <c r="B62" t="s">
        <v>90</v>
      </c>
      <c r="C62" t="s">
        <v>46</v>
      </c>
      <c r="D62" s="28"/>
      <c r="E62" s="28">
        <f>'00 Panel del Analista'!E73</f>
        <v>14811</v>
      </c>
      <c r="F62" s="28">
        <f>'00 Panel del Analista'!F73</f>
        <v>12781</v>
      </c>
    </row>
    <row r="63" spans="2:6" x14ac:dyDescent="0.3">
      <c r="B63" t="s">
        <v>91</v>
      </c>
      <c r="C63" t="s">
        <v>46</v>
      </c>
      <c r="D63" s="28"/>
      <c r="E63" s="28">
        <f>'00 Panel del Analista'!E74</f>
        <v>0</v>
      </c>
      <c r="F63" s="28">
        <f>'00 Panel del Analista'!F74</f>
        <v>0</v>
      </c>
    </row>
    <row r="64" spans="2:6" x14ac:dyDescent="0.3">
      <c r="B64" t="s">
        <v>92</v>
      </c>
      <c r="C64" t="s">
        <v>46</v>
      </c>
      <c r="D64" s="28"/>
      <c r="E64" s="28">
        <f>'00 Panel del Analista'!E75</f>
        <v>730</v>
      </c>
      <c r="F64" s="28">
        <f>'00 Panel del Analista'!F75</f>
        <v>730</v>
      </c>
    </row>
    <row r="65" spans="2:6" x14ac:dyDescent="0.3">
      <c r="B65" t="s">
        <v>93</v>
      </c>
      <c r="C65" t="s">
        <v>46</v>
      </c>
      <c r="D65" s="28"/>
      <c r="E65" s="28">
        <f>'00 Panel del Analista'!E76</f>
        <v>4252</v>
      </c>
      <c r="F65" s="28">
        <f>'00 Panel del Analista'!F76</f>
        <v>4785</v>
      </c>
    </row>
    <row r="66" spans="2:6" x14ac:dyDescent="0.3">
      <c r="B66" s="3" t="s">
        <v>94</v>
      </c>
      <c r="C66" s="3" t="s">
        <v>46</v>
      </c>
      <c r="D66" s="29"/>
      <c r="E66" s="29">
        <f>SUM(E62:E65)</f>
        <v>19793</v>
      </c>
      <c r="F66" s="29">
        <f>SUM(F62:F65)</f>
        <v>18296</v>
      </c>
    </row>
    <row r="67" spans="2:6" x14ac:dyDescent="0.3">
      <c r="B67" t="s">
        <v>1900</v>
      </c>
      <c r="C67" t="s">
        <v>46</v>
      </c>
      <c r="D67" s="28"/>
      <c r="E67" s="28">
        <f>'00 Panel del Analista'!E78</f>
        <v>0</v>
      </c>
      <c r="F67" s="28">
        <f>'00 Panel del Analista'!F78</f>
        <v>0</v>
      </c>
    </row>
    <row r="68" spans="2:6" x14ac:dyDescent="0.3">
      <c r="B68" t="s">
        <v>95</v>
      </c>
      <c r="C68" t="s">
        <v>46</v>
      </c>
      <c r="D68" s="28"/>
      <c r="E68" s="28">
        <f>'00 Panel del Analista'!E79</f>
        <v>0</v>
      </c>
      <c r="F68" s="28">
        <f>'00 Panel del Analista'!F79</f>
        <v>0</v>
      </c>
    </row>
    <row r="69" spans="2:6" x14ac:dyDescent="0.3">
      <c r="B69" t="s">
        <v>96</v>
      </c>
      <c r="C69" t="s">
        <v>46</v>
      </c>
      <c r="D69" s="28"/>
      <c r="E69" s="28">
        <f>'00 Panel del Analista'!E80</f>
        <v>20646</v>
      </c>
      <c r="F69" s="28">
        <f>'00 Panel del Analista'!F80</f>
        <v>27263</v>
      </c>
    </row>
    <row r="70" spans="2:6" x14ac:dyDescent="0.3">
      <c r="B70" t="s">
        <v>97</v>
      </c>
      <c r="C70" t="s">
        <v>46</v>
      </c>
      <c r="D70" s="28"/>
      <c r="E70" s="28">
        <f>'00 Panel del Analista'!E81</f>
        <v>560</v>
      </c>
      <c r="F70" s="28">
        <f>'00 Panel del Analista'!F81</f>
        <v>395</v>
      </c>
    </row>
    <row r="71" spans="2:6" x14ac:dyDescent="0.3">
      <c r="B71" s="3" t="s">
        <v>1901</v>
      </c>
      <c r="C71" s="3" t="s">
        <v>46</v>
      </c>
      <c r="D71" s="29"/>
      <c r="E71" s="29">
        <f>SUM(E67:E70)</f>
        <v>21206</v>
      </c>
      <c r="F71" s="29">
        <f>SUM(F67:F70)</f>
        <v>27658</v>
      </c>
    </row>
    <row r="72" spans="2:6" x14ac:dyDescent="0.3">
      <c r="B72" t="s">
        <v>98</v>
      </c>
      <c r="C72" t="s">
        <v>46</v>
      </c>
      <c r="D72" s="28"/>
      <c r="E72" s="28">
        <f>'00 Panel del Analista'!E83</f>
        <v>0</v>
      </c>
      <c r="F72" s="28">
        <f>'00 Panel del Analista'!F83</f>
        <v>0</v>
      </c>
    </row>
    <row r="73" spans="2:6" x14ac:dyDescent="0.3">
      <c r="B73" s="3" t="s">
        <v>99</v>
      </c>
      <c r="C73" s="3" t="s">
        <v>46</v>
      </c>
      <c r="D73" s="29"/>
      <c r="E73" s="29">
        <f>E71+E72</f>
        <v>21206</v>
      </c>
      <c r="F73" s="29">
        <f>F71+F72</f>
        <v>27658</v>
      </c>
    </row>
    <row r="74" spans="2:6" x14ac:dyDescent="0.3">
      <c r="B74" s="3" t="s">
        <v>100</v>
      </c>
      <c r="C74" s="3" t="s">
        <v>46</v>
      </c>
      <c r="D74" s="29"/>
      <c r="E74" s="29">
        <f>E61+E66+E73</f>
        <v>50143</v>
      </c>
      <c r="F74" s="29">
        <f>F61+F66+F73</f>
        <v>57367</v>
      </c>
    </row>
    <row r="75" spans="2:6" x14ac:dyDescent="0.3">
      <c r="B75" s="24" t="s">
        <v>101</v>
      </c>
      <c r="C75" s="24" t="s">
        <v>46</v>
      </c>
      <c r="D75" s="32"/>
      <c r="E75" s="32">
        <f>E54-E74</f>
        <v>0</v>
      </c>
      <c r="F75" s="32">
        <f>F54-F74</f>
        <v>0</v>
      </c>
    </row>
    <row r="76" spans="2:6" x14ac:dyDescent="0.3">
      <c r="D76" s="6"/>
      <c r="E76" s="6"/>
      <c r="F76" s="6"/>
    </row>
    <row r="77" spans="2:6" x14ac:dyDescent="0.3">
      <c r="B77" s="5" t="s">
        <v>102</v>
      </c>
      <c r="C77" s="5"/>
      <c r="D77" s="27"/>
      <c r="E77" s="27"/>
      <c r="F77" s="27"/>
    </row>
    <row r="78" spans="2:6" x14ac:dyDescent="0.3">
      <c r="B78" t="s">
        <v>103</v>
      </c>
      <c r="C78" t="s">
        <v>46</v>
      </c>
      <c r="D78" s="28">
        <f>D34</f>
        <v>10110</v>
      </c>
      <c r="E78" s="28">
        <f>E34</f>
        <v>5541</v>
      </c>
      <c r="F78" s="28">
        <f>F34</f>
        <v>13803</v>
      </c>
    </row>
    <row r="79" spans="2:6" x14ac:dyDescent="0.3">
      <c r="B79" t="s">
        <v>104</v>
      </c>
      <c r="C79" t="s">
        <v>46</v>
      </c>
      <c r="D79" s="28">
        <f>'00 Panel del Analista'!D90</f>
        <v>1395</v>
      </c>
      <c r="E79" s="28">
        <f>'00 Panel del Analista'!E90</f>
        <v>1281</v>
      </c>
      <c r="F79" s="28">
        <f>'00 Panel del Analista'!F90</f>
        <v>1271.6666666666667</v>
      </c>
    </row>
    <row r="80" spans="2:6" x14ac:dyDescent="0.3">
      <c r="B80" t="s">
        <v>53</v>
      </c>
      <c r="C80" t="s">
        <v>46</v>
      </c>
      <c r="D80" s="28">
        <f>D23</f>
        <v>311</v>
      </c>
      <c r="E80" s="28">
        <f>E23</f>
        <v>321</v>
      </c>
      <c r="F80" s="28">
        <f>F23</f>
        <v>331</v>
      </c>
    </row>
    <row r="81" spans="2:6" x14ac:dyDescent="0.3">
      <c r="B81" t="s">
        <v>105</v>
      </c>
      <c r="C81" t="s">
        <v>46</v>
      </c>
      <c r="D81" s="28">
        <f>'00 Panel del Analista'!D92</f>
        <v>-3064</v>
      </c>
      <c r="E81" s="28">
        <f>'00 Panel del Analista'!E92</f>
        <v>3980</v>
      </c>
      <c r="F81" s="28">
        <f>'00 Panel del Analista'!F92</f>
        <v>-5550</v>
      </c>
    </row>
    <row r="82" spans="2:6" x14ac:dyDescent="0.3">
      <c r="B82" t="s">
        <v>106</v>
      </c>
      <c r="C82" t="s">
        <v>46</v>
      </c>
      <c r="D82" s="28">
        <f>'00 Panel del Analista'!D93</f>
        <v>2648</v>
      </c>
      <c r="E82" s="28">
        <f>'00 Panel del Analista'!E93</f>
        <v>2783</v>
      </c>
      <c r="F82" s="28">
        <f>'00 Panel del Analista'!F93</f>
        <v>3439</v>
      </c>
    </row>
    <row r="83" spans="2:6" x14ac:dyDescent="0.3">
      <c r="B83" t="s">
        <v>107</v>
      </c>
      <c r="C83" t="s">
        <v>46</v>
      </c>
      <c r="D83" s="28">
        <f>'00 Panel del Analista'!D94</f>
        <v>-330</v>
      </c>
      <c r="E83" s="28">
        <f>'00 Panel del Analista'!E94</f>
        <v>-308</v>
      </c>
      <c r="F83" s="28">
        <f>'00 Panel del Analista'!F94</f>
        <v>-1073</v>
      </c>
    </row>
    <row r="84" spans="2:6" x14ac:dyDescent="0.3">
      <c r="B84" t="s">
        <v>108</v>
      </c>
      <c r="C84" t="s">
        <v>46</v>
      </c>
      <c r="D84" s="28">
        <f>D85-SUM(D78:D83)</f>
        <v>1132</v>
      </c>
      <c r="E84" s="28">
        <f>E85-SUM(E78:E83)</f>
        <v>414</v>
      </c>
      <c r="F84" s="28">
        <f>F85-SUM(F78:F83)</f>
        <v>-1129.6666666666661</v>
      </c>
    </row>
    <row r="85" spans="2:6" x14ac:dyDescent="0.3">
      <c r="B85" s="3" t="s">
        <v>109</v>
      </c>
      <c r="C85" s="3" t="s">
        <v>46</v>
      </c>
      <c r="D85" s="29">
        <f>'00 Panel del Analista'!D96</f>
        <v>12202</v>
      </c>
      <c r="E85" s="29">
        <f>'00 Panel del Analista'!E96</f>
        <v>14012</v>
      </c>
      <c r="F85" s="29">
        <f>'00 Panel del Analista'!F96</f>
        <v>11092</v>
      </c>
    </row>
    <row r="86" spans="2:6" x14ac:dyDescent="0.3">
      <c r="D86" s="6"/>
      <c r="E86" s="6"/>
      <c r="F86" s="6"/>
    </row>
    <row r="87" spans="2:6" x14ac:dyDescent="0.3">
      <c r="B87" t="s">
        <v>110</v>
      </c>
      <c r="C87" t="s">
        <v>46</v>
      </c>
      <c r="D87" s="28">
        <f>'00 Panel del Analista'!D98</f>
        <v>-1041</v>
      </c>
      <c r="E87" s="28">
        <f>'00 Panel del Analista'!E98</f>
        <v>-1192</v>
      </c>
      <c r="F87" s="28">
        <f>'00 Panel del Analista'!F98</f>
        <v>-2104</v>
      </c>
    </row>
    <row r="88" spans="2:6" x14ac:dyDescent="0.3">
      <c r="B88" t="s">
        <v>111</v>
      </c>
      <c r="C88" t="s">
        <v>46</v>
      </c>
      <c r="D88" s="28">
        <f>'00 Panel del Analista'!D99</f>
        <v>-5323</v>
      </c>
      <c r="E88" s="28">
        <f>'00 Panel del Analista'!E99</f>
        <v>-5437</v>
      </c>
      <c r="F88" s="28">
        <f>'00 Panel del Analista'!F99</f>
        <v>-4022</v>
      </c>
    </row>
    <row r="89" spans="2:6" x14ac:dyDescent="0.3">
      <c r="B89" t="s">
        <v>112</v>
      </c>
      <c r="C89" t="s">
        <v>46</v>
      </c>
      <c r="D89" s="28">
        <f>'00 Panel del Analista'!D100</f>
        <v>2677</v>
      </c>
      <c r="E89" s="28">
        <f>'00 Panel del Analista'!E100</f>
        <v>5755</v>
      </c>
      <c r="F89" s="28">
        <f>'00 Panel del Analista'!F100</f>
        <v>3896</v>
      </c>
    </row>
    <row r="90" spans="2:6" x14ac:dyDescent="0.3">
      <c r="B90" t="s">
        <v>113</v>
      </c>
      <c r="C90" t="s">
        <v>46</v>
      </c>
      <c r="D90" s="28">
        <f>D91-SUM(D87:D89)</f>
        <v>64</v>
      </c>
      <c r="E90" s="28">
        <f>E91-SUM(E87:E89)</f>
        <v>74</v>
      </c>
      <c r="F90" s="28">
        <f>F91-SUM(F87:F89)</f>
        <v>56</v>
      </c>
    </row>
    <row r="91" spans="2:6" x14ac:dyDescent="0.3">
      <c r="B91" s="3" t="s">
        <v>114</v>
      </c>
      <c r="C91" s="3" t="s">
        <v>46</v>
      </c>
      <c r="D91" s="29">
        <f>'00 Panel del Analista'!D102</f>
        <v>-3623</v>
      </c>
      <c r="E91" s="29">
        <f>'00 Panel del Analista'!E102</f>
        <v>-800</v>
      </c>
      <c r="F91" s="29">
        <f>'00 Panel del Analista'!F102</f>
        <v>-2174</v>
      </c>
    </row>
    <row r="92" spans="2:6" x14ac:dyDescent="0.3">
      <c r="D92" s="6"/>
      <c r="E92" s="6"/>
      <c r="F92" s="6"/>
    </row>
    <row r="93" spans="2:6" x14ac:dyDescent="0.3">
      <c r="B93" t="s">
        <v>115</v>
      </c>
      <c r="C93" t="s">
        <v>46</v>
      </c>
      <c r="D93" s="28">
        <f>'00 Panel del Analista'!D104</f>
        <v>383</v>
      </c>
      <c r="E93" s="28">
        <f>'00 Panel del Analista'!E104</f>
        <v>404</v>
      </c>
      <c r="F93" s="28">
        <f>'00 Panel del Analista'!F104</f>
        <v>223</v>
      </c>
    </row>
    <row r="94" spans="2:6" x14ac:dyDescent="0.3">
      <c r="B94" t="s">
        <v>116</v>
      </c>
      <c r="C94" t="s">
        <v>46</v>
      </c>
      <c r="D94" s="28">
        <f>'00 Panel del Analista'!D105</f>
        <v>-4121</v>
      </c>
      <c r="E94" s="28">
        <f>'00 Panel del Analista'!E105</f>
        <v>-8791</v>
      </c>
      <c r="F94" s="28">
        <f>'00 Panel del Analista'!F105</f>
        <v>-8206</v>
      </c>
    </row>
    <row r="95" spans="2:6" x14ac:dyDescent="0.3">
      <c r="B95" t="s">
        <v>117</v>
      </c>
      <c r="C95" t="s">
        <v>46</v>
      </c>
      <c r="D95" s="28">
        <f>'00 Panel del Analista'!D106</f>
        <v>-932</v>
      </c>
      <c r="E95" s="28">
        <f>'00 Panel del Analista'!E106</f>
        <v>-1115</v>
      </c>
      <c r="F95" s="28">
        <f>'00 Panel del Analista'!F106</f>
        <v>-888</v>
      </c>
    </row>
    <row r="96" spans="2:6" x14ac:dyDescent="0.3">
      <c r="B96" t="s">
        <v>1905</v>
      </c>
      <c r="C96" t="s">
        <v>46</v>
      </c>
      <c r="D96" s="28">
        <f>'00 Panel del Analista'!D107</f>
        <v>0</v>
      </c>
      <c r="E96" s="28">
        <f>'00 Panel del Analista'!E107</f>
        <v>0</v>
      </c>
      <c r="F96" s="28">
        <f>'00 Panel del Analista'!F107</f>
        <v>0</v>
      </c>
    </row>
    <row r="97" spans="2:6" x14ac:dyDescent="0.3">
      <c r="B97" t="s">
        <v>118</v>
      </c>
      <c r="C97" t="s">
        <v>46</v>
      </c>
      <c r="D97" s="28">
        <f>'00 Panel del Analista'!D108</f>
        <v>-3687</v>
      </c>
      <c r="E97" s="28">
        <f>'00 Panel del Analista'!E108</f>
        <v>-3805</v>
      </c>
      <c r="F97" s="28">
        <f>'00 Panel del Analista'!F108</f>
        <v>-3805</v>
      </c>
    </row>
    <row r="98" spans="2:6" x14ac:dyDescent="0.3">
      <c r="B98" t="s">
        <v>119</v>
      </c>
      <c r="C98" t="s">
        <v>46</v>
      </c>
      <c r="D98" s="28">
        <f>'00 Panel del Analista'!D109</f>
        <v>0</v>
      </c>
      <c r="E98" s="28">
        <f>'00 Panel del Analista'!E109</f>
        <v>0</v>
      </c>
      <c r="F98" s="28">
        <f>'00 Panel del Analista'!F109</f>
        <v>495</v>
      </c>
    </row>
    <row r="99" spans="2:6" x14ac:dyDescent="0.3">
      <c r="B99" t="s">
        <v>120</v>
      </c>
      <c r="C99" t="s">
        <v>46</v>
      </c>
      <c r="D99" s="28">
        <f>'00 Panel del Analista'!D110</f>
        <v>0</v>
      </c>
      <c r="E99" s="28">
        <f>'00 Panel del Analista'!E110</f>
        <v>0</v>
      </c>
      <c r="F99" s="28">
        <f>'00 Panel del Analista'!F110</f>
        <v>0</v>
      </c>
    </row>
    <row r="100" spans="2:6" x14ac:dyDescent="0.3">
      <c r="B100" t="s">
        <v>121</v>
      </c>
      <c r="C100" t="s">
        <v>46</v>
      </c>
      <c r="D100" s="28">
        <f>'00 Panel del Analista'!D111</f>
        <v>0</v>
      </c>
      <c r="E100" s="28">
        <f>'00 Panel del Analista'!E111</f>
        <v>1487</v>
      </c>
      <c r="F100" s="28">
        <f>'00 Panel del Analista'!F111</f>
        <v>0</v>
      </c>
    </row>
    <row r="101" spans="2:6" x14ac:dyDescent="0.3">
      <c r="B101" t="s">
        <v>122</v>
      </c>
      <c r="C101" t="s">
        <v>46</v>
      </c>
      <c r="D101" s="28">
        <f>'00 Panel del Analista'!D112</f>
        <v>-914</v>
      </c>
      <c r="E101" s="28">
        <f>'00 Panel del Analista'!E112</f>
        <v>-1365</v>
      </c>
      <c r="F101" s="28">
        <f>'00 Panel del Analista'!F112</f>
        <v>-174</v>
      </c>
    </row>
    <row r="102" spans="2:6" x14ac:dyDescent="0.3">
      <c r="B102" t="s">
        <v>123</v>
      </c>
      <c r="C102" t="s">
        <v>46</v>
      </c>
      <c r="D102" s="28">
        <f>'00 Panel del Analista'!D113</f>
        <v>2</v>
      </c>
      <c r="E102" s="28">
        <f>'00 Panel del Analista'!E113</f>
        <v>-11</v>
      </c>
      <c r="F102" s="28">
        <f>'00 Panel del Analista'!F113</f>
        <v>-28</v>
      </c>
    </row>
    <row r="103" spans="2:6" x14ac:dyDescent="0.3">
      <c r="B103" s="3" t="s">
        <v>124</v>
      </c>
      <c r="C103" s="3" t="s">
        <v>46</v>
      </c>
      <c r="D103" s="29">
        <f>SUM(D93:D102)</f>
        <v>-9269</v>
      </c>
      <c r="E103" s="29">
        <f>SUM(E93:E102)</f>
        <v>-13196</v>
      </c>
      <c r="F103" s="29">
        <f>SUM(F93:F102)</f>
        <v>-12383</v>
      </c>
    </row>
    <row r="104" spans="2:6" x14ac:dyDescent="0.3">
      <c r="B104" t="s">
        <v>125</v>
      </c>
      <c r="C104" t="s">
        <v>46</v>
      </c>
      <c r="D104" s="28"/>
      <c r="E104" s="28">
        <f>'00 Panel del Analista'!E115</f>
        <v>-13196</v>
      </c>
      <c r="F104" s="28">
        <f>'00 Panel del Analista'!F115</f>
        <v>-12383</v>
      </c>
    </row>
    <row r="105" spans="2:6" x14ac:dyDescent="0.3">
      <c r="B105" s="24" t="s">
        <v>126</v>
      </c>
      <c r="C105" s="24" t="s">
        <v>46</v>
      </c>
      <c r="D105" s="32"/>
      <c r="E105" s="32">
        <f>E103-E104</f>
        <v>0</v>
      </c>
      <c r="F105" s="32">
        <f>F103-F104</f>
        <v>0</v>
      </c>
    </row>
    <row r="106" spans="2:6" x14ac:dyDescent="0.3">
      <c r="B106" s="3" t="s">
        <v>127</v>
      </c>
      <c r="C106" s="3" t="s">
        <v>46</v>
      </c>
      <c r="D106" s="29">
        <f>D85+D91+D103</f>
        <v>-690</v>
      </c>
      <c r="E106" s="29">
        <f>E85+E91+E103</f>
        <v>16</v>
      </c>
      <c r="F106" s="29">
        <f>F85+F91+F103</f>
        <v>-3465</v>
      </c>
    </row>
    <row r="107" spans="2:6" x14ac:dyDescent="0.3">
      <c r="B107" t="s">
        <v>1966</v>
      </c>
      <c r="C107" t="s">
        <v>46</v>
      </c>
      <c r="D107" s="28"/>
      <c r="E107" s="28"/>
      <c r="F107" s="28">
        <f>F43-E43-F106</f>
        <v>155</v>
      </c>
    </row>
    <row r="108" spans="2:6" x14ac:dyDescent="0.3">
      <c r="D108" s="6"/>
      <c r="E108" s="6"/>
      <c r="F108" s="6"/>
    </row>
    <row r="109" spans="2:6" x14ac:dyDescent="0.3">
      <c r="B109" s="5" t="s">
        <v>1967</v>
      </c>
      <c r="C109" s="5"/>
      <c r="D109" s="27"/>
      <c r="E109" s="27"/>
      <c r="F109" s="27"/>
    </row>
    <row r="110" spans="2:6" x14ac:dyDescent="0.3">
      <c r="B110" t="s">
        <v>128</v>
      </c>
      <c r="C110" t="s">
        <v>46</v>
      </c>
      <c r="D110" s="28"/>
      <c r="E110" s="28">
        <f>'00 Panel del Analista'!E121</f>
        <v>14811</v>
      </c>
      <c r="F110" s="28">
        <f>'00 Panel del Analista'!F121</f>
        <v>15270</v>
      </c>
    </row>
    <row r="111" spans="2:6" x14ac:dyDescent="0.3">
      <c r="B111" s="22" t="s">
        <v>129</v>
      </c>
      <c r="C111" s="22" t="s">
        <v>46</v>
      </c>
      <c r="D111" s="33"/>
      <c r="E111" s="33">
        <f>E110-E56-E62</f>
        <v>0</v>
      </c>
      <c r="F111" s="33">
        <f>F110-F56-F62</f>
        <v>0</v>
      </c>
    </row>
    <row r="112" spans="2:6" x14ac:dyDescent="0.3">
      <c r="B112" t="s">
        <v>130</v>
      </c>
      <c r="C112" t="s">
        <v>46</v>
      </c>
      <c r="D112" s="28"/>
      <c r="E112" s="28">
        <f>'00 Panel del Analista'!E123</f>
        <v>0</v>
      </c>
      <c r="F112" s="28">
        <f>'00 Panel del Analista'!F123</f>
        <v>0</v>
      </c>
    </row>
    <row r="113" spans="2:6" x14ac:dyDescent="0.3">
      <c r="B113" t="s">
        <v>131</v>
      </c>
      <c r="C113" t="s">
        <v>46</v>
      </c>
      <c r="D113" s="28"/>
      <c r="E113" s="28">
        <f>'00 Panel del Analista'!E124</f>
        <v>832</v>
      </c>
      <c r="F113" s="28">
        <f>'00 Panel del Analista'!F124</f>
        <v>832</v>
      </c>
    </row>
    <row r="114" spans="2:6" x14ac:dyDescent="0.3">
      <c r="B114" t="s">
        <v>132</v>
      </c>
      <c r="C114" t="s">
        <v>23</v>
      </c>
      <c r="D114" s="30"/>
      <c r="E114" s="30">
        <f>'00 Panel del Analista'!E125</f>
        <v>0.05</v>
      </c>
      <c r="F114" s="30">
        <f>'00 Panel del Analista'!F125</f>
        <v>0.05</v>
      </c>
    </row>
    <row r="115" spans="2:6" x14ac:dyDescent="0.3">
      <c r="B115" t="s">
        <v>133</v>
      </c>
      <c r="C115" t="s">
        <v>46</v>
      </c>
      <c r="D115" s="28">
        <f>'00 Panel del Analista'!D126</f>
        <v>184</v>
      </c>
      <c r="E115" s="28">
        <f>'00 Panel del Analista'!E126</f>
        <v>184</v>
      </c>
      <c r="F115" s="28">
        <f>'00 Panel del Analista'!F126</f>
        <v>184</v>
      </c>
    </row>
    <row r="116" spans="2:6" x14ac:dyDescent="0.3">
      <c r="B116" t="s">
        <v>134</v>
      </c>
      <c r="C116" t="s">
        <v>46</v>
      </c>
      <c r="D116" s="28">
        <f>'00 Panel del Analista'!D127</f>
        <v>0</v>
      </c>
      <c r="E116" s="28">
        <f>'00 Panel del Analista'!E127</f>
        <v>0</v>
      </c>
      <c r="F116" s="28">
        <f>'00 Panel del Analista'!F127</f>
        <v>0</v>
      </c>
    </row>
    <row r="117" spans="2:6" x14ac:dyDescent="0.3">
      <c r="B117" t="s">
        <v>1964</v>
      </c>
      <c r="C117" t="s">
        <v>46</v>
      </c>
      <c r="D117" s="28"/>
      <c r="E117" s="28">
        <f>'00 Panel del Analista'!E128</f>
        <v>0</v>
      </c>
      <c r="F117" s="28">
        <f>'00 Panel del Analista'!F128</f>
        <v>40000</v>
      </c>
    </row>
    <row r="118" spans="2:6" x14ac:dyDescent="0.3">
      <c r="B118" t="s">
        <v>135</v>
      </c>
      <c r="C118" t="s">
        <v>69</v>
      </c>
      <c r="D118" s="31"/>
      <c r="E118" s="31">
        <f>'00 Panel del Analista'!E129</f>
        <v>1074</v>
      </c>
      <c r="F118" s="31">
        <f>'00 Panel del Analista'!F129</f>
        <v>1057</v>
      </c>
    </row>
    <row r="119" spans="2:6" x14ac:dyDescent="0.3">
      <c r="B119" s="6" t="s">
        <v>283</v>
      </c>
      <c r="C119" s="6" t="s">
        <v>46</v>
      </c>
      <c r="D119" s="6"/>
      <c r="E119" s="28">
        <f>'00 Panel del Analista'!E130</f>
        <v>0</v>
      </c>
      <c r="F119" s="28">
        <f>'00 Panel del Analista'!F130</f>
        <v>0</v>
      </c>
    </row>
    <row r="120" spans="2:6" x14ac:dyDescent="0.3">
      <c r="B120" s="5" t="s">
        <v>136</v>
      </c>
      <c r="C120" s="5"/>
      <c r="D120" s="27"/>
      <c r="E120" s="27"/>
      <c r="F120" s="27"/>
    </row>
    <row r="121" spans="2:6" x14ac:dyDescent="0.3">
      <c r="B121" t="s">
        <v>137</v>
      </c>
      <c r="C121" t="s">
        <v>23</v>
      </c>
      <c r="D121" s="30"/>
      <c r="E121" s="30">
        <f>E11/D11-1</f>
        <v>0.13659463066577682</v>
      </c>
      <c r="F121" s="30">
        <f>F11/E11-1</f>
        <v>-3.129798572847986E-2</v>
      </c>
    </row>
    <row r="122" spans="2:6" x14ac:dyDescent="0.3">
      <c r="B122" t="s">
        <v>1965</v>
      </c>
      <c r="C122" t="s">
        <v>23</v>
      </c>
      <c r="D122" s="30"/>
      <c r="E122" s="30">
        <f>E7/D7-1</f>
        <v>0.21221292504895861</v>
      </c>
      <c r="F122" s="30">
        <f>F7/E7-1</f>
        <v>0.10324570421500945</v>
      </c>
    </row>
    <row r="123" spans="2:6" x14ac:dyDescent="0.3">
      <c r="B123" t="s">
        <v>50</v>
      </c>
      <c r="C123" t="s">
        <v>23</v>
      </c>
      <c r="D123" s="30">
        <f>D18</f>
        <v>0.57011960371644166</v>
      </c>
      <c r="E123" s="30">
        <f>E18</f>
        <v>0.56153464005058262</v>
      </c>
      <c r="F123" s="30">
        <f>F18</f>
        <v>0.54405799804186672</v>
      </c>
    </row>
    <row r="124" spans="2:6" x14ac:dyDescent="0.3">
      <c r="B124" t="s">
        <v>138</v>
      </c>
      <c r="C124" t="s">
        <v>46</v>
      </c>
      <c r="D124" s="28">
        <f>D79+D80</f>
        <v>1706</v>
      </c>
      <c r="E124" s="28">
        <f>E79+E80</f>
        <v>1602</v>
      </c>
      <c r="F124" s="28">
        <f>F79+F80</f>
        <v>1602.6666666666667</v>
      </c>
    </row>
    <row r="125" spans="2:6" x14ac:dyDescent="0.3">
      <c r="B125" t="s">
        <v>1439</v>
      </c>
      <c r="C125" t="s">
        <v>46</v>
      </c>
      <c r="D125" s="28">
        <f>D127+D124</f>
        <v>11956</v>
      </c>
      <c r="E125" s="28">
        <f>E127+E124</f>
        <v>13996</v>
      </c>
      <c r="F125" s="28">
        <f>F127+F124</f>
        <v>10749.666666666666</v>
      </c>
    </row>
    <row r="126" spans="2:6" x14ac:dyDescent="0.3">
      <c r="B126" t="s">
        <v>1440</v>
      </c>
      <c r="C126" t="s">
        <v>23</v>
      </c>
      <c r="D126" s="30">
        <f>D125/D11</f>
        <v>0.30686309737693135</v>
      </c>
      <c r="E126" s="30">
        <f>E125/E11</f>
        <v>0.3160509439075061</v>
      </c>
      <c r="F126" s="30">
        <f>F125/F11</f>
        <v>0.25058666293688903</v>
      </c>
    </row>
    <row r="127" spans="2:6" x14ac:dyDescent="0.3">
      <c r="B127" t="s">
        <v>140</v>
      </c>
      <c r="C127" t="s">
        <v>46</v>
      </c>
      <c r="D127" s="28">
        <f>D26+D24</f>
        <v>10250</v>
      </c>
      <c r="E127" s="28">
        <f>E26+E24</f>
        <v>12394</v>
      </c>
      <c r="F127" s="28">
        <f>F26+F24</f>
        <v>9147</v>
      </c>
    </row>
    <row r="128" spans="2:6" x14ac:dyDescent="0.3">
      <c r="B128" t="s">
        <v>141</v>
      </c>
      <c r="C128" t="s">
        <v>23</v>
      </c>
      <c r="D128" s="30">
        <f>D127/D11</f>
        <v>0.2630768441045121</v>
      </c>
      <c r="E128" s="30">
        <f>E127/E11</f>
        <v>0.27987535001354891</v>
      </c>
      <c r="F128" s="30">
        <f>F127/F11</f>
        <v>0.21322672385659006</v>
      </c>
    </row>
    <row r="129" spans="2:6" x14ac:dyDescent="0.3">
      <c r="B129" t="s">
        <v>142</v>
      </c>
      <c r="C129" t="s">
        <v>46</v>
      </c>
      <c r="D129" s="28">
        <f>-D87</f>
        <v>1041</v>
      </c>
      <c r="E129" s="28">
        <f>-E87</f>
        <v>1192</v>
      </c>
      <c r="F129" s="28">
        <f>-F87</f>
        <v>2104</v>
      </c>
    </row>
    <row r="130" spans="2:6" x14ac:dyDescent="0.3">
      <c r="B130" t="s">
        <v>143</v>
      </c>
      <c r="C130" t="s">
        <v>23</v>
      </c>
      <c r="D130" s="30">
        <f>D129/D11</f>
        <v>2.6718340947589958E-2</v>
      </c>
      <c r="E130" s="30">
        <f>E129/E11</f>
        <v>2.6917170987264025E-2</v>
      </c>
      <c r="F130" s="30">
        <f>F129/F11</f>
        <v>4.9046575597929971E-2</v>
      </c>
    </row>
    <row r="131" spans="2:6" x14ac:dyDescent="0.3">
      <c r="B131" t="s">
        <v>144</v>
      </c>
      <c r="C131" t="s">
        <v>145</v>
      </c>
      <c r="D131" s="34">
        <f>D129/D124</f>
        <v>0.61019929660023442</v>
      </c>
      <c r="E131" s="34">
        <f>E129/E124</f>
        <v>0.74406991260923849</v>
      </c>
      <c r="F131" s="34">
        <f>F129/F124</f>
        <v>1.3128119800332778</v>
      </c>
    </row>
    <row r="132" spans="2:6" x14ac:dyDescent="0.3">
      <c r="B132" t="s">
        <v>146</v>
      </c>
      <c r="C132" t="s">
        <v>46</v>
      </c>
      <c r="D132" s="28">
        <f>D85-D129</f>
        <v>11161</v>
      </c>
      <c r="E132" s="28">
        <f>E85-E129</f>
        <v>12820</v>
      </c>
      <c r="F132" s="28">
        <f>F85-F129</f>
        <v>8988</v>
      </c>
    </row>
    <row r="133" spans="2:6" x14ac:dyDescent="0.3">
      <c r="B133" t="s">
        <v>147</v>
      </c>
      <c r="C133" t="s">
        <v>23</v>
      </c>
      <c r="D133" s="30">
        <f>D82/D11</f>
        <v>6.796365689646322E-2</v>
      </c>
      <c r="E133" s="30">
        <f>E82/E11</f>
        <v>6.284436816909042E-2</v>
      </c>
      <c r="F133" s="30">
        <f>F82/F11</f>
        <v>8.0166907548137448E-2</v>
      </c>
    </row>
    <row r="134" spans="2:6" x14ac:dyDescent="0.3">
      <c r="B134" t="s">
        <v>148</v>
      </c>
      <c r="C134" t="s">
        <v>149</v>
      </c>
      <c r="D134" s="35"/>
      <c r="E134" s="35">
        <f>E45/E11*365</f>
        <v>35.565328335290403</v>
      </c>
      <c r="F134" s="35">
        <f>F45/F11*365</f>
        <v>39.717935568091754</v>
      </c>
    </row>
    <row r="135" spans="2:6" x14ac:dyDescent="0.3">
      <c r="B135" t="s">
        <v>150</v>
      </c>
      <c r="C135" t="s">
        <v>23</v>
      </c>
      <c r="D135" s="30"/>
      <c r="E135" s="30">
        <f>E57/(E16+E129)</f>
        <v>0.1354262700761803</v>
      </c>
      <c r="F135" s="30">
        <f>F57/(F16+F129)</f>
        <v>0.13373032359322348</v>
      </c>
    </row>
    <row r="136" spans="2:6" x14ac:dyDescent="0.3">
      <c r="B136" t="s">
        <v>151</v>
      </c>
      <c r="C136" t="s">
        <v>23</v>
      </c>
      <c r="D136" s="30"/>
      <c r="E136" s="30">
        <f>E59/E11</f>
        <v>8.0841839038930541E-3</v>
      </c>
      <c r="F136" s="30">
        <f>F59/F11</f>
        <v>6.5271108210172967E-3</v>
      </c>
    </row>
    <row r="137" spans="2:6" x14ac:dyDescent="0.3">
      <c r="B137" t="s">
        <v>152</v>
      </c>
      <c r="C137" t="s">
        <v>46</v>
      </c>
      <c r="D137" s="28"/>
      <c r="E137" s="28">
        <f>E110+E112-E43-E44</f>
        <v>2333</v>
      </c>
      <c r="F137" s="28">
        <f>F110+F112-F43-F44</f>
        <v>6966</v>
      </c>
    </row>
    <row r="138" spans="2:6" x14ac:dyDescent="0.3">
      <c r="B138" t="s">
        <v>153</v>
      </c>
      <c r="C138" t="s">
        <v>145</v>
      </c>
      <c r="D138" s="34"/>
      <c r="E138" s="34">
        <f>E137/E125</f>
        <v>0.16669048299514147</v>
      </c>
      <c r="F138" s="34">
        <f>F137/F125</f>
        <v>0.64802009364631463</v>
      </c>
    </row>
    <row r="139" spans="2:6" x14ac:dyDescent="0.3">
      <c r="B139" t="s">
        <v>1441</v>
      </c>
      <c r="C139" t="s">
        <v>46</v>
      </c>
      <c r="D139" s="28"/>
      <c r="E139" s="62">
        <f>'04 Operating Model'!E63</f>
        <v>20915</v>
      </c>
      <c r="F139" s="62">
        <f>'04 Operating Model'!F63</f>
        <v>26002</v>
      </c>
    </row>
    <row r="140" spans="2:6" x14ac:dyDescent="0.3">
      <c r="B140" t="s">
        <v>154</v>
      </c>
      <c r="C140" t="s">
        <v>46</v>
      </c>
      <c r="D140" s="28">
        <f>D127*(1-D33)</f>
        <v>10025.880417956656</v>
      </c>
      <c r="E140" s="28">
        <f>E127*(1-E33)</f>
        <v>5423.2925846955695</v>
      </c>
      <c r="F140" s="28">
        <f>F127*(1-F33)</f>
        <v>12754.423780179817</v>
      </c>
    </row>
    <row r="141" spans="2:6" x14ac:dyDescent="0.3">
      <c r="B141" t="s">
        <v>1442</v>
      </c>
      <c r="C141" t="s">
        <v>23</v>
      </c>
      <c r="D141" s="30"/>
      <c r="E141" s="30"/>
      <c r="F141" s="30">
        <f>F140/AVERAGE(E139:F139)</f>
        <v>0.54370159132850848</v>
      </c>
    </row>
    <row r="142" spans="2:6" x14ac:dyDescent="0.3">
      <c r="B142" t="s">
        <v>155</v>
      </c>
      <c r="C142" t="s">
        <v>145</v>
      </c>
      <c r="D142" s="34">
        <f>D127/D29</f>
        <v>14.705882352941176</v>
      </c>
      <c r="E142" s="34">
        <f>E127/E29</f>
        <v>18.66566265060241</v>
      </c>
      <c r="F142" s="34">
        <f>F127/F29</f>
        <v>13.180115273775217</v>
      </c>
    </row>
    <row r="144" spans="2:6" x14ac:dyDescent="0.3">
      <c r="B144" s="5" t="s">
        <v>156</v>
      </c>
    </row>
    <row r="145" spans="2:7" x14ac:dyDescent="0.3">
      <c r="B145" s="2" t="s">
        <v>41</v>
      </c>
      <c r="C145" s="2" t="s">
        <v>157</v>
      </c>
      <c r="D145" s="2" t="s">
        <v>158</v>
      </c>
      <c r="E145" s="2" t="s">
        <v>159</v>
      </c>
      <c r="F145" s="2" t="s">
        <v>160</v>
      </c>
      <c r="G145" s="2" t="s">
        <v>161</v>
      </c>
    </row>
    <row r="146" spans="2:7" ht="43.2" x14ac:dyDescent="0.3">
      <c r="B146" s="38" t="s">
        <v>2021</v>
      </c>
      <c r="C146" s="39">
        <f>F24</f>
        <v>97</v>
      </c>
      <c r="D146" s="38" t="s">
        <v>162</v>
      </c>
      <c r="E146" s="38" t="s">
        <v>162</v>
      </c>
      <c r="F146" s="38" t="s">
        <v>2022</v>
      </c>
      <c r="G146" s="38" t="s">
        <v>2023</v>
      </c>
    </row>
    <row r="147" spans="2:7" ht="28.8" x14ac:dyDescent="0.3">
      <c r="B147" s="38" t="s">
        <v>163</v>
      </c>
      <c r="C147" s="39">
        <f>F23</f>
        <v>331</v>
      </c>
      <c r="D147" s="38" t="s">
        <v>164</v>
      </c>
      <c r="E147" s="38" t="s">
        <v>165</v>
      </c>
      <c r="F147" s="38" t="s">
        <v>2024</v>
      </c>
      <c r="G147" s="38" t="s">
        <v>2025</v>
      </c>
    </row>
    <row r="148" spans="2:7" ht="28.8" x14ac:dyDescent="0.3">
      <c r="B148" s="38" t="s">
        <v>166</v>
      </c>
      <c r="C148" s="39">
        <f>F82</f>
        <v>3439</v>
      </c>
      <c r="D148" s="38" t="s">
        <v>164</v>
      </c>
      <c r="E148" s="38" t="s">
        <v>164</v>
      </c>
      <c r="F148" s="38" t="s">
        <v>167</v>
      </c>
      <c r="G148" s="38" t="s">
        <v>2026</v>
      </c>
    </row>
    <row r="149" spans="2:7" ht="43.2" x14ac:dyDescent="0.3">
      <c r="B149" s="38" t="s">
        <v>168</v>
      </c>
      <c r="C149" s="39">
        <f>F30</f>
        <v>1543</v>
      </c>
      <c r="D149" s="38" t="s">
        <v>169</v>
      </c>
      <c r="E149" s="38" t="s">
        <v>162</v>
      </c>
      <c r="F149" s="38" t="s">
        <v>170</v>
      </c>
      <c r="G149" s="38" t="s">
        <v>2027</v>
      </c>
    </row>
    <row r="150" spans="2:7" x14ac:dyDescent="0.3">
      <c r="B150" s="38" t="s">
        <v>2028</v>
      </c>
      <c r="C150" s="39">
        <f>'00 Panel del Analista'!F161</f>
        <v>0</v>
      </c>
      <c r="D150" s="38" t="s">
        <v>169</v>
      </c>
      <c r="E150" s="38" t="s">
        <v>162</v>
      </c>
      <c r="F150" s="38" t="s">
        <v>2029</v>
      </c>
      <c r="G150" s="38" t="s">
        <v>2030</v>
      </c>
    </row>
    <row r="151" spans="2:7" ht="43.2" x14ac:dyDescent="0.3">
      <c r="B151" s="38" t="s">
        <v>171</v>
      </c>
      <c r="C151" s="39">
        <f>F81</f>
        <v>-5550</v>
      </c>
      <c r="D151" s="38" t="s">
        <v>164</v>
      </c>
      <c r="E151" s="38" t="s">
        <v>162</v>
      </c>
      <c r="F151" s="38" t="s">
        <v>2031</v>
      </c>
      <c r="G151" s="38" t="s">
        <v>2032</v>
      </c>
    </row>
    <row r="152" spans="2:7" ht="43.2" x14ac:dyDescent="0.3">
      <c r="B152" s="38" t="s">
        <v>172</v>
      </c>
      <c r="C152" s="39">
        <f>F113</f>
        <v>832</v>
      </c>
      <c r="D152" s="38" t="s">
        <v>164</v>
      </c>
      <c r="E152" s="38" t="s">
        <v>164</v>
      </c>
      <c r="F152" s="38" t="s">
        <v>173</v>
      </c>
      <c r="G152" s="38" t="s">
        <v>174</v>
      </c>
    </row>
    <row r="153" spans="2:7" ht="28.8" x14ac:dyDescent="0.3">
      <c r="B153" s="38" t="s">
        <v>175</v>
      </c>
      <c r="C153" s="39">
        <f>F112</f>
        <v>0</v>
      </c>
      <c r="D153" s="38" t="s">
        <v>164</v>
      </c>
      <c r="E153" s="38" t="s">
        <v>164</v>
      </c>
      <c r="F153" s="38" t="s">
        <v>176</v>
      </c>
      <c r="G153" s="38" t="s">
        <v>177</v>
      </c>
    </row>
    <row r="154" spans="2:7" ht="43.2" x14ac:dyDescent="0.3">
      <c r="B154" s="38" t="s">
        <v>2033</v>
      </c>
      <c r="C154" s="39">
        <f>F67</f>
        <v>0</v>
      </c>
      <c r="D154" s="38" t="s">
        <v>169</v>
      </c>
      <c r="E154" s="38" t="s">
        <v>169</v>
      </c>
      <c r="F154" s="38" t="s">
        <v>2034</v>
      </c>
      <c r="G154" s="38" t="s">
        <v>2035</v>
      </c>
    </row>
    <row r="155" spans="2:7" x14ac:dyDescent="0.3">
      <c r="B155" s="38" t="s">
        <v>178</v>
      </c>
      <c r="C155" s="39">
        <f>F72</f>
        <v>0</v>
      </c>
      <c r="D155" s="38" t="s">
        <v>169</v>
      </c>
      <c r="E155" s="38" t="s">
        <v>169</v>
      </c>
      <c r="F155" s="38" t="s">
        <v>2034</v>
      </c>
      <c r="G155" s="38" t="s">
        <v>2036</v>
      </c>
    </row>
    <row r="156" spans="2:7" ht="28.8" x14ac:dyDescent="0.3">
      <c r="B156" s="38" t="s">
        <v>179</v>
      </c>
      <c r="C156" s="39">
        <f>F50</f>
        <v>14274</v>
      </c>
      <c r="D156" s="38" t="s">
        <v>169</v>
      </c>
      <c r="E156" s="38" t="s">
        <v>169</v>
      </c>
      <c r="F156" s="38" t="s">
        <v>180</v>
      </c>
      <c r="G156" s="38" t="s">
        <v>181</v>
      </c>
    </row>
    <row r="157" spans="2:7" ht="43.2" x14ac:dyDescent="0.3">
      <c r="B157" s="38" t="s">
        <v>182</v>
      </c>
      <c r="C157" s="39">
        <f>F21</f>
        <v>10143</v>
      </c>
      <c r="D157" s="38" t="s">
        <v>164</v>
      </c>
      <c r="E157" s="38" t="s">
        <v>183</v>
      </c>
      <c r="F157" s="38" t="s">
        <v>184</v>
      </c>
      <c r="G157" s="38" t="s">
        <v>2037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10C5D-73FE-4BA4-AE06-C8B11E0A9F45}">
  <dimension ref="A1:P72"/>
  <sheetViews>
    <sheetView workbookViewId="0">
      <pane xSplit="3" topLeftCell="D1" activePane="topRight" state="frozen"/>
      <selection pane="topRight"/>
    </sheetView>
  </sheetViews>
  <sheetFormatPr baseColWidth="10" defaultRowHeight="14.4" x14ac:dyDescent="0.3"/>
  <cols>
    <col min="2" max="2" width="70.33203125" customWidth="1"/>
    <col min="3" max="3" width="10.21875" customWidth="1"/>
    <col min="4" max="16" width="16.33203125" customWidth="1"/>
  </cols>
  <sheetData>
    <row r="1" spans="1:16" ht="18" x14ac:dyDescent="0.35">
      <c r="A1" s="4" t="s">
        <v>1968</v>
      </c>
    </row>
    <row r="2" spans="1:16" x14ac:dyDescent="0.3">
      <c r="A2" s="14" t="s">
        <v>284</v>
      </c>
    </row>
    <row r="4" spans="1:16" x14ac:dyDescent="0.3">
      <c r="B4" s="15" t="s">
        <v>41</v>
      </c>
      <c r="C4" s="15" t="s">
        <v>42</v>
      </c>
      <c r="D4" s="15" t="str">
        <f>'00 Panel del Analista'!D14</f>
        <v>FY2024A</v>
      </c>
      <c r="E4" s="15" t="str">
        <f>'00 Panel del Analista'!E14</f>
        <v>FY2025A</v>
      </c>
      <c r="F4" s="15" t="str">
        <f>'00 Panel del Analista'!F14</f>
        <v>FY2026E</v>
      </c>
      <c r="G4" s="15" t="str">
        <f>'00 Panel del Analista'!G14</f>
        <v>FY2027E</v>
      </c>
      <c r="H4" s="15" t="str">
        <f>'00 Panel del Analista'!H14</f>
        <v>FY2028E</v>
      </c>
      <c r="I4" s="15" t="str">
        <f>'00 Panel del Analista'!I14</f>
        <v>FY2029E</v>
      </c>
      <c r="J4" s="15" t="str">
        <f>'00 Panel del Analista'!J14</f>
        <v>FY2030E</v>
      </c>
      <c r="K4" s="15" t="str">
        <f>'00 Panel del Analista'!K14</f>
        <v>FY2031E</v>
      </c>
      <c r="L4" s="15" t="str">
        <f>'00 Panel del Analista'!L14</f>
        <v>FY2032E</v>
      </c>
      <c r="M4" s="15" t="str">
        <f>'00 Panel del Analista'!M14</f>
        <v>FY2033E</v>
      </c>
      <c r="N4" s="15" t="str">
        <f>'00 Panel del Analista'!N14</f>
        <v>FY2034E</v>
      </c>
      <c r="O4" s="15" t="str">
        <f>'00 Panel del Analista'!O14</f>
        <v>FY2035E</v>
      </c>
      <c r="P4" s="15" t="str">
        <f>'00 Panel del Analista'!P14</f>
        <v>FY2036E</v>
      </c>
    </row>
    <row r="6" spans="1:16" x14ac:dyDescent="0.3">
      <c r="B6" s="5" t="s">
        <v>285</v>
      </c>
      <c r="C6" s="5"/>
      <c r="D6" s="67"/>
      <c r="E6" s="67"/>
      <c r="F6" s="67"/>
      <c r="G6" s="70"/>
      <c r="H6" s="70"/>
      <c r="I6" s="70"/>
      <c r="J6" s="70"/>
      <c r="K6" s="70"/>
      <c r="L6" s="70"/>
      <c r="M6" s="70"/>
      <c r="N6" s="70"/>
      <c r="O6" s="70"/>
      <c r="P6" s="70"/>
    </row>
    <row r="7" spans="1:16" x14ac:dyDescent="0.3">
      <c r="B7" t="str">
        <f>'00 Panel del Analista'!B18</f>
        <v xml:space="preserve">  QCT IoT + Data Center y otros no reportables</v>
      </c>
      <c r="C7" t="s">
        <v>46</v>
      </c>
      <c r="D7" s="62">
        <f>'03 Historical'!D7</f>
        <v>5617</v>
      </c>
      <c r="E7" s="62">
        <f>'03 Historical'!E7</f>
        <v>6809</v>
      </c>
      <c r="F7" s="62">
        <f>'03 Historical'!F7</f>
        <v>7512</v>
      </c>
      <c r="G7" s="71">
        <f>F7*(1+'02 Assumptions'!G20)</f>
        <v>12019.2</v>
      </c>
      <c r="H7" s="71">
        <f>G7*(1+'02 Assumptions'!H20)</f>
        <v>15985.536000000002</v>
      </c>
      <c r="I7" s="71">
        <f>H7*(1+'02 Assumptions'!I20)</f>
        <v>19502.353920000001</v>
      </c>
      <c r="J7" s="71">
        <f>I7*(1+'02 Assumptions'!J20)</f>
        <v>22427.707008000001</v>
      </c>
      <c r="K7" s="71">
        <f>J7*(1+'02 Assumptions'!K20)</f>
        <v>25119.031848960003</v>
      </c>
      <c r="L7" s="71">
        <f>K7*(1+'02 Assumptions'!L20)</f>
        <v>27630.935033856007</v>
      </c>
      <c r="M7" s="71">
        <f>L7*(1+'02 Assumptions'!M20)</f>
        <v>29841.40983656449</v>
      </c>
      <c r="N7" s="71">
        <f>M7*(1+'02 Assumptions'!N20)</f>
        <v>31631.894426758361</v>
      </c>
      <c r="O7" s="71">
        <f>N7*(1+'02 Assumptions'!O20)</f>
        <v>33213.489148096283</v>
      </c>
      <c r="P7" s="71">
        <f>O7*(1+'02 Assumptions'!P20)</f>
        <v>34542.028714020133</v>
      </c>
    </row>
    <row r="8" spans="1:16" x14ac:dyDescent="0.3">
      <c r="B8" t="str">
        <f>'00 Panel del Analista'!B19</f>
        <v xml:space="preserve">  QCT Handsets</v>
      </c>
      <c r="C8" t="s">
        <v>46</v>
      </c>
      <c r="D8" s="62">
        <f>'03 Historical'!D8</f>
        <v>24863</v>
      </c>
      <c r="E8" s="62">
        <f>'03 Historical'!E8</f>
        <v>27793</v>
      </c>
      <c r="F8" s="62">
        <f>'03 Historical'!F8</f>
        <v>24134</v>
      </c>
      <c r="G8" s="71">
        <f>F8*(1+'02 Assumptions'!G22)</f>
        <v>20513.899999999998</v>
      </c>
      <c r="H8" s="71">
        <f>G8*(1+'02 Assumptions'!H22)</f>
        <v>20924.178</v>
      </c>
      <c r="I8" s="71">
        <f>H8*(1+'02 Assumptions'!I22)</f>
        <v>21551.903340000001</v>
      </c>
      <c r="J8" s="71">
        <f>I8*(1+'02 Assumptions'!J22)</f>
        <v>21982.941406800001</v>
      </c>
      <c r="K8" s="71">
        <f>J8*(1+'02 Assumptions'!K22)</f>
        <v>22422.600234936002</v>
      </c>
      <c r="L8" s="71">
        <f>K8*(1+'02 Assumptions'!L22)</f>
        <v>22871.052239634722</v>
      </c>
      <c r="M8" s="71">
        <f>L8*(1+'02 Assumptions'!M22)</f>
        <v>23328.473284427419</v>
      </c>
      <c r="N8" s="71">
        <f>M8*(1+'02 Assumptions'!N22)</f>
        <v>23795.042750115968</v>
      </c>
      <c r="O8" s="71">
        <f>N8*(1+'02 Assumptions'!O22)</f>
        <v>24389.918818868864</v>
      </c>
      <c r="P8" s="71">
        <f>O8*(1+'02 Assumptions'!P22)</f>
        <v>24999.666789340583</v>
      </c>
    </row>
    <row r="9" spans="1:16" x14ac:dyDescent="0.3">
      <c r="B9" t="str">
        <f>'00 Panel del Analista'!B20</f>
        <v xml:space="preserve">  QTL Licencias (incl. ingresos no asignados)</v>
      </c>
      <c r="C9" t="s">
        <v>46</v>
      </c>
      <c r="D9" s="62">
        <f>'03 Historical'!D9</f>
        <v>5572</v>
      </c>
      <c r="E9" s="62">
        <f>'03 Historical'!E9</f>
        <v>5725</v>
      </c>
      <c r="F9" s="62">
        <f>'03 Historical'!F9</f>
        <v>5552</v>
      </c>
      <c r="G9" s="71">
        <f>F9*(1+'02 Assumptions'!G24)</f>
        <v>5440.96</v>
      </c>
      <c r="H9" s="71">
        <f>G9*(1+'02 Assumptions'!H24)</f>
        <v>5332.1408000000001</v>
      </c>
      <c r="I9" s="71">
        <f>H9*(1+'02 Assumptions'!I24)</f>
        <v>5332.1408000000001</v>
      </c>
      <c r="J9" s="71">
        <f>I9*(1+'02 Assumptions'!J24)</f>
        <v>5385.4622079999999</v>
      </c>
      <c r="K9" s="71">
        <f>J9*(1+'02 Assumptions'!K24)</f>
        <v>5439.3168300799998</v>
      </c>
      <c r="L9" s="71">
        <f>K9*(1+'02 Assumptions'!L24)</f>
        <v>5493.7099983808002</v>
      </c>
      <c r="M9" s="71">
        <f>L9*(1+'02 Assumptions'!M24)</f>
        <v>5576.1156483565119</v>
      </c>
      <c r="N9" s="71">
        <f>M9*(1+'02 Assumptions'!N24)</f>
        <v>5659.7573830818592</v>
      </c>
      <c r="O9" s="71">
        <f>N9*(1+'02 Assumptions'!O24)</f>
        <v>5772.952530743496</v>
      </c>
      <c r="P9" s="71">
        <f>O9*(1+'02 Assumptions'!P24)</f>
        <v>5888.4115813583658</v>
      </c>
    </row>
    <row r="10" spans="1:16" x14ac:dyDescent="0.3">
      <c r="B10" t="str">
        <f>'00 Panel del Analista'!B21</f>
        <v xml:space="preserve">  QCT Automoción</v>
      </c>
      <c r="C10" t="s">
        <v>46</v>
      </c>
      <c r="D10" s="62">
        <f>'03 Historical'!D10</f>
        <v>2910</v>
      </c>
      <c r="E10" s="62">
        <f>'03 Historical'!E10</f>
        <v>3957</v>
      </c>
      <c r="F10" s="62">
        <f>'03 Historical'!F10</f>
        <v>5700</v>
      </c>
      <c r="G10" s="71">
        <f>F10*(1+'02 Assumptions'!G26)</f>
        <v>6954</v>
      </c>
      <c r="H10" s="71">
        <f>G10*(1+'02 Assumptions'!H26)</f>
        <v>8136.1799999999994</v>
      </c>
      <c r="I10" s="71">
        <f>H10*(1+'02 Assumptions'!I26)</f>
        <v>9356.6069999999982</v>
      </c>
      <c r="J10" s="71">
        <f>I10*(1+'02 Assumptions'!J26)</f>
        <v>10572.965909999997</v>
      </c>
      <c r="K10" s="71">
        <f>J10*(1+'02 Assumptions'!K26)</f>
        <v>11735.992160099999</v>
      </c>
      <c r="L10" s="71">
        <f>K10*(1+'02 Assumptions'!L26)</f>
        <v>12792.231454508999</v>
      </c>
      <c r="M10" s="71">
        <f>L10*(1+'02 Assumptions'!M26)</f>
        <v>13815.60997086972</v>
      </c>
      <c r="N10" s="71">
        <f>M10*(1+'02 Assumptions'!N26)</f>
        <v>14782.702668830601</v>
      </c>
      <c r="O10" s="71">
        <f>N10*(1+'02 Assumptions'!O26)</f>
        <v>15669.664828960438</v>
      </c>
      <c r="P10" s="71">
        <f>O10*(1+'02 Assumptions'!P26)</f>
        <v>16453.148070408461</v>
      </c>
    </row>
    <row r="11" spans="1:16" x14ac:dyDescent="0.3">
      <c r="B11" s="75" t="s">
        <v>286</v>
      </c>
      <c r="C11" s="75" t="s">
        <v>46</v>
      </c>
      <c r="D11" s="76">
        <f t="shared" ref="D11:P11" si="0">SUM(D7:D10)</f>
        <v>38962</v>
      </c>
      <c r="E11" s="76">
        <f t="shared" si="0"/>
        <v>44284</v>
      </c>
      <c r="F11" s="76">
        <f t="shared" si="0"/>
        <v>42898</v>
      </c>
      <c r="G11" s="77">
        <f t="shared" si="0"/>
        <v>44928.06</v>
      </c>
      <c r="H11" s="77">
        <f t="shared" si="0"/>
        <v>50378.034800000001</v>
      </c>
      <c r="I11" s="77">
        <f t="shared" si="0"/>
        <v>55743.005059999996</v>
      </c>
      <c r="J11" s="77">
        <f t="shared" si="0"/>
        <v>60369.076532799998</v>
      </c>
      <c r="K11" s="77">
        <f t="shared" si="0"/>
        <v>64716.941074076007</v>
      </c>
      <c r="L11" s="77">
        <f t="shared" si="0"/>
        <v>68787.928726380531</v>
      </c>
      <c r="M11" s="77">
        <f t="shared" si="0"/>
        <v>72561.608740218144</v>
      </c>
      <c r="N11" s="77">
        <f t="shared" si="0"/>
        <v>75869.397228786795</v>
      </c>
      <c r="O11" s="77">
        <f t="shared" si="0"/>
        <v>79046.025326669085</v>
      </c>
      <c r="P11" s="77">
        <f t="shared" si="0"/>
        <v>81883.255155127539</v>
      </c>
    </row>
    <row r="12" spans="1:16" x14ac:dyDescent="0.3">
      <c r="B12" t="s">
        <v>137</v>
      </c>
      <c r="C12" t="s">
        <v>23</v>
      </c>
      <c r="D12" s="57"/>
      <c r="E12" s="57">
        <f t="shared" ref="E12:P12" si="1">E11/D11-1</f>
        <v>0.13659463066577682</v>
      </c>
      <c r="F12" s="57">
        <f t="shared" si="1"/>
        <v>-3.129798572847986E-2</v>
      </c>
      <c r="G12" s="73">
        <f t="shared" si="1"/>
        <v>4.7322952118979744E-2</v>
      </c>
      <c r="H12" s="73">
        <f t="shared" si="1"/>
        <v>0.12130447653426391</v>
      </c>
      <c r="I12" s="73">
        <f t="shared" si="1"/>
        <v>0.1064942346659381</v>
      </c>
      <c r="J12" s="73">
        <f t="shared" si="1"/>
        <v>8.2989273144148612E-2</v>
      </c>
      <c r="K12" s="73">
        <f t="shared" si="1"/>
        <v>7.2021385632985657E-2</v>
      </c>
      <c r="L12" s="73">
        <f t="shared" si="1"/>
        <v>6.2904512863869888E-2</v>
      </c>
      <c r="M12" s="73">
        <f t="shared" si="1"/>
        <v>5.485962557250823E-2</v>
      </c>
      <c r="N12" s="73">
        <f t="shared" si="1"/>
        <v>4.5585930990188706E-2</v>
      </c>
      <c r="O12" s="73">
        <f t="shared" si="1"/>
        <v>4.1869689412492139E-2</v>
      </c>
      <c r="P12" s="73">
        <f t="shared" si="1"/>
        <v>3.5893390170260941E-2</v>
      </c>
    </row>
    <row r="13" spans="1:16" x14ac:dyDescent="0.3">
      <c r="B13" t="s">
        <v>1969</v>
      </c>
      <c r="C13" t="s">
        <v>23</v>
      </c>
      <c r="D13" s="57">
        <f t="shared" ref="D13:P13" si="2">D7/D11</f>
        <v>0.14416611056927262</v>
      </c>
      <c r="E13" s="57">
        <f t="shared" si="2"/>
        <v>0.15375756480896036</v>
      </c>
      <c r="F13" s="57">
        <f t="shared" si="2"/>
        <v>0.17511305888386405</v>
      </c>
      <c r="G13" s="73">
        <f t="shared" si="2"/>
        <v>0.26752101025506114</v>
      </c>
      <c r="H13" s="73">
        <f t="shared" si="2"/>
        <v>0.3173116232791201</v>
      </c>
      <c r="I13" s="73">
        <f t="shared" si="2"/>
        <v>0.3498619046283617</v>
      </c>
      <c r="J13" s="73">
        <f t="shared" si="2"/>
        <v>0.3715098572994483</v>
      </c>
      <c r="K13" s="73">
        <f t="shared" si="2"/>
        <v>0.38813688397615043</v>
      </c>
      <c r="L13" s="73">
        <f t="shared" si="2"/>
        <v>0.40168290491438213</v>
      </c>
      <c r="M13" s="73">
        <f t="shared" si="2"/>
        <v>0.4112561774009364</v>
      </c>
      <c r="N13" s="73">
        <f t="shared" si="2"/>
        <v>0.41692560613565027</v>
      </c>
      <c r="O13" s="73">
        <f t="shared" si="2"/>
        <v>0.42017911730332747</v>
      </c>
      <c r="P13" s="73">
        <f t="shared" si="2"/>
        <v>0.42184484054255511</v>
      </c>
    </row>
    <row r="14" spans="1:16" x14ac:dyDescent="0.3">
      <c r="D14" s="49"/>
      <c r="E14" s="49"/>
      <c r="F14" s="49"/>
      <c r="G14" s="66"/>
      <c r="H14" s="66"/>
      <c r="I14" s="66"/>
      <c r="J14" s="66"/>
      <c r="K14" s="66"/>
      <c r="L14" s="66"/>
      <c r="M14" s="66"/>
      <c r="N14" s="66"/>
      <c r="O14" s="66"/>
      <c r="P14" s="66"/>
    </row>
    <row r="15" spans="1:16" x14ac:dyDescent="0.3">
      <c r="B15" s="5" t="s">
        <v>287</v>
      </c>
      <c r="C15" s="5"/>
      <c r="D15" s="67"/>
      <c r="E15" s="67"/>
      <c r="F15" s="67"/>
      <c r="G15" s="70"/>
      <c r="H15" s="70"/>
      <c r="I15" s="70"/>
      <c r="J15" s="70"/>
      <c r="K15" s="70"/>
      <c r="L15" s="70"/>
      <c r="M15" s="70"/>
      <c r="N15" s="70"/>
      <c r="O15" s="70"/>
      <c r="P15" s="70"/>
    </row>
    <row r="16" spans="1:16" x14ac:dyDescent="0.3">
      <c r="B16" t="s">
        <v>50</v>
      </c>
      <c r="C16" t="s">
        <v>23</v>
      </c>
      <c r="D16" s="57">
        <f>'03 Historical'!D18</f>
        <v>0.57011960371644166</v>
      </c>
      <c r="E16" s="57">
        <f>'03 Historical'!E18</f>
        <v>0.56153464005058262</v>
      </c>
      <c r="F16" s="57">
        <f>'03 Historical'!F18</f>
        <v>0.54405799804186672</v>
      </c>
      <c r="G16" s="73">
        <f>'02 Assumptions'!G30</f>
        <v>0.54500000000000004</v>
      </c>
      <c r="H16" s="73">
        <f>'02 Assumptions'!H30</f>
        <v>0.55000000000000004</v>
      </c>
      <c r="I16" s="73">
        <f>'02 Assumptions'!I30</f>
        <v>0.55500000000000005</v>
      </c>
      <c r="J16" s="73">
        <f>'02 Assumptions'!J30</f>
        <v>0.55500000000000005</v>
      </c>
      <c r="K16" s="73">
        <f>'02 Assumptions'!K30</f>
        <v>0.55500000000000005</v>
      </c>
      <c r="L16" s="73">
        <f>'02 Assumptions'!L30</f>
        <v>0.55500000000000005</v>
      </c>
      <c r="M16" s="73">
        <f>'02 Assumptions'!M30</f>
        <v>0.55500000000000005</v>
      </c>
      <c r="N16" s="73">
        <f>'02 Assumptions'!N30</f>
        <v>0.55500000000000005</v>
      </c>
      <c r="O16" s="73">
        <f>'02 Assumptions'!O30</f>
        <v>0.55500000000000005</v>
      </c>
      <c r="P16" s="73">
        <f>'02 Assumptions'!P30</f>
        <v>0.55500000000000005</v>
      </c>
    </row>
    <row r="17" spans="2:16" x14ac:dyDescent="0.3">
      <c r="B17" s="75" t="s">
        <v>49</v>
      </c>
      <c r="C17" s="75" t="s">
        <v>46</v>
      </c>
      <c r="D17" s="76">
        <f>'03 Historical'!D17</f>
        <v>22213</v>
      </c>
      <c r="E17" s="76">
        <f>'03 Historical'!E17</f>
        <v>24867</v>
      </c>
      <c r="F17" s="76">
        <f>'03 Historical'!F17</f>
        <v>23339</v>
      </c>
      <c r="G17" s="77">
        <f t="shared" ref="G17:P17" si="3">G11*G16</f>
        <v>24485.792700000002</v>
      </c>
      <c r="H17" s="77">
        <f t="shared" si="3"/>
        <v>27707.919140000002</v>
      </c>
      <c r="I17" s="77">
        <f t="shared" si="3"/>
        <v>30937.367808300001</v>
      </c>
      <c r="J17" s="77">
        <f t="shared" si="3"/>
        <v>33504.837475704</v>
      </c>
      <c r="K17" s="77">
        <f t="shared" si="3"/>
        <v>35917.902296112188</v>
      </c>
      <c r="L17" s="77">
        <f t="shared" si="3"/>
        <v>38177.300443141197</v>
      </c>
      <c r="M17" s="77">
        <f t="shared" si="3"/>
        <v>40271.692850821077</v>
      </c>
      <c r="N17" s="77">
        <f t="shared" si="3"/>
        <v>42107.515461976676</v>
      </c>
      <c r="O17" s="77">
        <f t="shared" si="3"/>
        <v>43870.544056301347</v>
      </c>
      <c r="P17" s="77">
        <f t="shared" si="3"/>
        <v>45445.206611095789</v>
      </c>
    </row>
    <row r="18" spans="2:16" x14ac:dyDescent="0.3">
      <c r="B18" t="s">
        <v>288</v>
      </c>
      <c r="C18" t="s">
        <v>46</v>
      </c>
      <c r="D18" s="62">
        <f>'03 Historical'!D16</f>
        <v>16749</v>
      </c>
      <c r="E18" s="62">
        <f>'03 Historical'!E16</f>
        <v>19417</v>
      </c>
      <c r="F18" s="62">
        <f>'03 Historical'!F16</f>
        <v>19559</v>
      </c>
      <c r="G18" s="71">
        <f t="shared" ref="G18:P18" si="4">G11-G17</f>
        <v>20442.267299999996</v>
      </c>
      <c r="H18" s="71">
        <f t="shared" si="4"/>
        <v>22670.115659999999</v>
      </c>
      <c r="I18" s="71">
        <f t="shared" si="4"/>
        <v>24805.637251699995</v>
      </c>
      <c r="J18" s="71">
        <f t="shared" si="4"/>
        <v>26864.239057095998</v>
      </c>
      <c r="K18" s="71">
        <f t="shared" si="4"/>
        <v>28799.038777963819</v>
      </c>
      <c r="L18" s="71">
        <f t="shared" si="4"/>
        <v>30610.628283239334</v>
      </c>
      <c r="M18" s="71">
        <f t="shared" si="4"/>
        <v>32289.915889397067</v>
      </c>
      <c r="N18" s="71">
        <f t="shared" si="4"/>
        <v>33761.881766810118</v>
      </c>
      <c r="O18" s="71">
        <f t="shared" si="4"/>
        <v>35175.481270367738</v>
      </c>
      <c r="P18" s="71">
        <f t="shared" si="4"/>
        <v>36438.04854403175</v>
      </c>
    </row>
    <row r="19" spans="2:16" x14ac:dyDescent="0.3">
      <c r="D19" s="49"/>
      <c r="E19" s="49"/>
      <c r="F19" s="49"/>
      <c r="G19" s="66"/>
      <c r="H19" s="66"/>
      <c r="I19" s="66"/>
      <c r="J19" s="66"/>
      <c r="K19" s="66"/>
      <c r="L19" s="66"/>
      <c r="M19" s="66"/>
      <c r="N19" s="66"/>
      <c r="O19" s="66"/>
      <c r="P19" s="66"/>
    </row>
    <row r="20" spans="2:16" x14ac:dyDescent="0.3">
      <c r="B20" s="5" t="s">
        <v>289</v>
      </c>
      <c r="C20" s="5"/>
      <c r="D20" s="67"/>
      <c r="E20" s="67"/>
      <c r="F20" s="67"/>
      <c r="G20" s="70"/>
      <c r="H20" s="70"/>
      <c r="I20" s="70"/>
      <c r="J20" s="70"/>
      <c r="K20" s="70"/>
      <c r="L20" s="70"/>
      <c r="M20" s="70"/>
      <c r="N20" s="70"/>
      <c r="O20" s="70"/>
      <c r="P20" s="70"/>
    </row>
    <row r="21" spans="2:16" x14ac:dyDescent="0.3">
      <c r="B21" t="str">
        <f>'00 Panel del Analista'!B31</f>
        <v xml:space="preserve">  Ventas, generales y administración (SG&amp;A)</v>
      </c>
      <c r="C21" t="s">
        <v>46</v>
      </c>
      <c r="D21" s="62">
        <f>'03 Historical'!D20</f>
        <v>2759</v>
      </c>
      <c r="E21" s="62">
        <f>'03 Historical'!E20</f>
        <v>3110</v>
      </c>
      <c r="F21" s="62">
        <f>'03 Historical'!F20</f>
        <v>3718</v>
      </c>
      <c r="G21" s="71">
        <f>G11*'02 Assumptions'!G32</f>
        <v>3818.8851</v>
      </c>
      <c r="H21" s="71">
        <f>H11*'02 Assumptions'!H32</f>
        <v>4030.242784</v>
      </c>
      <c r="I21" s="71">
        <f>I11*'02 Assumptions'!I32</f>
        <v>4292.2113896199999</v>
      </c>
      <c r="J21" s="71">
        <f>J11*'02 Assumptions'!J32</f>
        <v>4527.6807399599993</v>
      </c>
      <c r="K21" s="71">
        <f>K11*'02 Assumptions'!K32</f>
        <v>4724.3366984075483</v>
      </c>
      <c r="L21" s="71">
        <f>L11*'02 Assumptions'!L32</f>
        <v>4952.730868299398</v>
      </c>
      <c r="M21" s="71">
        <f>M11*'02 Assumptions'!M32</f>
        <v>5151.8742205554881</v>
      </c>
      <c r="N21" s="71">
        <f>N11*'02 Assumptions'!N32</f>
        <v>5386.7272032438623</v>
      </c>
      <c r="O21" s="71">
        <f>O11*'02 Assumptions'!O32</f>
        <v>5612.2677981935049</v>
      </c>
      <c r="P21" s="71">
        <f>P11*'02 Assumptions'!P32</f>
        <v>5813.7111160140548</v>
      </c>
    </row>
    <row r="22" spans="2:16" x14ac:dyDescent="0.3">
      <c r="B22" t="str">
        <f>'00 Panel del Analista'!B32</f>
        <v xml:space="preserve">  Investigación y desarrollo</v>
      </c>
      <c r="C22" t="s">
        <v>46</v>
      </c>
      <c r="D22" s="62">
        <f>'03 Historical'!D21</f>
        <v>8893</v>
      </c>
      <c r="E22" s="62">
        <f>'03 Historical'!E21</f>
        <v>9042</v>
      </c>
      <c r="F22" s="62">
        <f>'03 Historical'!F21</f>
        <v>10143</v>
      </c>
      <c r="G22" s="71">
        <f>G11*'02 Assumptions'!G34</f>
        <v>10558.094099999998</v>
      </c>
      <c r="H22" s="71">
        <f>H11*'02 Assumptions'!H34</f>
        <v>11335.05783</v>
      </c>
      <c r="I22" s="71">
        <f>I11*'02 Assumptions'!I34</f>
        <v>11984.746087899999</v>
      </c>
      <c r="J22" s="71">
        <f>J11*'02 Assumptions'!J34</f>
        <v>12677.506071887999</v>
      </c>
      <c r="K22" s="71">
        <f>K11*'02 Assumptions'!K34</f>
        <v>13396.406802333733</v>
      </c>
      <c r="L22" s="71">
        <f>L11*'02 Assumptions'!L34</f>
        <v>14101.525388908009</v>
      </c>
      <c r="M22" s="71">
        <f>M11*'02 Assumptions'!M34</f>
        <v>14875.129791744719</v>
      </c>
      <c r="N22" s="71">
        <f>N11*'02 Assumptions'!N34</f>
        <v>15553.226431901292</v>
      </c>
      <c r="O22" s="71">
        <f>O11*'02 Assumptions'!O34</f>
        <v>16204.435191967161</v>
      </c>
      <c r="P22" s="71">
        <f>P11*'02 Assumptions'!P34</f>
        <v>16786.067306801146</v>
      </c>
    </row>
    <row r="23" spans="2:16" x14ac:dyDescent="0.3">
      <c r="B23" t="str">
        <f>'00 Panel del Analista'!B33</f>
        <v xml:space="preserve">  Generales y administración (incluido en SG&amp;A)</v>
      </c>
      <c r="C23" t="s">
        <v>46</v>
      </c>
      <c r="D23" s="62">
        <f>'03 Historical'!D22</f>
        <v>0</v>
      </c>
      <c r="E23" s="62">
        <f>'03 Historical'!E22</f>
        <v>0</v>
      </c>
      <c r="F23" s="62">
        <f>'03 Historical'!F22</f>
        <v>0</v>
      </c>
      <c r="G23" s="71">
        <f>G11*'02 Assumptions'!G36</f>
        <v>0</v>
      </c>
      <c r="H23" s="71">
        <f>H11*'02 Assumptions'!H36</f>
        <v>0</v>
      </c>
      <c r="I23" s="71">
        <f>I11*'02 Assumptions'!I36</f>
        <v>0</v>
      </c>
      <c r="J23" s="71">
        <f>J11*'02 Assumptions'!J36</f>
        <v>0</v>
      </c>
      <c r="K23" s="71">
        <f>K11*'02 Assumptions'!K36</f>
        <v>0</v>
      </c>
      <c r="L23" s="71">
        <f>L11*'02 Assumptions'!L36</f>
        <v>0</v>
      </c>
      <c r="M23" s="71">
        <f>M11*'02 Assumptions'!M36</f>
        <v>0</v>
      </c>
      <c r="N23" s="71">
        <f>N11*'02 Assumptions'!N36</f>
        <v>0</v>
      </c>
      <c r="O23" s="71">
        <f>O11*'02 Assumptions'!O36</f>
        <v>0</v>
      </c>
      <c r="P23" s="71">
        <f>P11*'02 Assumptions'!P36</f>
        <v>0</v>
      </c>
    </row>
    <row r="24" spans="2:16" x14ac:dyDescent="0.3">
      <c r="B24" t="str">
        <f>'00 Panel del Analista'!B34</f>
        <v xml:space="preserve">  Amortización de intangibles adquiridos (reclasificada desde coste de ingresos)</v>
      </c>
      <c r="C24" t="s">
        <v>46</v>
      </c>
      <c r="D24" s="62">
        <f>'03 Historical'!D23</f>
        <v>311</v>
      </c>
      <c r="E24" s="62">
        <f>'03 Historical'!E23</f>
        <v>321</v>
      </c>
      <c r="F24" s="62">
        <f>'03 Historical'!F23</f>
        <v>331</v>
      </c>
      <c r="G24" s="71">
        <f>'02 Assumptions'!G37</f>
        <v>430</v>
      </c>
      <c r="H24" s="71">
        <f>'02 Assumptions'!H37</f>
        <v>350</v>
      </c>
      <c r="I24" s="71">
        <f>'02 Assumptions'!I37</f>
        <v>280</v>
      </c>
      <c r="J24" s="71">
        <f>'02 Assumptions'!J37</f>
        <v>210</v>
      </c>
      <c r="K24" s="71">
        <f>'02 Assumptions'!K37</f>
        <v>140</v>
      </c>
      <c r="L24" s="71">
        <f>'02 Assumptions'!L37</f>
        <v>100</v>
      </c>
      <c r="M24" s="71">
        <f>'02 Assumptions'!M37</f>
        <v>0</v>
      </c>
      <c r="N24" s="71">
        <f>'02 Assumptions'!N37</f>
        <v>0</v>
      </c>
      <c r="O24" s="71">
        <f>'02 Assumptions'!O37</f>
        <v>0</v>
      </c>
      <c r="P24" s="71">
        <f>'02 Assumptions'!P37</f>
        <v>0</v>
      </c>
    </row>
    <row r="25" spans="2:16" x14ac:dyDescent="0.3">
      <c r="B25" t="str">
        <f>'00 Panel del Analista'!B35</f>
        <v xml:space="preserve">  Otros gastos operativos (reestructuración, deterioros y otros)</v>
      </c>
      <c r="C25" t="s">
        <v>46</v>
      </c>
      <c r="D25" s="62">
        <f>'03 Historical'!D24</f>
        <v>179</v>
      </c>
      <c r="E25" s="62">
        <f>'03 Historical'!E24</f>
        <v>39</v>
      </c>
      <c r="F25" s="62">
        <f>'03 Historical'!F24</f>
        <v>97</v>
      </c>
      <c r="G25" s="71">
        <f>'02 Assumptions'!G38</f>
        <v>100</v>
      </c>
      <c r="H25" s="71">
        <f>'02 Assumptions'!H38</f>
        <v>100</v>
      </c>
      <c r="I25" s="71">
        <f>'02 Assumptions'!I38</f>
        <v>100</v>
      </c>
      <c r="J25" s="71">
        <f>'02 Assumptions'!J38</f>
        <v>100</v>
      </c>
      <c r="K25" s="71">
        <f>'02 Assumptions'!K38</f>
        <v>100</v>
      </c>
      <c r="L25" s="71">
        <f>'02 Assumptions'!L38</f>
        <v>100</v>
      </c>
      <c r="M25" s="71">
        <f>'02 Assumptions'!M38</f>
        <v>100</v>
      </c>
      <c r="N25" s="71">
        <f>'02 Assumptions'!N38</f>
        <v>100</v>
      </c>
      <c r="O25" s="71">
        <f>'02 Assumptions'!O38</f>
        <v>100</v>
      </c>
      <c r="P25" s="71">
        <f>'02 Assumptions'!P38</f>
        <v>100</v>
      </c>
    </row>
    <row r="26" spans="2:16" x14ac:dyDescent="0.3">
      <c r="B26" s="3" t="s">
        <v>290</v>
      </c>
      <c r="C26" s="3" t="s">
        <v>46</v>
      </c>
      <c r="D26" s="68">
        <f t="shared" ref="D26:P26" si="5">SUM(D21:D25)</f>
        <v>12142</v>
      </c>
      <c r="E26" s="68">
        <f t="shared" si="5"/>
        <v>12512</v>
      </c>
      <c r="F26" s="68">
        <f t="shared" si="5"/>
        <v>14289</v>
      </c>
      <c r="G26" s="72">
        <f t="shared" si="5"/>
        <v>14906.979199999998</v>
      </c>
      <c r="H26" s="72">
        <f t="shared" si="5"/>
        <v>15815.300614</v>
      </c>
      <c r="I26" s="72">
        <f t="shared" si="5"/>
        <v>16656.957477519998</v>
      </c>
      <c r="J26" s="72">
        <f t="shared" si="5"/>
        <v>17515.186811847998</v>
      </c>
      <c r="K26" s="72">
        <f t="shared" si="5"/>
        <v>18360.743500741282</v>
      </c>
      <c r="L26" s="72">
        <f t="shared" si="5"/>
        <v>19254.256257207406</v>
      </c>
      <c r="M26" s="72">
        <f t="shared" si="5"/>
        <v>20127.004012300207</v>
      </c>
      <c r="N26" s="72">
        <f t="shared" si="5"/>
        <v>21039.953635145153</v>
      </c>
      <c r="O26" s="72">
        <f t="shared" si="5"/>
        <v>21916.702990160666</v>
      </c>
      <c r="P26" s="72">
        <f t="shared" si="5"/>
        <v>22699.778422815201</v>
      </c>
    </row>
    <row r="27" spans="2:16" x14ac:dyDescent="0.3">
      <c r="B27" s="75" t="s">
        <v>291</v>
      </c>
      <c r="C27" s="75" t="s">
        <v>46</v>
      </c>
      <c r="D27" s="76">
        <f t="shared" ref="D27:P27" si="6">D17-D26</f>
        <v>10071</v>
      </c>
      <c r="E27" s="76">
        <f t="shared" si="6"/>
        <v>12355</v>
      </c>
      <c r="F27" s="76">
        <f t="shared" si="6"/>
        <v>9050</v>
      </c>
      <c r="G27" s="77">
        <f t="shared" si="6"/>
        <v>9578.8135000000038</v>
      </c>
      <c r="H27" s="77">
        <f t="shared" si="6"/>
        <v>11892.618526000002</v>
      </c>
      <c r="I27" s="77">
        <f t="shared" si="6"/>
        <v>14280.410330780003</v>
      </c>
      <c r="J27" s="77">
        <f t="shared" si="6"/>
        <v>15989.650663856002</v>
      </c>
      <c r="K27" s="77">
        <f t="shared" si="6"/>
        <v>17557.158795370906</v>
      </c>
      <c r="L27" s="77">
        <f t="shared" si="6"/>
        <v>18923.044185933792</v>
      </c>
      <c r="M27" s="77">
        <f t="shared" si="6"/>
        <v>20144.688838520869</v>
      </c>
      <c r="N27" s="77">
        <f t="shared" si="6"/>
        <v>21067.561826831523</v>
      </c>
      <c r="O27" s="77">
        <f t="shared" si="6"/>
        <v>21953.841066140682</v>
      </c>
      <c r="P27" s="77">
        <f t="shared" si="6"/>
        <v>22745.428188280588</v>
      </c>
    </row>
    <row r="28" spans="2:16" x14ac:dyDescent="0.3">
      <c r="B28" t="s">
        <v>56</v>
      </c>
      <c r="C28" t="s">
        <v>23</v>
      </c>
      <c r="D28" s="57">
        <f t="shared" ref="D28:P28" si="7">D27/D11</f>
        <v>0.25848262409527234</v>
      </c>
      <c r="E28" s="57">
        <f t="shared" si="7"/>
        <v>0.27899467076144885</v>
      </c>
      <c r="F28" s="57">
        <f t="shared" si="7"/>
        <v>0.21096554617930907</v>
      </c>
      <c r="G28" s="73">
        <f t="shared" si="7"/>
        <v>0.21320336333240306</v>
      </c>
      <c r="H28" s="73">
        <f t="shared" si="7"/>
        <v>0.23606753564750013</v>
      </c>
      <c r="I28" s="73">
        <f t="shared" si="7"/>
        <v>0.25618300117492815</v>
      </c>
      <c r="J28" s="73">
        <f t="shared" si="7"/>
        <v>0.26486492062154426</v>
      </c>
      <c r="K28" s="73">
        <f t="shared" si="7"/>
        <v>0.27129154289407331</v>
      </c>
      <c r="L28" s="73">
        <f t="shared" si="7"/>
        <v>0.27509251312398808</v>
      </c>
      <c r="M28" s="73">
        <f t="shared" si="7"/>
        <v>0.27762186076444351</v>
      </c>
      <c r="N28" s="73">
        <f t="shared" si="7"/>
        <v>0.27768194550566366</v>
      </c>
      <c r="O28" s="73">
        <f t="shared" si="7"/>
        <v>0.27773491425297187</v>
      </c>
      <c r="P28" s="73">
        <f t="shared" si="7"/>
        <v>0.27777874908843636</v>
      </c>
    </row>
    <row r="29" spans="2:16" x14ac:dyDescent="0.3">
      <c r="B29" s="75" t="s">
        <v>292</v>
      </c>
      <c r="C29" s="75" t="s">
        <v>46</v>
      </c>
      <c r="D29" s="76">
        <f t="shared" ref="D29:P29" si="8">D27+D25</f>
        <v>10250</v>
      </c>
      <c r="E29" s="76">
        <f t="shared" si="8"/>
        <v>12394</v>
      </c>
      <c r="F29" s="76">
        <f t="shared" si="8"/>
        <v>9147</v>
      </c>
      <c r="G29" s="77">
        <f t="shared" si="8"/>
        <v>9678.8135000000038</v>
      </c>
      <c r="H29" s="77">
        <f t="shared" si="8"/>
        <v>11992.618526000002</v>
      </c>
      <c r="I29" s="77">
        <f t="shared" si="8"/>
        <v>14380.410330780003</v>
      </c>
      <c r="J29" s="77">
        <f t="shared" si="8"/>
        <v>16089.650663856002</v>
      </c>
      <c r="K29" s="77">
        <f t="shared" si="8"/>
        <v>17657.158795370906</v>
      </c>
      <c r="L29" s="77">
        <f t="shared" si="8"/>
        <v>19023.044185933792</v>
      </c>
      <c r="M29" s="77">
        <f t="shared" si="8"/>
        <v>20244.688838520869</v>
      </c>
      <c r="N29" s="77">
        <f t="shared" si="8"/>
        <v>21167.561826831523</v>
      </c>
      <c r="O29" s="77">
        <f t="shared" si="8"/>
        <v>22053.841066140682</v>
      </c>
      <c r="P29" s="77">
        <f t="shared" si="8"/>
        <v>22845.428188280588</v>
      </c>
    </row>
    <row r="30" spans="2:16" x14ac:dyDescent="0.3">
      <c r="B30" t="s">
        <v>293</v>
      </c>
      <c r="C30" t="s">
        <v>23</v>
      </c>
      <c r="D30" s="57">
        <f t="shared" ref="D30:P30" si="9">D29/D11</f>
        <v>0.2630768441045121</v>
      </c>
      <c r="E30" s="57">
        <f t="shared" si="9"/>
        <v>0.27987535001354891</v>
      </c>
      <c r="F30" s="57">
        <f t="shared" si="9"/>
        <v>0.21322672385659006</v>
      </c>
      <c r="G30" s="73">
        <f t="shared" si="9"/>
        <v>0.21542914383572326</v>
      </c>
      <c r="H30" s="73">
        <f t="shared" si="9"/>
        <v>0.23805252772583343</v>
      </c>
      <c r="I30" s="73">
        <f t="shared" si="9"/>
        <v>0.25797694823415757</v>
      </c>
      <c r="J30" s="73">
        <f t="shared" si="9"/>
        <v>0.26652139784040096</v>
      </c>
      <c r="K30" s="73">
        <f t="shared" si="9"/>
        <v>0.27283673335487613</v>
      </c>
      <c r="L30" s="73">
        <f t="shared" si="9"/>
        <v>0.27654625656199405</v>
      </c>
      <c r="M30" s="73">
        <f t="shared" si="9"/>
        <v>0.27900000000000008</v>
      </c>
      <c r="N30" s="73">
        <f t="shared" si="9"/>
        <v>0.27900000000000008</v>
      </c>
      <c r="O30" s="73">
        <f t="shared" si="9"/>
        <v>0.27900000000000008</v>
      </c>
      <c r="P30" s="73">
        <f t="shared" si="9"/>
        <v>0.27900000000000008</v>
      </c>
    </row>
    <row r="31" spans="2:16" x14ac:dyDescent="0.3">
      <c r="D31" s="49"/>
      <c r="E31" s="49"/>
      <c r="F31" s="49"/>
      <c r="G31" s="66"/>
      <c r="H31" s="66"/>
      <c r="I31" s="66"/>
      <c r="J31" s="66"/>
      <c r="K31" s="66"/>
      <c r="L31" s="66"/>
      <c r="M31" s="66"/>
      <c r="N31" s="66"/>
      <c r="O31" s="66"/>
      <c r="P31" s="66"/>
    </row>
    <row r="32" spans="2:16" x14ac:dyDescent="0.3">
      <c r="B32" s="5" t="s">
        <v>294</v>
      </c>
      <c r="C32" s="5"/>
      <c r="D32" s="67"/>
      <c r="E32" s="67"/>
      <c r="F32" s="67"/>
      <c r="G32" s="70"/>
      <c r="H32" s="70"/>
      <c r="I32" s="70"/>
      <c r="J32" s="70"/>
      <c r="K32" s="70"/>
      <c r="L32" s="70"/>
      <c r="M32" s="70"/>
      <c r="N32" s="70"/>
      <c r="O32" s="70"/>
      <c r="P32" s="70"/>
    </row>
    <row r="33" spans="2:16" x14ac:dyDescent="0.3">
      <c r="B33" t="s">
        <v>295</v>
      </c>
      <c r="C33" t="s">
        <v>46</v>
      </c>
      <c r="D33" s="62"/>
      <c r="E33" s="62"/>
      <c r="F33" s="62">
        <f>'03 Historical'!E48</f>
        <v>4690</v>
      </c>
      <c r="G33" s="71">
        <f t="shared" ref="G33:P33" si="10">F37</f>
        <v>5217</v>
      </c>
      <c r="H33" s="71">
        <f t="shared" si="10"/>
        <v>5854.7890666666663</v>
      </c>
      <c r="I33" s="71">
        <f t="shared" si="10"/>
        <v>6255.3828939851846</v>
      </c>
      <c r="J33" s="71">
        <f t="shared" si="10"/>
        <v>6549.9752926906995</v>
      </c>
      <c r="K33" s="71">
        <f t="shared" si="10"/>
        <v>6704.2672685229882</v>
      </c>
      <c r="L33" s="71">
        <f t="shared" si="10"/>
        <v>6940.2151930487962</v>
      </c>
      <c r="M33" s="71">
        <f t="shared" si="10"/>
        <v>7232.2899161858777</v>
      </c>
      <c r="N33" s="71">
        <f t="shared" si="10"/>
        <v>7560.0906123281675</v>
      </c>
      <c r="O33" s="71">
        <f t="shared" si="10"/>
        <v>7903.2544023562232</v>
      </c>
      <c r="P33" s="71">
        <f t="shared" si="10"/>
        <v>8254.869654988237</v>
      </c>
    </row>
    <row r="34" spans="2:16" x14ac:dyDescent="0.3">
      <c r="B34" t="s">
        <v>142</v>
      </c>
      <c r="C34" t="s">
        <v>46</v>
      </c>
      <c r="D34" s="62">
        <f>'03 Historical'!D129</f>
        <v>1041</v>
      </c>
      <c r="E34" s="62">
        <f>'03 Historical'!E129</f>
        <v>1192</v>
      </c>
      <c r="F34" s="62">
        <f>'03 Historical'!F129</f>
        <v>2104</v>
      </c>
      <c r="G34" s="71">
        <f>G11*'02 Assumptions'!G42</f>
        <v>2021.7626999999998</v>
      </c>
      <c r="H34" s="71">
        <f>H11*'02 Assumptions'!H42</f>
        <v>1914.3653224</v>
      </c>
      <c r="I34" s="71">
        <f>I11*'02 Assumptions'!I42</f>
        <v>1895.26217204</v>
      </c>
      <c r="J34" s="71">
        <f>J11*'02 Assumptions'!J42</f>
        <v>1811.0722959839998</v>
      </c>
      <c r="K34" s="71">
        <f>K11*'02 Assumptions'!K42</f>
        <v>1941.5082322222802</v>
      </c>
      <c r="L34" s="71">
        <f>L11*'02 Assumptions'!L42</f>
        <v>2063.6378617914161</v>
      </c>
      <c r="M34" s="71">
        <f>M11*'02 Assumptions'!M42</f>
        <v>2176.8482622065444</v>
      </c>
      <c r="N34" s="71">
        <f>N11*'02 Assumptions'!N42</f>
        <v>2276.081916863604</v>
      </c>
      <c r="O34" s="71">
        <f>O11*'02 Assumptions'!O42</f>
        <v>2371.3807598000726</v>
      </c>
      <c r="P34" s="71">
        <f>P11*'02 Assumptions'!P42</f>
        <v>2456.497654653826</v>
      </c>
    </row>
    <row r="35" spans="2:16" x14ac:dyDescent="0.3">
      <c r="B35" t="s">
        <v>143</v>
      </c>
      <c r="C35" t="s">
        <v>23</v>
      </c>
      <c r="D35" s="57">
        <f t="shared" ref="D35:P35" si="11">D34/D11</f>
        <v>2.6718340947589958E-2</v>
      </c>
      <c r="E35" s="57">
        <f t="shared" si="11"/>
        <v>2.6917170987264025E-2</v>
      </c>
      <c r="F35" s="57">
        <f t="shared" si="11"/>
        <v>4.9046575597929971E-2</v>
      </c>
      <c r="G35" s="73">
        <f t="shared" si="11"/>
        <v>4.4999999999999998E-2</v>
      </c>
      <c r="H35" s="73">
        <f t="shared" si="11"/>
        <v>3.7999999999999999E-2</v>
      </c>
      <c r="I35" s="73">
        <f t="shared" si="11"/>
        <v>3.4000000000000002E-2</v>
      </c>
      <c r="J35" s="73">
        <f t="shared" si="11"/>
        <v>2.9999999999999995E-2</v>
      </c>
      <c r="K35" s="73">
        <f t="shared" si="11"/>
        <v>0.03</v>
      </c>
      <c r="L35" s="73">
        <f t="shared" si="11"/>
        <v>3.0000000000000002E-2</v>
      </c>
      <c r="M35" s="73">
        <f t="shared" si="11"/>
        <v>3.0000000000000002E-2</v>
      </c>
      <c r="N35" s="73">
        <f t="shared" si="11"/>
        <v>3.0000000000000002E-2</v>
      </c>
      <c r="O35" s="73">
        <f t="shared" si="11"/>
        <v>3.0000000000000002E-2</v>
      </c>
      <c r="P35" s="73">
        <f t="shared" si="11"/>
        <v>0.03</v>
      </c>
    </row>
    <row r="36" spans="2:16" x14ac:dyDescent="0.3">
      <c r="B36" t="s">
        <v>296</v>
      </c>
      <c r="C36" t="s">
        <v>46</v>
      </c>
      <c r="D36" s="62">
        <f>'03 Historical'!D79</f>
        <v>1395</v>
      </c>
      <c r="E36" s="62">
        <f>'03 Historical'!E79</f>
        <v>1281</v>
      </c>
      <c r="F36" s="62">
        <f>'03 Historical'!F79</f>
        <v>1271.6666666666667</v>
      </c>
      <c r="G36" s="71">
        <f>(G33+G34/2)/'02 Assumptions'!$C$43</f>
        <v>1383.9736333333333</v>
      </c>
      <c r="H36" s="71">
        <f>(H33+H34/2)/'02 Assumptions'!$C$43</f>
        <v>1513.7714950814816</v>
      </c>
      <c r="I36" s="71">
        <f>(I33+I34/2)/'02 Assumptions'!$C$43</f>
        <v>1600.6697733344854</v>
      </c>
      <c r="J36" s="71">
        <f>(J33+J34/2)/'02 Assumptions'!$C$43</f>
        <v>1656.7803201517111</v>
      </c>
      <c r="K36" s="71">
        <f>(K33+K34/2)/'02 Assumptions'!$C$43</f>
        <v>1705.560307696473</v>
      </c>
      <c r="L36" s="71">
        <f>(L33+L34/2)/'02 Assumptions'!$C$43</f>
        <v>1771.5631386543344</v>
      </c>
      <c r="M36" s="71">
        <f>(M33+M34/2)/'02 Assumptions'!$C$43</f>
        <v>1849.0475660642555</v>
      </c>
      <c r="N36" s="71">
        <f>(N33+N34/2)/'02 Assumptions'!$C$43</f>
        <v>1932.9181268355487</v>
      </c>
      <c r="O36" s="71">
        <f>(O33+O34/2)/'02 Assumptions'!$C$43</f>
        <v>2019.7655071680576</v>
      </c>
      <c r="P36" s="71">
        <f>(P33+P34/2)/'02 Assumptions'!$C$43</f>
        <v>2107.3596627367001</v>
      </c>
    </row>
    <row r="37" spans="2:16" x14ac:dyDescent="0.3">
      <c r="B37" t="s">
        <v>297</v>
      </c>
      <c r="C37" t="s">
        <v>46</v>
      </c>
      <c r="D37" s="62"/>
      <c r="E37" s="62">
        <f>'03 Historical'!E48</f>
        <v>4690</v>
      </c>
      <c r="F37" s="62">
        <f>'03 Historical'!F48</f>
        <v>5217</v>
      </c>
      <c r="G37" s="71">
        <f t="shared" ref="G37:P37" si="12">G33+G34-G36</f>
        <v>5854.7890666666663</v>
      </c>
      <c r="H37" s="71">
        <f t="shared" si="12"/>
        <v>6255.3828939851846</v>
      </c>
      <c r="I37" s="71">
        <f t="shared" si="12"/>
        <v>6549.9752926906995</v>
      </c>
      <c r="J37" s="71">
        <f t="shared" si="12"/>
        <v>6704.2672685229882</v>
      </c>
      <c r="K37" s="71">
        <f t="shared" si="12"/>
        <v>6940.2151930487962</v>
      </c>
      <c r="L37" s="71">
        <f t="shared" si="12"/>
        <v>7232.2899161858777</v>
      </c>
      <c r="M37" s="71">
        <f t="shared" si="12"/>
        <v>7560.0906123281675</v>
      </c>
      <c r="N37" s="71">
        <f t="shared" si="12"/>
        <v>7903.2544023562232</v>
      </c>
      <c r="O37" s="71">
        <f t="shared" si="12"/>
        <v>8254.869654988237</v>
      </c>
      <c r="P37" s="71">
        <f t="shared" si="12"/>
        <v>8604.007646905362</v>
      </c>
    </row>
    <row r="38" spans="2:16" x14ac:dyDescent="0.3">
      <c r="B38" s="3" t="s">
        <v>298</v>
      </c>
      <c r="C38" s="3" t="s">
        <v>46</v>
      </c>
      <c r="D38" s="68">
        <f t="shared" ref="D38:P38" si="13">D36+D24</f>
        <v>1706</v>
      </c>
      <c r="E38" s="68">
        <f t="shared" si="13"/>
        <v>1602</v>
      </c>
      <c r="F38" s="68">
        <f t="shared" si="13"/>
        <v>1602.6666666666667</v>
      </c>
      <c r="G38" s="72">
        <f t="shared" si="13"/>
        <v>1813.9736333333333</v>
      </c>
      <c r="H38" s="72">
        <f t="shared" si="13"/>
        <v>1863.7714950814816</v>
      </c>
      <c r="I38" s="72">
        <f t="shared" si="13"/>
        <v>1880.6697733344854</v>
      </c>
      <c r="J38" s="72">
        <f t="shared" si="13"/>
        <v>1866.7803201517111</v>
      </c>
      <c r="K38" s="72">
        <f t="shared" si="13"/>
        <v>1845.560307696473</v>
      </c>
      <c r="L38" s="72">
        <f t="shared" si="13"/>
        <v>1871.5631386543344</v>
      </c>
      <c r="M38" s="72">
        <f t="shared" si="13"/>
        <v>1849.0475660642555</v>
      </c>
      <c r="N38" s="72">
        <f t="shared" si="13"/>
        <v>1932.9181268355487</v>
      </c>
      <c r="O38" s="72">
        <f t="shared" si="13"/>
        <v>2019.7655071680576</v>
      </c>
      <c r="P38" s="72">
        <f t="shared" si="13"/>
        <v>2107.3596627367001</v>
      </c>
    </row>
    <row r="39" spans="2:16" x14ac:dyDescent="0.3">
      <c r="B39" s="75" t="s">
        <v>299</v>
      </c>
      <c r="C39" s="75" t="s">
        <v>46</v>
      </c>
      <c r="D39" s="76">
        <f t="shared" ref="D39:P39" si="14">D29+D38</f>
        <v>11956</v>
      </c>
      <c r="E39" s="76">
        <f t="shared" si="14"/>
        <v>13996</v>
      </c>
      <c r="F39" s="76">
        <f t="shared" si="14"/>
        <v>10749.666666666666</v>
      </c>
      <c r="G39" s="77">
        <f t="shared" si="14"/>
        <v>11492.787133333337</v>
      </c>
      <c r="H39" s="77">
        <f t="shared" si="14"/>
        <v>13856.390021081483</v>
      </c>
      <c r="I39" s="77">
        <f t="shared" si="14"/>
        <v>16261.080104114488</v>
      </c>
      <c r="J39" s="77">
        <f t="shared" si="14"/>
        <v>17956.430984007715</v>
      </c>
      <c r="K39" s="77">
        <f t="shared" si="14"/>
        <v>19502.719103067378</v>
      </c>
      <c r="L39" s="77">
        <f t="shared" si="14"/>
        <v>20894.607324588127</v>
      </c>
      <c r="M39" s="77">
        <f t="shared" si="14"/>
        <v>22093.736404585125</v>
      </c>
      <c r="N39" s="77">
        <f t="shared" si="14"/>
        <v>23100.479953667073</v>
      </c>
      <c r="O39" s="77">
        <f t="shared" si="14"/>
        <v>24073.606573308738</v>
      </c>
      <c r="P39" s="77">
        <f t="shared" si="14"/>
        <v>24952.787851017289</v>
      </c>
    </row>
    <row r="40" spans="2:16" x14ac:dyDescent="0.3">
      <c r="B40" t="s">
        <v>139</v>
      </c>
      <c r="C40" t="s">
        <v>23</v>
      </c>
      <c r="D40" s="57">
        <f t="shared" ref="D40:P40" si="15">D39/D11</f>
        <v>0.30686309737693135</v>
      </c>
      <c r="E40" s="57">
        <f t="shared" si="15"/>
        <v>0.3160509439075061</v>
      </c>
      <c r="F40" s="57">
        <f t="shared" si="15"/>
        <v>0.25058666293688903</v>
      </c>
      <c r="G40" s="73">
        <f t="shared" si="15"/>
        <v>0.25580421530182557</v>
      </c>
      <c r="H40" s="73">
        <f t="shared" si="15"/>
        <v>0.2750482442614352</v>
      </c>
      <c r="I40" s="73">
        <f t="shared" si="15"/>
        <v>0.29171516832670896</v>
      </c>
      <c r="J40" s="73">
        <f t="shared" si="15"/>
        <v>0.29744418856981431</v>
      </c>
      <c r="K40" s="73">
        <f t="shared" si="15"/>
        <v>0.30135415517776504</v>
      </c>
      <c r="L40" s="73">
        <f t="shared" si="15"/>
        <v>0.30375398287832056</v>
      </c>
      <c r="M40" s="73">
        <f t="shared" si="15"/>
        <v>0.30448244999203561</v>
      </c>
      <c r="N40" s="73">
        <f t="shared" si="15"/>
        <v>0.30447691424260004</v>
      </c>
      <c r="O40" s="73">
        <f t="shared" si="15"/>
        <v>0.30455176555457519</v>
      </c>
      <c r="P40" s="73">
        <f t="shared" si="15"/>
        <v>0.30473614909109709</v>
      </c>
    </row>
    <row r="41" spans="2:16" x14ac:dyDescent="0.3">
      <c r="B41" t="s">
        <v>144</v>
      </c>
      <c r="C41" t="s">
        <v>145</v>
      </c>
      <c r="D41" s="69">
        <f t="shared" ref="D41:P41" si="16">D34/D38</f>
        <v>0.61019929660023442</v>
      </c>
      <c r="E41" s="69">
        <f t="shared" si="16"/>
        <v>0.74406991260923849</v>
      </c>
      <c r="F41" s="69">
        <f t="shared" si="16"/>
        <v>1.3128119800332778</v>
      </c>
      <c r="G41" s="74">
        <f t="shared" si="16"/>
        <v>1.1145491107744692</v>
      </c>
      <c r="H41" s="74">
        <f t="shared" si="16"/>
        <v>1.027145939001662</v>
      </c>
      <c r="I41" s="74">
        <f t="shared" si="16"/>
        <v>1.0077591499115988</v>
      </c>
      <c r="J41" s="74">
        <f t="shared" si="16"/>
        <v>0.97015823256419165</v>
      </c>
      <c r="K41" s="74">
        <f t="shared" si="16"/>
        <v>1.0519885067562837</v>
      </c>
      <c r="L41" s="74">
        <f t="shared" si="16"/>
        <v>1.10262796865896</v>
      </c>
      <c r="M41" s="74">
        <f t="shared" si="16"/>
        <v>1.1772808348246124</v>
      </c>
      <c r="N41" s="74">
        <f t="shared" si="16"/>
        <v>1.1775366402041361</v>
      </c>
      <c r="O41" s="74">
        <f t="shared" si="16"/>
        <v>1.1740871657547116</v>
      </c>
      <c r="P41" s="74">
        <f t="shared" si="16"/>
        <v>1.1656755598442659</v>
      </c>
    </row>
    <row r="42" spans="2:16" x14ac:dyDescent="0.3">
      <c r="D42" s="49"/>
      <c r="E42" s="49"/>
      <c r="F42" s="49"/>
      <c r="G42" s="66"/>
      <c r="H42" s="66"/>
      <c r="I42" s="66"/>
      <c r="J42" s="66"/>
      <c r="K42" s="66"/>
      <c r="L42" s="66"/>
      <c r="M42" s="66"/>
      <c r="N42" s="66"/>
      <c r="O42" s="66"/>
      <c r="P42" s="66"/>
    </row>
    <row r="43" spans="2:16" x14ac:dyDescent="0.3">
      <c r="B43" s="5" t="s">
        <v>300</v>
      </c>
      <c r="C43" s="5"/>
      <c r="D43" s="67"/>
      <c r="E43" s="67"/>
      <c r="F43" s="67"/>
      <c r="G43" s="70"/>
      <c r="H43" s="70"/>
      <c r="I43" s="70"/>
      <c r="J43" s="70"/>
      <c r="K43" s="70"/>
      <c r="L43" s="70"/>
      <c r="M43" s="70"/>
      <c r="N43" s="70"/>
      <c r="O43" s="70"/>
      <c r="P43" s="70"/>
    </row>
    <row r="44" spans="2:16" x14ac:dyDescent="0.3">
      <c r="B44" t="s">
        <v>301</v>
      </c>
      <c r="C44" t="s">
        <v>46</v>
      </c>
      <c r="D44" s="62"/>
      <c r="E44" s="62">
        <f>'03 Historical'!E45</f>
        <v>4315</v>
      </c>
      <c r="F44" s="62">
        <f>'03 Historical'!F45</f>
        <v>4668</v>
      </c>
      <c r="G44" s="71">
        <f>'02 Assumptions'!G48/365*G11</f>
        <v>4677.4418630136988</v>
      </c>
      <c r="H44" s="71">
        <f>'02 Assumptions'!H48/365*H11</f>
        <v>5244.8364997260278</v>
      </c>
      <c r="I44" s="71">
        <f>'02 Assumptions'!I48/365*I11</f>
        <v>5803.3813487123289</v>
      </c>
      <c r="J44" s="71">
        <f>'02 Assumptions'!J48/365*J11</f>
        <v>6284.9997486202737</v>
      </c>
      <c r="K44" s="71">
        <f>'02 Assumptions'!K48/365*K11</f>
        <v>6737.6541392188719</v>
      </c>
      <c r="L44" s="71">
        <f>'02 Assumptions'!L48/365*L11</f>
        <v>7161.4829906916721</v>
      </c>
      <c r="M44" s="71">
        <f>'02 Assumptions'!M48/365*M11</f>
        <v>7554.3592661049024</v>
      </c>
      <c r="N44" s="71">
        <f>'02 Assumptions'!N48/365*N11</f>
        <v>7898.7317662846526</v>
      </c>
      <c r="O44" s="71">
        <f>'02 Assumptions'!O48/365*O11</f>
        <v>8229.4492120915766</v>
      </c>
      <c r="P44" s="71">
        <f>'02 Assumptions'!P48/365*P11</f>
        <v>8524.8320435475252</v>
      </c>
    </row>
    <row r="45" spans="2:16" x14ac:dyDescent="0.3">
      <c r="B45" t="s">
        <v>1895</v>
      </c>
      <c r="C45" t="s">
        <v>46</v>
      </c>
      <c r="D45" s="62"/>
      <c r="E45" s="62">
        <f>'03 Historical'!E46</f>
        <v>8961</v>
      </c>
      <c r="F45" s="62">
        <f>'03 Historical'!F46</f>
        <v>10032</v>
      </c>
      <c r="G45" s="71">
        <f>G11*'02 Assumptions'!G51</f>
        <v>9434.8925999999992</v>
      </c>
      <c r="H45" s="71">
        <f>H11*'02 Assumptions'!H51</f>
        <v>10075.606960000001</v>
      </c>
      <c r="I45" s="71">
        <f>I11*'02 Assumptions'!I51</f>
        <v>11148.601011999999</v>
      </c>
      <c r="J45" s="71">
        <f>J11*'02 Assumptions'!J51</f>
        <v>12073.81530656</v>
      </c>
      <c r="K45" s="71">
        <f>K11*'02 Assumptions'!K51</f>
        <v>12943.388214815202</v>
      </c>
      <c r="L45" s="71">
        <f>L11*'02 Assumptions'!L51</f>
        <v>13757.585745276107</v>
      </c>
      <c r="M45" s="71">
        <f>M11*'02 Assumptions'!M51</f>
        <v>14512.321748043629</v>
      </c>
      <c r="N45" s="71">
        <f>N11*'02 Assumptions'!N51</f>
        <v>15173.87944575736</v>
      </c>
      <c r="O45" s="71">
        <f>O11*'02 Assumptions'!O51</f>
        <v>15809.205065333817</v>
      </c>
      <c r="P45" s="71">
        <f>P11*'02 Assumptions'!P51</f>
        <v>16376.651031025509</v>
      </c>
    </row>
    <row r="46" spans="2:16" x14ac:dyDescent="0.3">
      <c r="B46" t="s">
        <v>85</v>
      </c>
      <c r="C46" t="s">
        <v>46</v>
      </c>
      <c r="D46" s="62"/>
      <c r="E46" s="62">
        <f>'03 Historical'!E57</f>
        <v>2791</v>
      </c>
      <c r="F46" s="62">
        <f>'03 Historical'!F57</f>
        <v>2897</v>
      </c>
      <c r="G46" s="71">
        <f>(G18+G34)*'02 Assumptions'!G49</f>
        <v>3010.1800199999993</v>
      </c>
      <c r="H46" s="71">
        <f>(H18+H34)*'02 Assumptions'!H49</f>
        <v>3294.3204516416004</v>
      </c>
      <c r="I46" s="71">
        <f>(I18+I34)*'02 Assumptions'!I49</f>
        <v>3577.9205227811594</v>
      </c>
      <c r="J46" s="71">
        <f>(J18+J34)*'02 Assumptions'!J49</f>
        <v>3842.4917213127196</v>
      </c>
      <c r="K46" s="71">
        <f>(K18+K34)*'02 Assumptions'!K49</f>
        <v>4119.2332993649379</v>
      </c>
      <c r="L46" s="71">
        <f>(L18+L34)*'02 Assumptions'!L49</f>
        <v>4378.3516634341204</v>
      </c>
      <c r="M46" s="71">
        <f>(M18+M34)*'02 Assumptions'!M49</f>
        <v>4618.5463963148841</v>
      </c>
      <c r="N46" s="71">
        <f>(N18+N34)*'02 Assumptions'!N49</f>
        <v>4829.0871336122782</v>
      </c>
      <c r="O46" s="71">
        <f>(O18+O34)*'02 Assumptions'!O49</f>
        <v>5031.2795120424871</v>
      </c>
      <c r="P46" s="71">
        <f>(P18+P34)*'02 Assumptions'!P49</f>
        <v>5211.8691906238673</v>
      </c>
    </row>
    <row r="47" spans="2:16" x14ac:dyDescent="0.3">
      <c r="B47" t="s">
        <v>1897</v>
      </c>
      <c r="C47" t="s">
        <v>46</v>
      </c>
      <c r="D47" s="62"/>
      <c r="E47" s="62">
        <f>'03 Historical'!E58</f>
        <v>1839</v>
      </c>
      <c r="F47" s="62">
        <f>'03 Historical'!F58</f>
        <v>1470</v>
      </c>
      <c r="G47" s="71">
        <f>G11*'02 Assumptions'!G52</f>
        <v>1707.2662799999998</v>
      </c>
      <c r="H47" s="71">
        <f>H11*'02 Assumptions'!H52</f>
        <v>1914.3653224</v>
      </c>
      <c r="I47" s="71">
        <f>I11*'02 Assumptions'!I52</f>
        <v>2118.2341922799997</v>
      </c>
      <c r="J47" s="71">
        <f>J11*'02 Assumptions'!J52</f>
        <v>2294.0249082463997</v>
      </c>
      <c r="K47" s="71">
        <f>K11*'02 Assumptions'!K52</f>
        <v>2459.243760814888</v>
      </c>
      <c r="L47" s="71">
        <f>L11*'02 Assumptions'!L52</f>
        <v>2613.9412916024603</v>
      </c>
      <c r="M47" s="71">
        <f>M11*'02 Assumptions'!M52</f>
        <v>2757.3411321282892</v>
      </c>
      <c r="N47" s="71">
        <f>N11*'02 Assumptions'!N52</f>
        <v>2883.0370946938983</v>
      </c>
      <c r="O47" s="71">
        <f>O11*'02 Assumptions'!O52</f>
        <v>3003.748962413425</v>
      </c>
      <c r="P47" s="71">
        <f>P11*'02 Assumptions'!P52</f>
        <v>3111.5636958948462</v>
      </c>
    </row>
    <row r="48" spans="2:16" x14ac:dyDescent="0.3">
      <c r="B48" t="s">
        <v>87</v>
      </c>
      <c r="C48" t="s">
        <v>46</v>
      </c>
      <c r="D48" s="62"/>
      <c r="E48" s="62">
        <f>'03 Historical'!E59</f>
        <v>358</v>
      </c>
      <c r="F48" s="62">
        <f>'03 Historical'!F59</f>
        <v>280</v>
      </c>
      <c r="G48" s="71">
        <f>G11*'02 Assumptions'!G50</f>
        <v>314.49642</v>
      </c>
      <c r="H48" s="71">
        <f>H11*'02 Assumptions'!H50</f>
        <v>352.64624359999999</v>
      </c>
      <c r="I48" s="71">
        <f>I11*'02 Assumptions'!I50</f>
        <v>390.20103541999998</v>
      </c>
      <c r="J48" s="71">
        <f>J11*'02 Assumptions'!J50</f>
        <v>422.58353572959999</v>
      </c>
      <c r="K48" s="71">
        <f>K11*'02 Assumptions'!K50</f>
        <v>453.01858751853206</v>
      </c>
      <c r="L48" s="71">
        <f>L11*'02 Assumptions'!L50</f>
        <v>481.51550108466375</v>
      </c>
      <c r="M48" s="71">
        <f>M11*'02 Assumptions'!M50</f>
        <v>507.93126118152702</v>
      </c>
      <c r="N48" s="71">
        <f>N11*'02 Assumptions'!N50</f>
        <v>531.08578060150762</v>
      </c>
      <c r="O48" s="71">
        <f>O11*'02 Assumptions'!O50</f>
        <v>553.32217728668365</v>
      </c>
      <c r="P48" s="71">
        <f>P11*'02 Assumptions'!P50</f>
        <v>573.18278608589276</v>
      </c>
    </row>
    <row r="49" spans="2:16" x14ac:dyDescent="0.3">
      <c r="B49" t="s">
        <v>304</v>
      </c>
      <c r="C49" t="s">
        <v>46</v>
      </c>
      <c r="D49" s="62"/>
      <c r="E49" s="62">
        <f>'03 Historical'!E60-'03 Historical'!E119</f>
        <v>4156</v>
      </c>
      <c r="F49" s="62">
        <f>'03 Historical'!F60-'03 Historical'!F119</f>
        <v>4277</v>
      </c>
      <c r="G49" s="71">
        <f>G11*'02 Assumptions'!G53</f>
        <v>4358.0218199999999</v>
      </c>
      <c r="H49" s="71">
        <f>H11*'02 Assumptions'!H53</f>
        <v>4886.6693756000004</v>
      </c>
      <c r="I49" s="71">
        <f>I11*'02 Assumptions'!I53</f>
        <v>5407.0714908199998</v>
      </c>
      <c r="J49" s="71">
        <f>J11*'02 Assumptions'!J53</f>
        <v>5855.8004236815996</v>
      </c>
      <c r="K49" s="71">
        <f>K11*'02 Assumptions'!K53</f>
        <v>6277.5432841853726</v>
      </c>
      <c r="L49" s="71">
        <f>L11*'02 Assumptions'!L53</f>
        <v>6672.429086458912</v>
      </c>
      <c r="M49" s="71">
        <f>M11*'02 Assumptions'!M53</f>
        <v>7038.4760478011603</v>
      </c>
      <c r="N49" s="71">
        <f>N11*'02 Assumptions'!N53</f>
        <v>7359.3315311923197</v>
      </c>
      <c r="O49" s="71">
        <f>O11*'02 Assumptions'!O53</f>
        <v>7667.4644566869019</v>
      </c>
      <c r="P49" s="71">
        <f>P11*'02 Assumptions'!P53</f>
        <v>7942.6757500473714</v>
      </c>
    </row>
    <row r="50" spans="2:16" x14ac:dyDescent="0.3">
      <c r="B50" s="75" t="s">
        <v>305</v>
      </c>
      <c r="C50" s="75" t="s">
        <v>46</v>
      </c>
      <c r="D50" s="76"/>
      <c r="E50" s="76">
        <f t="shared" ref="E50:P50" si="17">E44+E45-E46-E47-E48-E49</f>
        <v>4132</v>
      </c>
      <c r="F50" s="76">
        <f t="shared" si="17"/>
        <v>5776</v>
      </c>
      <c r="G50" s="77">
        <f t="shared" si="17"/>
        <v>4722.369923013699</v>
      </c>
      <c r="H50" s="77">
        <f t="shared" si="17"/>
        <v>4872.4420664844274</v>
      </c>
      <c r="I50" s="77">
        <f t="shared" si="17"/>
        <v>5458.5551194111713</v>
      </c>
      <c r="J50" s="77">
        <f t="shared" si="17"/>
        <v>5943.914466209957</v>
      </c>
      <c r="K50" s="77">
        <f t="shared" si="17"/>
        <v>6372.0034221503429</v>
      </c>
      <c r="L50" s="77">
        <f t="shared" si="17"/>
        <v>6772.8311933876239</v>
      </c>
      <c r="M50" s="77">
        <f t="shared" si="17"/>
        <v>7144.3861767226726</v>
      </c>
      <c r="N50" s="77">
        <f t="shared" si="17"/>
        <v>7470.0696719420084</v>
      </c>
      <c r="O50" s="77">
        <f t="shared" si="17"/>
        <v>7782.8391689958944</v>
      </c>
      <c r="P50" s="77">
        <f t="shared" si="17"/>
        <v>8062.1916519210599</v>
      </c>
    </row>
    <row r="51" spans="2:16" x14ac:dyDescent="0.3">
      <c r="B51" t="s">
        <v>306</v>
      </c>
      <c r="C51" t="s">
        <v>46</v>
      </c>
      <c r="D51" s="62"/>
      <c r="E51" s="62"/>
      <c r="F51" s="62">
        <f t="shared" ref="F51:P51" si="18">F50-E50</f>
        <v>1644</v>
      </c>
      <c r="G51" s="71">
        <f t="shared" si="18"/>
        <v>-1053.630076986301</v>
      </c>
      <c r="H51" s="71">
        <f t="shared" si="18"/>
        <v>150.07214347072841</v>
      </c>
      <c r="I51" s="71">
        <f t="shared" si="18"/>
        <v>586.11305292674388</v>
      </c>
      <c r="J51" s="71">
        <f t="shared" si="18"/>
        <v>485.35934679878574</v>
      </c>
      <c r="K51" s="71">
        <f t="shared" si="18"/>
        <v>428.08895594038586</v>
      </c>
      <c r="L51" s="71">
        <f t="shared" si="18"/>
        <v>400.82777123728101</v>
      </c>
      <c r="M51" s="71">
        <f t="shared" si="18"/>
        <v>371.55498333504875</v>
      </c>
      <c r="N51" s="71">
        <f t="shared" si="18"/>
        <v>325.68349521933578</v>
      </c>
      <c r="O51" s="71">
        <f t="shared" si="18"/>
        <v>312.76949705388597</v>
      </c>
      <c r="P51" s="71">
        <f t="shared" si="18"/>
        <v>279.35248292516553</v>
      </c>
    </row>
    <row r="52" spans="2:16" x14ac:dyDescent="0.3">
      <c r="B52" t="s">
        <v>307</v>
      </c>
      <c r="C52" t="s">
        <v>23</v>
      </c>
      <c r="D52" s="57"/>
      <c r="E52" s="57">
        <f t="shared" ref="E52:P52" si="19">E50/E11</f>
        <v>9.3306837684039384E-2</v>
      </c>
      <c r="F52" s="57">
        <f t="shared" si="19"/>
        <v>0.13464497179355681</v>
      </c>
      <c r="G52" s="73">
        <f t="shared" si="19"/>
        <v>0.10510958904109591</v>
      </c>
      <c r="H52" s="73">
        <f t="shared" si="19"/>
        <v>9.6717589041095883E-2</v>
      </c>
      <c r="I52" s="73">
        <f t="shared" si="19"/>
        <v>9.7923589041095938E-2</v>
      </c>
      <c r="J52" s="73">
        <f t="shared" si="19"/>
        <v>9.8459589041095946E-2</v>
      </c>
      <c r="K52" s="73">
        <f t="shared" si="19"/>
        <v>9.8459589041095891E-2</v>
      </c>
      <c r="L52" s="73">
        <f t="shared" si="19"/>
        <v>9.8459589041095918E-2</v>
      </c>
      <c r="M52" s="73">
        <f t="shared" si="19"/>
        <v>9.8459589041095918E-2</v>
      </c>
      <c r="N52" s="73">
        <f t="shared" si="19"/>
        <v>9.8459589041095905E-2</v>
      </c>
      <c r="O52" s="73">
        <f t="shared" si="19"/>
        <v>9.8459589041095877E-2</v>
      </c>
      <c r="P52" s="73">
        <f t="shared" si="19"/>
        <v>9.845958904109596E-2</v>
      </c>
    </row>
    <row r="53" spans="2:16" x14ac:dyDescent="0.3">
      <c r="D53" s="49"/>
      <c r="E53" s="49"/>
      <c r="F53" s="49"/>
      <c r="G53" s="66"/>
      <c r="H53" s="66"/>
      <c r="I53" s="66"/>
      <c r="J53" s="66"/>
      <c r="K53" s="66"/>
      <c r="L53" s="66"/>
      <c r="M53" s="66"/>
      <c r="N53" s="66"/>
      <c r="O53" s="66"/>
      <c r="P53" s="66"/>
    </row>
    <row r="54" spans="2:16" x14ac:dyDescent="0.3">
      <c r="B54" s="5" t="s">
        <v>308</v>
      </c>
      <c r="C54" s="5"/>
      <c r="D54" s="67"/>
      <c r="E54" s="67"/>
      <c r="F54" s="67"/>
      <c r="G54" s="70"/>
      <c r="H54" s="70"/>
      <c r="I54" s="70"/>
      <c r="J54" s="70"/>
      <c r="K54" s="70"/>
      <c r="L54" s="70"/>
      <c r="M54" s="70"/>
      <c r="N54" s="70"/>
      <c r="O54" s="70"/>
      <c r="P54" s="70"/>
    </row>
    <row r="55" spans="2:16" x14ac:dyDescent="0.3">
      <c r="B55" t="s">
        <v>309</v>
      </c>
      <c r="C55" t="s">
        <v>23</v>
      </c>
      <c r="D55" s="57">
        <f>'03 Historical'!D33</f>
        <v>2.186532507739938E-2</v>
      </c>
      <c r="E55" s="57">
        <f>'03 Historical'!E33</f>
        <v>0.56242596541104006</v>
      </c>
      <c r="F55" s="57">
        <f>'03 Historical'!F33</f>
        <v>-0.39438327103747856</v>
      </c>
      <c r="G55" s="73">
        <f>'02 Assumptions'!G57</f>
        <v>0.14000000000000001</v>
      </c>
      <c r="H55" s="73">
        <f>'02 Assumptions'!H57</f>
        <v>0.14499999999999999</v>
      </c>
      <c r="I55" s="73">
        <f>'02 Assumptions'!I57</f>
        <v>0.15</v>
      </c>
      <c r="J55" s="73">
        <f>'02 Assumptions'!J57</f>
        <v>0.155</v>
      </c>
      <c r="K55" s="73">
        <f>'02 Assumptions'!K57</f>
        <v>0.16</v>
      </c>
      <c r="L55" s="73">
        <f>'02 Assumptions'!L57</f>
        <v>0.16500000000000001</v>
      </c>
      <c r="M55" s="73">
        <f>'02 Assumptions'!M57</f>
        <v>0.17</v>
      </c>
      <c r="N55" s="73">
        <f>'02 Assumptions'!N57</f>
        <v>0.17</v>
      </c>
      <c r="O55" s="73">
        <f>'02 Assumptions'!O57</f>
        <v>0.17</v>
      </c>
      <c r="P55" s="73">
        <f>'02 Assumptions'!P57</f>
        <v>0.17</v>
      </c>
    </row>
    <row r="56" spans="2:16" x14ac:dyDescent="0.3">
      <c r="B56" t="s">
        <v>310</v>
      </c>
      <c r="C56" t="s">
        <v>46</v>
      </c>
      <c r="D56" s="62">
        <f t="shared" ref="D56:P56" si="20">D29*D55</f>
        <v>224.11958204334366</v>
      </c>
      <c r="E56" s="62">
        <f t="shared" si="20"/>
        <v>6970.7074153044305</v>
      </c>
      <c r="F56" s="62">
        <f t="shared" si="20"/>
        <v>-3607.4237801798163</v>
      </c>
      <c r="G56" s="71">
        <f t="shared" si="20"/>
        <v>1355.0338900000006</v>
      </c>
      <c r="H56" s="71">
        <f t="shared" si="20"/>
        <v>1738.9296862700003</v>
      </c>
      <c r="I56" s="71">
        <f t="shared" si="20"/>
        <v>2157.0615496170003</v>
      </c>
      <c r="J56" s="71">
        <f t="shared" si="20"/>
        <v>2493.8958528976805</v>
      </c>
      <c r="K56" s="71">
        <f t="shared" si="20"/>
        <v>2825.1454072593451</v>
      </c>
      <c r="L56" s="71">
        <f t="shared" si="20"/>
        <v>3138.8022906790757</v>
      </c>
      <c r="M56" s="71">
        <f t="shared" si="20"/>
        <v>3441.5971025485483</v>
      </c>
      <c r="N56" s="71">
        <f t="shared" si="20"/>
        <v>3598.4855105613592</v>
      </c>
      <c r="O56" s="71">
        <f t="shared" si="20"/>
        <v>3749.1529812439162</v>
      </c>
      <c r="P56" s="71">
        <f t="shared" si="20"/>
        <v>3883.7227920077003</v>
      </c>
    </row>
    <row r="57" spans="2:16" x14ac:dyDescent="0.3">
      <c r="B57" s="75" t="s">
        <v>311</v>
      </c>
      <c r="C57" s="75" t="s">
        <v>46</v>
      </c>
      <c r="D57" s="76">
        <f t="shared" ref="D57:P57" si="21">D29-D56</f>
        <v>10025.880417956656</v>
      </c>
      <c r="E57" s="76">
        <f t="shared" si="21"/>
        <v>5423.2925846955695</v>
      </c>
      <c r="F57" s="76">
        <f t="shared" si="21"/>
        <v>12754.423780179815</v>
      </c>
      <c r="G57" s="77">
        <f t="shared" si="21"/>
        <v>8323.7796100000032</v>
      </c>
      <c r="H57" s="77">
        <f t="shared" si="21"/>
        <v>10253.688839730003</v>
      </c>
      <c r="I57" s="77">
        <f t="shared" si="21"/>
        <v>12223.348781163004</v>
      </c>
      <c r="J57" s="77">
        <f t="shared" si="21"/>
        <v>13595.754810958322</v>
      </c>
      <c r="K57" s="77">
        <f t="shared" si="21"/>
        <v>14832.013388111562</v>
      </c>
      <c r="L57" s="77">
        <f t="shared" si="21"/>
        <v>15884.241895254716</v>
      </c>
      <c r="M57" s="77">
        <f t="shared" si="21"/>
        <v>16803.091735972321</v>
      </c>
      <c r="N57" s="77">
        <f t="shared" si="21"/>
        <v>17569.076316270162</v>
      </c>
      <c r="O57" s="77">
        <f t="shared" si="21"/>
        <v>18304.688084896767</v>
      </c>
      <c r="P57" s="77">
        <f t="shared" si="21"/>
        <v>18961.70539627289</v>
      </c>
    </row>
    <row r="58" spans="2:16" x14ac:dyDescent="0.3">
      <c r="D58" s="49"/>
      <c r="E58" s="49"/>
      <c r="F58" s="49"/>
      <c r="G58" s="66"/>
      <c r="H58" s="66"/>
      <c r="I58" s="66"/>
      <c r="J58" s="66"/>
      <c r="K58" s="66"/>
      <c r="L58" s="66"/>
      <c r="M58" s="66"/>
      <c r="N58" s="66"/>
      <c r="O58" s="66"/>
      <c r="P58" s="66"/>
    </row>
    <row r="59" spans="2:16" x14ac:dyDescent="0.3">
      <c r="B59" s="78" t="s">
        <v>312</v>
      </c>
      <c r="C59" s="78"/>
      <c r="D59" s="79"/>
      <c r="E59" s="79"/>
      <c r="F59" s="79"/>
      <c r="G59" s="80"/>
      <c r="H59" s="80"/>
      <c r="I59" s="80"/>
      <c r="J59" s="80"/>
      <c r="K59" s="80"/>
      <c r="L59" s="80"/>
      <c r="M59" s="80"/>
      <c r="N59" s="80"/>
      <c r="O59" s="80"/>
      <c r="P59" s="80"/>
    </row>
    <row r="60" spans="2:16" x14ac:dyDescent="0.3">
      <c r="B60" s="13" t="s">
        <v>1935</v>
      </c>
      <c r="C60" s="13" t="s">
        <v>46</v>
      </c>
      <c r="D60" s="81"/>
      <c r="E60" s="81"/>
      <c r="F60" s="81"/>
      <c r="G60" s="82">
        <f>G7+G10</f>
        <v>18973.2</v>
      </c>
      <c r="H60" s="82">
        <f>H7+H10</f>
        <v>24121.716</v>
      </c>
      <c r="I60" s="82">
        <f>I7+I10</f>
        <v>28858.960919999998</v>
      </c>
      <c r="J60" s="82">
        <f>J7+J10</f>
        <v>33000.672917999997</v>
      </c>
      <c r="K60" s="82">
        <f>K7+K10</f>
        <v>36855.024009059998</v>
      </c>
      <c r="L60" s="82">
        <f>L7+L10</f>
        <v>40423.166488365008</v>
      </c>
      <c r="M60" s="82">
        <f>M7+M10</f>
        <v>43657.019807434212</v>
      </c>
      <c r="N60" s="82">
        <f>N7+N10</f>
        <v>46414.597095588964</v>
      </c>
      <c r="O60" s="82">
        <f>O7+O10</f>
        <v>48883.153977056718</v>
      </c>
      <c r="P60" s="82">
        <f>P7+P10</f>
        <v>50995.176784428593</v>
      </c>
    </row>
    <row r="61" spans="2:16" x14ac:dyDescent="0.3">
      <c r="B61" s="13" t="s">
        <v>1936</v>
      </c>
      <c r="C61" s="13" t="s">
        <v>46</v>
      </c>
      <c r="D61" s="81"/>
      <c r="E61" s="81"/>
      <c r="F61" s="81">
        <f>'03 Historical'!F117</f>
        <v>40000</v>
      </c>
      <c r="G61" s="82"/>
      <c r="H61" s="82"/>
      <c r="I61" s="82"/>
      <c r="J61" s="82"/>
      <c r="K61" s="82"/>
      <c r="L61" s="82"/>
      <c r="M61" s="82"/>
      <c r="N61" s="82"/>
      <c r="O61" s="82"/>
      <c r="P61" s="82"/>
    </row>
    <row r="62" spans="2:16" x14ac:dyDescent="0.3">
      <c r="B62" s="13" t="s">
        <v>1937</v>
      </c>
      <c r="C62" s="13" t="s">
        <v>23</v>
      </c>
      <c r="D62" s="83"/>
      <c r="E62" s="83"/>
      <c r="F62" s="83"/>
      <c r="G62" s="84">
        <f t="shared" ref="G62:P62" si="22">G60/$F$61</f>
        <v>0.47433000000000003</v>
      </c>
      <c r="H62" s="84">
        <f t="shared" si="22"/>
        <v>0.60304290000000005</v>
      </c>
      <c r="I62" s="84">
        <f t="shared" si="22"/>
        <v>0.72147402299999996</v>
      </c>
      <c r="J62" s="84">
        <f t="shared" si="22"/>
        <v>0.8250168229499999</v>
      </c>
      <c r="K62" s="84">
        <f t="shared" si="22"/>
        <v>0.9213756002265</v>
      </c>
      <c r="L62" s="84">
        <f t="shared" si="22"/>
        <v>1.0105791622091251</v>
      </c>
      <c r="M62" s="84">
        <f t="shared" si="22"/>
        <v>1.0914254951858553</v>
      </c>
      <c r="N62" s="84">
        <f t="shared" si="22"/>
        <v>1.1603649273897241</v>
      </c>
      <c r="O62" s="84">
        <f t="shared" si="22"/>
        <v>1.2220788494264179</v>
      </c>
      <c r="P62" s="84">
        <f t="shared" si="22"/>
        <v>1.2748794196107149</v>
      </c>
    </row>
    <row r="63" spans="2:16" x14ac:dyDescent="0.3">
      <c r="B63" s="13" t="s">
        <v>313</v>
      </c>
      <c r="C63" s="13" t="s">
        <v>46</v>
      </c>
      <c r="D63" s="81"/>
      <c r="E63" s="81">
        <f>'03 Historical'!E48+E50+'03 Historical'!E50+'03 Historical'!E49</f>
        <v>20915</v>
      </c>
      <c r="F63" s="81">
        <f>'03 Historical'!F48+F50+'03 Historical'!F50+'03 Historical'!F49</f>
        <v>26002</v>
      </c>
      <c r="G63" s="82">
        <f>G37+G50+'03 Historical'!$F$50+'03 Historical'!$F$49</f>
        <v>25586.158989680363</v>
      </c>
      <c r="H63" s="82">
        <f>H37+H50+'03 Historical'!$F$50+'03 Historical'!$F$49</f>
        <v>26136.82496046961</v>
      </c>
      <c r="I63" s="82">
        <f>I37+I50+'03 Historical'!$F$50+'03 Historical'!$F$49</f>
        <v>27017.530412101871</v>
      </c>
      <c r="J63" s="82">
        <f>J37+J50+'03 Historical'!$F$50+'03 Historical'!$F$49</f>
        <v>27657.181734732945</v>
      </c>
      <c r="K63" s="82">
        <f>K37+K50+'03 Historical'!$F$50+'03 Historical'!$F$49</f>
        <v>28321.218615199141</v>
      </c>
      <c r="L63" s="82">
        <f>L37+L50+'03 Historical'!$F$50+'03 Historical'!$F$49</f>
        <v>29014.121109573502</v>
      </c>
      <c r="M63" s="82">
        <f>M37+M50+'03 Historical'!$F$50+'03 Historical'!$F$49</f>
        <v>29713.476789050841</v>
      </c>
      <c r="N63" s="82">
        <f>N37+N50+'03 Historical'!$F$50+'03 Historical'!$F$49</f>
        <v>30382.324074298231</v>
      </c>
      <c r="O63" s="82">
        <f>O37+O50+'03 Historical'!$F$50+'03 Historical'!$F$49</f>
        <v>31046.708823984132</v>
      </c>
      <c r="P63" s="82">
        <f>P37+P50+'03 Historical'!$F$50+'03 Historical'!$F$49</f>
        <v>31675.199298826421</v>
      </c>
    </row>
    <row r="64" spans="2:16" x14ac:dyDescent="0.3">
      <c r="B64" s="13" t="s">
        <v>314</v>
      </c>
      <c r="C64" s="13" t="s">
        <v>23</v>
      </c>
      <c r="D64" s="83"/>
      <c r="E64" s="83"/>
      <c r="F64" s="83">
        <f t="shared" ref="F64:P64" si="23">F57/AVERAGE(E63:F63)</f>
        <v>0.54370159132850848</v>
      </c>
      <c r="G64" s="84">
        <f t="shared" si="23"/>
        <v>0.32270116914484515</v>
      </c>
      <c r="H64" s="84">
        <f t="shared" si="23"/>
        <v>0.39648481416355991</v>
      </c>
      <c r="I64" s="84">
        <f t="shared" si="23"/>
        <v>0.45991899235675626</v>
      </c>
      <c r="J64" s="84">
        <f t="shared" si="23"/>
        <v>0.49733246969624495</v>
      </c>
      <c r="K64" s="84">
        <f t="shared" si="23"/>
        <v>0.52991915793926603</v>
      </c>
      <c r="L64" s="84">
        <f t="shared" si="23"/>
        <v>0.55408207124973841</v>
      </c>
      <c r="M64" s="84">
        <f t="shared" si="23"/>
        <v>0.57223834575961507</v>
      </c>
      <c r="N64" s="84">
        <f t="shared" si="23"/>
        <v>0.58470229413267061</v>
      </c>
      <c r="O64" s="84">
        <f t="shared" si="23"/>
        <v>0.59596211176583869</v>
      </c>
      <c r="P64" s="84">
        <f t="shared" si="23"/>
        <v>0.60462782347582766</v>
      </c>
    </row>
    <row r="65" spans="2:16" x14ac:dyDescent="0.3">
      <c r="B65" s="13" t="s">
        <v>315</v>
      </c>
      <c r="C65" s="13" t="s">
        <v>46</v>
      </c>
      <c r="D65" s="81"/>
      <c r="E65" s="81"/>
      <c r="F65" s="81"/>
      <c r="G65" s="82">
        <f t="shared" ref="G65:P65" si="24">G34+G51-G38</f>
        <v>-845.84101031963451</v>
      </c>
      <c r="H65" s="82">
        <f t="shared" si="24"/>
        <v>200.66597078924678</v>
      </c>
      <c r="I65" s="82">
        <f t="shared" si="24"/>
        <v>600.7054516322587</v>
      </c>
      <c r="J65" s="82">
        <f t="shared" si="24"/>
        <v>429.65132263107421</v>
      </c>
      <c r="K65" s="82">
        <f t="shared" si="24"/>
        <v>524.036880466193</v>
      </c>
      <c r="L65" s="82">
        <f t="shared" si="24"/>
        <v>592.90249437436273</v>
      </c>
      <c r="M65" s="82">
        <f t="shared" si="24"/>
        <v>699.35567947733762</v>
      </c>
      <c r="N65" s="82">
        <f t="shared" si="24"/>
        <v>668.84728524739103</v>
      </c>
      <c r="O65" s="82">
        <f t="shared" si="24"/>
        <v>664.38474968590094</v>
      </c>
      <c r="P65" s="82">
        <f t="shared" si="24"/>
        <v>628.49047484229141</v>
      </c>
    </row>
    <row r="66" spans="2:16" x14ac:dyDescent="0.3">
      <c r="B66" s="13" t="s">
        <v>316</v>
      </c>
      <c r="C66" s="13" t="s">
        <v>23</v>
      </c>
      <c r="D66" s="83"/>
      <c r="E66" s="83"/>
      <c r="F66" s="83"/>
      <c r="G66" s="84">
        <f t="shared" ref="G66:P66" si="25">IFERROR(G65/G57,"n/a")</f>
        <v>-0.10161742020457389</v>
      </c>
      <c r="H66" s="84">
        <f t="shared" si="25"/>
        <v>1.9570124852211788E-2</v>
      </c>
      <c r="I66" s="84">
        <f t="shared" si="25"/>
        <v>4.9144098101658186E-2</v>
      </c>
      <c r="J66" s="84">
        <f t="shared" si="25"/>
        <v>3.1601873423369675E-2</v>
      </c>
      <c r="K66" s="84">
        <f t="shared" si="25"/>
        <v>3.5331472993830292E-2</v>
      </c>
      <c r="L66" s="84">
        <f t="shared" si="25"/>
        <v>3.7326458403500351E-2</v>
      </c>
      <c r="M66" s="84">
        <f t="shared" si="25"/>
        <v>4.162065472630528E-2</v>
      </c>
      <c r="N66" s="84">
        <f t="shared" si="25"/>
        <v>3.8069575953062075E-2</v>
      </c>
      <c r="O66" s="84">
        <f t="shared" si="25"/>
        <v>3.6295879318155991E-2</v>
      </c>
      <c r="P66" s="84">
        <f t="shared" si="25"/>
        <v>3.3145250477619348E-2</v>
      </c>
    </row>
    <row r="67" spans="2:16" x14ac:dyDescent="0.3">
      <c r="B67" s="13" t="s">
        <v>317</v>
      </c>
      <c r="C67" s="13" t="s">
        <v>23</v>
      </c>
      <c r="D67" s="83"/>
      <c r="E67" s="83"/>
      <c r="F67" s="83"/>
      <c r="G67" s="84">
        <f t="shared" ref="G67:P67" si="26">IFERROR(G66*G64,"n/a")</f>
        <v>-3.2792060305498999E-2</v>
      </c>
      <c r="H67" s="84">
        <f t="shared" si="26"/>
        <v>7.7592573151868561E-3</v>
      </c>
      <c r="I67" s="84">
        <f t="shared" si="26"/>
        <v>2.2602304079196212E-2</v>
      </c>
      <c r="J67" s="84">
        <f t="shared" si="26"/>
        <v>1.5716637756672567E-2</v>
      </c>
      <c r="K67" s="84">
        <f t="shared" si="26"/>
        <v>1.8722824417644467E-2</v>
      </c>
      <c r="L67" s="84">
        <f t="shared" si="26"/>
        <v>2.0681921384628679E-2</v>
      </c>
      <c r="M67" s="84">
        <f t="shared" si="26"/>
        <v>2.3816934610013038E-2</v>
      </c>
      <c r="N67" s="84">
        <f t="shared" si="26"/>
        <v>2.2259368396413345E-2</v>
      </c>
      <c r="O67" s="84">
        <f t="shared" si="26"/>
        <v>2.1630968886846274E-2</v>
      </c>
      <c r="P67" s="84">
        <f t="shared" si="26"/>
        <v>2.0040540654844122E-2</v>
      </c>
    </row>
    <row r="68" spans="2:16" x14ac:dyDescent="0.3">
      <c r="B68" s="13" t="s">
        <v>318</v>
      </c>
      <c r="C68" s="13" t="s">
        <v>23</v>
      </c>
      <c r="D68" s="83"/>
      <c r="E68" s="83"/>
      <c r="F68" s="83"/>
      <c r="G68" s="84">
        <f t="shared" ref="G68:P68" si="27">G12</f>
        <v>4.7322952118979744E-2</v>
      </c>
      <c r="H68" s="84">
        <f t="shared" si="27"/>
        <v>0.12130447653426391</v>
      </c>
      <c r="I68" s="84">
        <f t="shared" si="27"/>
        <v>0.1064942346659381</v>
      </c>
      <c r="J68" s="84">
        <f t="shared" si="27"/>
        <v>8.2989273144148612E-2</v>
      </c>
      <c r="K68" s="84">
        <f t="shared" si="27"/>
        <v>7.2021385632985657E-2</v>
      </c>
      <c r="L68" s="84">
        <f t="shared" si="27"/>
        <v>6.2904512863869888E-2</v>
      </c>
      <c r="M68" s="84">
        <f t="shared" si="27"/>
        <v>5.485962557250823E-2</v>
      </c>
      <c r="N68" s="84">
        <f t="shared" si="27"/>
        <v>4.5585930990188706E-2</v>
      </c>
      <c r="O68" s="84">
        <f t="shared" si="27"/>
        <v>4.1869689412492139E-2</v>
      </c>
      <c r="P68" s="84">
        <f t="shared" si="27"/>
        <v>3.5893390170260941E-2</v>
      </c>
    </row>
    <row r="69" spans="2:16" x14ac:dyDescent="0.3">
      <c r="B69" s="13" t="s">
        <v>1448</v>
      </c>
      <c r="C69" s="13" t="s">
        <v>23</v>
      </c>
      <c r="D69" s="83"/>
      <c r="E69" s="83"/>
      <c r="F69" s="83"/>
      <c r="G69" s="84">
        <f t="shared" ref="G69:P69" si="28">IFERROR(G67-G68,"n/a")</f>
        <v>-8.0115012424478743E-2</v>
      </c>
      <c r="H69" s="84">
        <f t="shared" si="28"/>
        <v>-0.11354521921907705</v>
      </c>
      <c r="I69" s="84">
        <f t="shared" si="28"/>
        <v>-8.3891930586741895E-2</v>
      </c>
      <c r="J69" s="84">
        <f t="shared" si="28"/>
        <v>-6.7272635387476049E-2</v>
      </c>
      <c r="K69" s="84">
        <f t="shared" si="28"/>
        <v>-5.3298561215341191E-2</v>
      </c>
      <c r="L69" s="84">
        <f t="shared" si="28"/>
        <v>-4.2222591479241206E-2</v>
      </c>
      <c r="M69" s="84">
        <f t="shared" si="28"/>
        <v>-3.1042690962495192E-2</v>
      </c>
      <c r="N69" s="84">
        <f t="shared" si="28"/>
        <v>-2.3326562593775361E-2</v>
      </c>
      <c r="O69" s="84">
        <f t="shared" si="28"/>
        <v>-2.0238720525645865E-2</v>
      </c>
      <c r="P69" s="84">
        <f t="shared" si="28"/>
        <v>-1.5852849515416819E-2</v>
      </c>
    </row>
    <row r="70" spans="2:16" x14ac:dyDescent="0.3">
      <c r="B70" s="13" t="s">
        <v>319</v>
      </c>
      <c r="C70" s="13" t="s">
        <v>46</v>
      </c>
      <c r="D70" s="81"/>
      <c r="E70" s="81"/>
      <c r="F70" s="81"/>
      <c r="G70" s="82">
        <f>'06 DCF'!G15</f>
        <v>9069.620620319638</v>
      </c>
      <c r="H70" s="82">
        <f>'06 DCF'!H15</f>
        <v>9953.0228689407541</v>
      </c>
      <c r="I70" s="82">
        <f>'06 DCF'!I15</f>
        <v>11522.643329530743</v>
      </c>
      <c r="J70" s="82">
        <f>'06 DCF'!J15</f>
        <v>13066.103488327248</v>
      </c>
      <c r="K70" s="82">
        <f>'06 DCF'!K15</f>
        <v>14207.976507645368</v>
      </c>
      <c r="L70" s="82">
        <f>'06 DCF'!L15</f>
        <v>15191.339400880355</v>
      </c>
      <c r="M70" s="82">
        <f>'06 DCF'!M15</f>
        <v>16003.736056494981</v>
      </c>
      <c r="N70" s="82">
        <f>'06 DCF'!N15</f>
        <v>16800.229031022773</v>
      </c>
      <c r="O70" s="82">
        <f>'06 DCF'!O15</f>
        <v>17540.303335210865</v>
      </c>
      <c r="P70" s="82">
        <f>'06 DCF'!P15</f>
        <v>18233.214921430597</v>
      </c>
    </row>
    <row r="71" spans="2:16" x14ac:dyDescent="0.3">
      <c r="B71" s="22" t="s">
        <v>1465</v>
      </c>
      <c r="C71" s="22" t="s">
        <v>46</v>
      </c>
      <c r="D71" s="22"/>
      <c r="E71" s="22"/>
      <c r="F71" s="22"/>
      <c r="G71" s="23">
        <f>'02 Assumptions'!G49*(G34-F34)</f>
        <v>-11.019798200000032</v>
      </c>
      <c r="H71" s="23">
        <f>'02 Assumptions'!H49*(H34-G34)</f>
        <v>-14.391248598399974</v>
      </c>
      <c r="I71" s="23">
        <f>'02 Assumptions'!I49*(I34-H34)</f>
        <v>-2.5598221482399963</v>
      </c>
      <c r="J71" s="23">
        <f>'02 Assumptions'!J49*(J34-I34)</f>
        <v>-11.281443391504032</v>
      </c>
      <c r="K71" s="23">
        <f>'02 Assumptions'!K49*(K34-J34)</f>
        <v>17.478415455929579</v>
      </c>
      <c r="L71" s="23">
        <f>'02 Assumptions'!L49*(L34-K34)</f>
        <v>16.365370362264208</v>
      </c>
      <c r="M71" s="23">
        <f>'02 Assumptions'!M49*(M34-L34)</f>
        <v>15.170193655627198</v>
      </c>
      <c r="N71" s="23">
        <f>'02 Assumptions'!N49*(N34-M34)</f>
        <v>13.297309724045983</v>
      </c>
      <c r="O71" s="23">
        <f>'02 Assumptions'!O49*(O34-N34)</f>
        <v>12.770044953486799</v>
      </c>
      <c r="P71" s="23">
        <f>'02 Assumptions'!P49*(P34-O34)</f>
        <v>11.405663910402952</v>
      </c>
    </row>
    <row r="72" spans="2:16" ht="115.2" x14ac:dyDescent="0.3">
      <c r="B72" s="113" t="s">
        <v>1466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C34F3-FA94-4748-9DE7-C9B1D9E9A65C}">
  <dimension ref="A1:P94"/>
  <sheetViews>
    <sheetView workbookViewId="0">
      <pane xSplit="3" topLeftCell="D1" activePane="topRight" state="frozen"/>
      <selection pane="topRight"/>
    </sheetView>
  </sheetViews>
  <sheetFormatPr baseColWidth="10" defaultRowHeight="14.4" x14ac:dyDescent="0.3"/>
  <cols>
    <col min="2" max="2" width="79.6640625" customWidth="1"/>
    <col min="3" max="3" width="10.21875" customWidth="1"/>
    <col min="4" max="16" width="16.33203125" customWidth="1"/>
  </cols>
  <sheetData>
    <row r="1" spans="1:16" ht="18" x14ac:dyDescent="0.35">
      <c r="A1" s="4" t="s">
        <v>1970</v>
      </c>
    </row>
    <row r="2" spans="1:16" x14ac:dyDescent="0.3">
      <c r="A2" s="89" t="s">
        <v>475</v>
      </c>
    </row>
    <row r="4" spans="1:16" x14ac:dyDescent="0.3">
      <c r="B4" s="15" t="s">
        <v>41</v>
      </c>
      <c r="C4" s="15" t="s">
        <v>42</v>
      </c>
      <c r="D4" s="15" t="str">
        <f>'00 Panel del Analista'!D14</f>
        <v>FY2024A</v>
      </c>
      <c r="E4" s="15" t="str">
        <f>'00 Panel del Analista'!E14</f>
        <v>FY2025A</v>
      </c>
      <c r="F4" s="15" t="str">
        <f>'00 Panel del Analista'!F14</f>
        <v>FY2026E</v>
      </c>
      <c r="G4" s="15" t="str">
        <f>'00 Panel del Analista'!G14</f>
        <v>FY2027E</v>
      </c>
      <c r="H4" s="15" t="str">
        <f>'00 Panel del Analista'!H14</f>
        <v>FY2028E</v>
      </c>
      <c r="I4" s="15" t="str">
        <f>'00 Panel del Analista'!I14</f>
        <v>FY2029E</v>
      </c>
      <c r="J4" s="15" t="str">
        <f>'00 Panel del Analista'!J14</f>
        <v>FY2030E</v>
      </c>
      <c r="K4" s="15" t="str">
        <f>'00 Panel del Analista'!K14</f>
        <v>FY2031E</v>
      </c>
      <c r="L4" s="15" t="str">
        <f>'00 Panel del Analista'!L14</f>
        <v>FY2032E</v>
      </c>
      <c r="M4" s="15" t="str">
        <f>'00 Panel del Analista'!M14</f>
        <v>FY2033E</v>
      </c>
      <c r="N4" s="15" t="str">
        <f>'00 Panel del Analista'!N14</f>
        <v>FY2034E</v>
      </c>
      <c r="O4" s="15" t="str">
        <f>'00 Panel del Analista'!O14</f>
        <v>FY2035E</v>
      </c>
      <c r="P4" s="15" t="str">
        <f>'00 Panel del Analista'!P14</f>
        <v>FY2036E</v>
      </c>
    </row>
    <row r="6" spans="1:16" x14ac:dyDescent="0.3">
      <c r="B6" s="5" t="s">
        <v>45</v>
      </c>
      <c r="C6" s="5"/>
      <c r="D6" s="5"/>
      <c r="E6" s="5"/>
      <c r="F6" s="5"/>
      <c r="G6" s="5"/>
      <c r="H6" s="5"/>
      <c r="I6" s="5"/>
      <c r="J6" s="5"/>
      <c r="K6" s="5"/>
      <c r="L6" s="5"/>
      <c r="M6" s="5"/>
      <c r="N6" s="5"/>
      <c r="O6" s="5"/>
      <c r="P6" s="5"/>
    </row>
    <row r="7" spans="1:16" x14ac:dyDescent="0.3">
      <c r="B7" t="s">
        <v>451</v>
      </c>
      <c r="C7" t="s">
        <v>46</v>
      </c>
      <c r="D7" s="17"/>
      <c r="E7" s="17"/>
      <c r="F7" s="17"/>
      <c r="G7" s="17">
        <f>'04 Operating Model'!G11</f>
        <v>44928.06</v>
      </c>
      <c r="H7" s="17">
        <f>'04 Operating Model'!H11</f>
        <v>50378.034800000001</v>
      </c>
      <c r="I7" s="17">
        <f>'04 Operating Model'!I11</f>
        <v>55743.005059999996</v>
      </c>
      <c r="J7" s="17">
        <f>'04 Operating Model'!J11</f>
        <v>60369.076532799998</v>
      </c>
      <c r="K7" s="17">
        <f>'04 Operating Model'!K11</f>
        <v>64716.941074076007</v>
      </c>
      <c r="L7" s="17">
        <f>'04 Operating Model'!L11</f>
        <v>68787.928726380531</v>
      </c>
      <c r="M7" s="17">
        <f>'04 Operating Model'!M11</f>
        <v>72561.608740218144</v>
      </c>
      <c r="N7" s="17">
        <f>'04 Operating Model'!N11</f>
        <v>75869.397228786795</v>
      </c>
      <c r="O7" s="17">
        <f>'04 Operating Model'!O11</f>
        <v>79046.025326669085</v>
      </c>
      <c r="P7" s="17">
        <f>'04 Operating Model'!P11</f>
        <v>81883.255155127539</v>
      </c>
    </row>
    <row r="8" spans="1:16" x14ac:dyDescent="0.3">
      <c r="B8" t="s">
        <v>288</v>
      </c>
      <c r="C8" t="s">
        <v>46</v>
      </c>
      <c r="D8" s="17"/>
      <c r="E8" s="17"/>
      <c r="F8" s="17"/>
      <c r="G8" s="17">
        <f>'04 Operating Model'!G18</f>
        <v>20442.267299999996</v>
      </c>
      <c r="H8" s="17">
        <f>'04 Operating Model'!H18</f>
        <v>22670.115659999999</v>
      </c>
      <c r="I8" s="17">
        <f>'04 Operating Model'!I18</f>
        <v>24805.637251699995</v>
      </c>
      <c r="J8" s="17">
        <f>'04 Operating Model'!J18</f>
        <v>26864.239057095998</v>
      </c>
      <c r="K8" s="17">
        <f>'04 Operating Model'!K18</f>
        <v>28799.038777963819</v>
      </c>
      <c r="L8" s="17">
        <f>'04 Operating Model'!L18</f>
        <v>30610.628283239334</v>
      </c>
      <c r="M8" s="17">
        <f>'04 Operating Model'!M18</f>
        <v>32289.915889397067</v>
      </c>
      <c r="N8" s="17">
        <f>'04 Operating Model'!N18</f>
        <v>33761.881766810118</v>
      </c>
      <c r="O8" s="17">
        <f>'04 Operating Model'!O18</f>
        <v>35175.481270367738</v>
      </c>
      <c r="P8" s="17">
        <f>'04 Operating Model'!P18</f>
        <v>36438.04854403175</v>
      </c>
    </row>
    <row r="9" spans="1:16" x14ac:dyDescent="0.3">
      <c r="B9" s="3" t="s">
        <v>476</v>
      </c>
      <c r="C9" s="3" t="s">
        <v>46</v>
      </c>
      <c r="D9" s="18"/>
      <c r="E9" s="18"/>
      <c r="F9" s="18"/>
      <c r="G9" s="18">
        <f t="shared" ref="G9:P9" si="0">G7-G8</f>
        <v>24485.792700000002</v>
      </c>
      <c r="H9" s="18">
        <f t="shared" si="0"/>
        <v>27707.919140000002</v>
      </c>
      <c r="I9" s="18">
        <f t="shared" si="0"/>
        <v>30937.367808300001</v>
      </c>
      <c r="J9" s="18">
        <f t="shared" si="0"/>
        <v>33504.837475704</v>
      </c>
      <c r="K9" s="18">
        <f t="shared" si="0"/>
        <v>35917.902296112188</v>
      </c>
      <c r="L9" s="18">
        <f t="shared" si="0"/>
        <v>38177.300443141197</v>
      </c>
      <c r="M9" s="18">
        <f t="shared" si="0"/>
        <v>40271.692850821077</v>
      </c>
      <c r="N9" s="18">
        <f t="shared" si="0"/>
        <v>42107.515461976676</v>
      </c>
      <c r="O9" s="18">
        <f t="shared" si="0"/>
        <v>43870.544056301347</v>
      </c>
      <c r="P9" s="18">
        <f t="shared" si="0"/>
        <v>45445.206611095789</v>
      </c>
    </row>
    <row r="10" spans="1:16" x14ac:dyDescent="0.3">
      <c r="B10" t="s">
        <v>477</v>
      </c>
      <c r="C10" t="s">
        <v>46</v>
      </c>
      <c r="D10" s="17"/>
      <c r="E10" s="17"/>
      <c r="F10" s="17"/>
      <c r="G10" s="17">
        <f>'04 Operating Model'!G26</f>
        <v>14906.979199999998</v>
      </c>
      <c r="H10" s="17">
        <f>'04 Operating Model'!H26</f>
        <v>15815.300614</v>
      </c>
      <c r="I10" s="17">
        <f>'04 Operating Model'!I26</f>
        <v>16656.957477519998</v>
      </c>
      <c r="J10" s="17">
        <f>'04 Operating Model'!J26</f>
        <v>17515.186811847998</v>
      </c>
      <c r="K10" s="17">
        <f>'04 Operating Model'!K26</f>
        <v>18360.743500741282</v>
      </c>
      <c r="L10" s="17">
        <f>'04 Operating Model'!L26</f>
        <v>19254.256257207406</v>
      </c>
      <c r="M10" s="17">
        <f>'04 Operating Model'!M26</f>
        <v>20127.004012300207</v>
      </c>
      <c r="N10" s="17">
        <f>'04 Operating Model'!N26</f>
        <v>21039.953635145153</v>
      </c>
      <c r="O10" s="17">
        <f>'04 Operating Model'!O26</f>
        <v>21916.702990160666</v>
      </c>
      <c r="P10" s="17">
        <f>'04 Operating Model'!P26</f>
        <v>22699.778422815201</v>
      </c>
    </row>
    <row r="11" spans="1:16" x14ac:dyDescent="0.3">
      <c r="B11" s="3" t="s">
        <v>291</v>
      </c>
      <c r="C11" s="3" t="s">
        <v>46</v>
      </c>
      <c r="D11" s="18"/>
      <c r="E11" s="18"/>
      <c r="F11" s="18"/>
      <c r="G11" s="18">
        <f t="shared" ref="G11:P11" si="1">G9-G10</f>
        <v>9578.8135000000038</v>
      </c>
      <c r="H11" s="18">
        <f t="shared" si="1"/>
        <v>11892.618526000002</v>
      </c>
      <c r="I11" s="18">
        <f t="shared" si="1"/>
        <v>14280.410330780003</v>
      </c>
      <c r="J11" s="18">
        <f t="shared" si="1"/>
        <v>15989.650663856002</v>
      </c>
      <c r="K11" s="18">
        <f t="shared" si="1"/>
        <v>17557.158795370906</v>
      </c>
      <c r="L11" s="18">
        <f t="shared" si="1"/>
        <v>18923.044185933792</v>
      </c>
      <c r="M11" s="18">
        <f t="shared" si="1"/>
        <v>20144.688838520869</v>
      </c>
      <c r="N11" s="18">
        <f t="shared" si="1"/>
        <v>21067.561826831523</v>
      </c>
      <c r="O11" s="18">
        <f t="shared" si="1"/>
        <v>21953.841066140682</v>
      </c>
      <c r="P11" s="18">
        <f t="shared" si="1"/>
        <v>22745.428188280588</v>
      </c>
    </row>
    <row r="12" spans="1:16" x14ac:dyDescent="0.3">
      <c r="B12" t="s">
        <v>478</v>
      </c>
      <c r="C12" t="s">
        <v>46</v>
      </c>
      <c r="D12" s="17"/>
      <c r="E12" s="17"/>
      <c r="F12" s="17"/>
      <c r="G12" s="17">
        <f t="shared" ref="G12:P12" si="2">G26</f>
        <v>687.15</v>
      </c>
      <c r="H12" s="17">
        <f t="shared" si="2"/>
        <v>540.86703929280816</v>
      </c>
      <c r="I12" s="17">
        <f t="shared" si="2"/>
        <v>381.5890775904407</v>
      </c>
      <c r="J12" s="17">
        <f t="shared" si="2"/>
        <v>175.87718689373239</v>
      </c>
      <c r="K12" s="17">
        <f t="shared" si="2"/>
        <v>0</v>
      </c>
      <c r="L12" s="17">
        <f t="shared" si="2"/>
        <v>0</v>
      </c>
      <c r="M12" s="17">
        <f t="shared" si="2"/>
        <v>0</v>
      </c>
      <c r="N12" s="17">
        <f t="shared" si="2"/>
        <v>0</v>
      </c>
      <c r="O12" s="17">
        <f t="shared" si="2"/>
        <v>0</v>
      </c>
      <c r="P12" s="17">
        <f t="shared" si="2"/>
        <v>0</v>
      </c>
    </row>
    <row r="13" spans="1:16" x14ac:dyDescent="0.3">
      <c r="B13" t="s">
        <v>479</v>
      </c>
      <c r="C13" t="s">
        <v>46</v>
      </c>
      <c r="D13" s="17"/>
      <c r="E13" s="17"/>
      <c r="F13" s="17"/>
      <c r="G13" s="17">
        <f>0</f>
        <v>0</v>
      </c>
      <c r="H13" s="17">
        <f>0</f>
        <v>0</v>
      </c>
      <c r="I13" s="17">
        <f>0</f>
        <v>0</v>
      </c>
      <c r="J13" s="17">
        <f>0</f>
        <v>0</v>
      </c>
      <c r="K13" s="17">
        <f>0</f>
        <v>0</v>
      </c>
      <c r="L13" s="17">
        <f>0</f>
        <v>0</v>
      </c>
      <c r="M13" s="17">
        <f>0</f>
        <v>0</v>
      </c>
      <c r="N13" s="17">
        <f>0</f>
        <v>0</v>
      </c>
      <c r="O13" s="17">
        <f>0</f>
        <v>0</v>
      </c>
      <c r="P13" s="17">
        <f>0</f>
        <v>0</v>
      </c>
    </row>
    <row r="14" spans="1:16" x14ac:dyDescent="0.3">
      <c r="B14" s="3" t="s">
        <v>59</v>
      </c>
      <c r="C14" s="3" t="s">
        <v>46</v>
      </c>
      <c r="D14" s="18"/>
      <c r="E14" s="18"/>
      <c r="F14" s="18"/>
      <c r="G14" s="18">
        <f t="shared" ref="G14:P14" si="3">G11-G12+G13</f>
        <v>8891.6635000000042</v>
      </c>
      <c r="H14" s="18">
        <f t="shared" si="3"/>
        <v>11351.751486707193</v>
      </c>
      <c r="I14" s="18">
        <f t="shared" si="3"/>
        <v>13898.821253189562</v>
      </c>
      <c r="J14" s="18">
        <f t="shared" si="3"/>
        <v>15813.773476962269</v>
      </c>
      <c r="K14" s="18">
        <f t="shared" si="3"/>
        <v>17557.158795370906</v>
      </c>
      <c r="L14" s="18">
        <f t="shared" si="3"/>
        <v>18923.044185933792</v>
      </c>
      <c r="M14" s="18">
        <f t="shared" si="3"/>
        <v>20144.688838520869</v>
      </c>
      <c r="N14" s="18">
        <f t="shared" si="3"/>
        <v>21067.561826831523</v>
      </c>
      <c r="O14" s="18">
        <f t="shared" si="3"/>
        <v>21953.841066140682</v>
      </c>
      <c r="P14" s="18">
        <f t="shared" si="3"/>
        <v>22745.428188280588</v>
      </c>
    </row>
    <row r="15" spans="1:16" x14ac:dyDescent="0.3">
      <c r="B15" t="s">
        <v>480</v>
      </c>
      <c r="C15" t="s">
        <v>46</v>
      </c>
      <c r="D15" s="17"/>
      <c r="E15" s="17"/>
      <c r="F15" s="17"/>
      <c r="G15" s="17">
        <f>G14*'04 Operating Model'!G55</f>
        <v>1244.8328900000008</v>
      </c>
      <c r="H15" s="17">
        <f>H14*'04 Operating Model'!H55</f>
        <v>1646.0039655725429</v>
      </c>
      <c r="I15" s="17">
        <f>I14*'04 Operating Model'!I55</f>
        <v>2084.8231879784344</v>
      </c>
      <c r="J15" s="17">
        <f>J14*'04 Operating Model'!J55</f>
        <v>2451.1348889291517</v>
      </c>
      <c r="K15" s="17">
        <f>K14*'04 Operating Model'!K55</f>
        <v>2809.1454072593451</v>
      </c>
      <c r="L15" s="17">
        <f>L14*'04 Operating Model'!L55</f>
        <v>3122.3022906790757</v>
      </c>
      <c r="M15" s="17">
        <f>M14*'04 Operating Model'!M55</f>
        <v>3424.5971025485483</v>
      </c>
      <c r="N15" s="17">
        <f>N14*'04 Operating Model'!N55</f>
        <v>3581.4855105613592</v>
      </c>
      <c r="O15" s="17">
        <f>O14*'04 Operating Model'!O55</f>
        <v>3732.1529812439162</v>
      </c>
      <c r="P15" s="17">
        <f>P14*'04 Operating Model'!P55</f>
        <v>3866.7227920077003</v>
      </c>
    </row>
    <row r="16" spans="1:16" x14ac:dyDescent="0.3">
      <c r="B16" s="3" t="s">
        <v>481</v>
      </c>
      <c r="C16" s="3" t="s">
        <v>46</v>
      </c>
      <c r="D16" s="18"/>
      <c r="E16" s="18"/>
      <c r="F16" s="18"/>
      <c r="G16" s="18">
        <f t="shared" ref="G16:P16" si="4">G14-G15</f>
        <v>7646.8306100000036</v>
      </c>
      <c r="H16" s="18">
        <f t="shared" si="4"/>
        <v>9705.74752113465</v>
      </c>
      <c r="I16" s="18">
        <f t="shared" si="4"/>
        <v>11813.998065211128</v>
      </c>
      <c r="J16" s="18">
        <f t="shared" si="4"/>
        <v>13362.638588033118</v>
      </c>
      <c r="K16" s="18">
        <f t="shared" si="4"/>
        <v>14748.013388111562</v>
      </c>
      <c r="L16" s="18">
        <f t="shared" si="4"/>
        <v>15800.741895254716</v>
      </c>
      <c r="M16" s="18">
        <f t="shared" si="4"/>
        <v>16720.091735972321</v>
      </c>
      <c r="N16" s="18">
        <f t="shared" si="4"/>
        <v>17486.076316270162</v>
      </c>
      <c r="O16" s="18">
        <f t="shared" si="4"/>
        <v>18221.688084896767</v>
      </c>
      <c r="P16" s="18">
        <f t="shared" si="4"/>
        <v>18878.70539627289</v>
      </c>
    </row>
    <row r="17" spans="2:16" x14ac:dyDescent="0.3">
      <c r="B17" t="s">
        <v>482</v>
      </c>
      <c r="C17" t="s">
        <v>46</v>
      </c>
      <c r="D17" s="17"/>
      <c r="E17" s="17"/>
      <c r="F17" s="17"/>
      <c r="G17" s="17">
        <f t="shared" ref="G17:P17" si="5">G93</f>
        <v>0</v>
      </c>
      <c r="H17" s="17">
        <f t="shared" si="5"/>
        <v>0</v>
      </c>
      <c r="I17" s="17">
        <f t="shared" si="5"/>
        <v>0</v>
      </c>
      <c r="J17" s="17">
        <f t="shared" si="5"/>
        <v>0</v>
      </c>
      <c r="K17" s="17">
        <f t="shared" si="5"/>
        <v>0</v>
      </c>
      <c r="L17" s="17">
        <f t="shared" si="5"/>
        <v>0</v>
      </c>
      <c r="M17" s="17">
        <f t="shared" si="5"/>
        <v>0</v>
      </c>
      <c r="N17" s="17">
        <f t="shared" si="5"/>
        <v>0</v>
      </c>
      <c r="O17" s="17">
        <f t="shared" si="5"/>
        <v>0</v>
      </c>
      <c r="P17" s="17">
        <f t="shared" si="5"/>
        <v>0</v>
      </c>
    </row>
    <row r="18" spans="2:16" x14ac:dyDescent="0.3">
      <c r="B18" s="3" t="s">
        <v>483</v>
      </c>
      <c r="C18" s="3" t="s">
        <v>46</v>
      </c>
      <c r="D18" s="18"/>
      <c r="E18" s="18"/>
      <c r="F18" s="18"/>
      <c r="G18" s="18">
        <f t="shared" ref="G18:P18" si="6">G16-G17</f>
        <v>7646.8306100000036</v>
      </c>
      <c r="H18" s="18">
        <f t="shared" si="6"/>
        <v>9705.74752113465</v>
      </c>
      <c r="I18" s="18">
        <f t="shared" si="6"/>
        <v>11813.998065211128</v>
      </c>
      <c r="J18" s="18">
        <f t="shared" si="6"/>
        <v>13362.638588033118</v>
      </c>
      <c r="K18" s="18">
        <f t="shared" si="6"/>
        <v>14748.013388111562</v>
      </c>
      <c r="L18" s="18">
        <f t="shared" si="6"/>
        <v>15800.741895254716</v>
      </c>
      <c r="M18" s="18">
        <f t="shared" si="6"/>
        <v>16720.091735972321</v>
      </c>
      <c r="N18" s="18">
        <f t="shared" si="6"/>
        <v>17486.076316270162</v>
      </c>
      <c r="O18" s="18">
        <f t="shared" si="6"/>
        <v>18221.688084896767</v>
      </c>
      <c r="P18" s="18">
        <f t="shared" si="6"/>
        <v>18878.70539627289</v>
      </c>
    </row>
    <row r="20" spans="2:16" x14ac:dyDescent="0.3">
      <c r="B20" s="5" t="s">
        <v>484</v>
      </c>
      <c r="C20" s="5"/>
      <c r="D20" s="5"/>
      <c r="E20" s="5"/>
      <c r="F20" s="5"/>
      <c r="G20" s="5"/>
      <c r="H20" s="5"/>
      <c r="I20" s="5"/>
      <c r="J20" s="5"/>
      <c r="K20" s="5"/>
      <c r="L20" s="5"/>
      <c r="M20" s="5"/>
      <c r="N20" s="5"/>
      <c r="O20" s="5"/>
      <c r="P20" s="5"/>
    </row>
    <row r="21" spans="2:16" x14ac:dyDescent="0.3">
      <c r="B21" t="s">
        <v>485</v>
      </c>
      <c r="C21" t="s">
        <v>46</v>
      </c>
      <c r="D21" s="17"/>
      <c r="E21" s="17"/>
      <c r="F21" s="17"/>
      <c r="G21" s="17">
        <f t="shared" ref="G21:P21" si="7">F24</f>
        <v>15270</v>
      </c>
      <c r="H21" s="17">
        <f t="shared" si="7"/>
        <v>12019.267539840181</v>
      </c>
      <c r="I21" s="17">
        <f t="shared" si="7"/>
        <v>8479.757279787571</v>
      </c>
      <c r="J21" s="17">
        <f t="shared" si="7"/>
        <v>3908.381930971831</v>
      </c>
      <c r="K21" s="17">
        <f t="shared" si="7"/>
        <v>0</v>
      </c>
      <c r="L21" s="17">
        <f t="shared" si="7"/>
        <v>0</v>
      </c>
      <c r="M21" s="17">
        <f t="shared" si="7"/>
        <v>0</v>
      </c>
      <c r="N21" s="17">
        <f t="shared" si="7"/>
        <v>0</v>
      </c>
      <c r="O21" s="17">
        <f t="shared" si="7"/>
        <v>0</v>
      </c>
      <c r="P21" s="17">
        <f t="shared" si="7"/>
        <v>0</v>
      </c>
    </row>
    <row r="22" spans="2:16" x14ac:dyDescent="0.3">
      <c r="B22" t="s">
        <v>486</v>
      </c>
      <c r="C22" t="s">
        <v>46</v>
      </c>
      <c r="D22" s="17"/>
      <c r="E22" s="17"/>
      <c r="F22" s="17"/>
      <c r="G22" s="17">
        <f t="shared" ref="G22:P22" si="8">G32</f>
        <v>0</v>
      </c>
      <c r="H22" s="17">
        <f t="shared" si="8"/>
        <v>0</v>
      </c>
      <c r="I22" s="17">
        <f t="shared" si="8"/>
        <v>0</v>
      </c>
      <c r="J22" s="17">
        <f t="shared" si="8"/>
        <v>0</v>
      </c>
      <c r="K22" s="17">
        <f t="shared" si="8"/>
        <v>0</v>
      </c>
      <c r="L22" s="17">
        <f t="shared" si="8"/>
        <v>0</v>
      </c>
      <c r="M22" s="17">
        <f t="shared" si="8"/>
        <v>0</v>
      </c>
      <c r="N22" s="17">
        <f t="shared" si="8"/>
        <v>0</v>
      </c>
      <c r="O22" s="17">
        <f t="shared" si="8"/>
        <v>0</v>
      </c>
      <c r="P22" s="17">
        <f t="shared" si="8"/>
        <v>0</v>
      </c>
    </row>
    <row r="23" spans="2:16" x14ac:dyDescent="0.3">
      <c r="B23" t="s">
        <v>487</v>
      </c>
      <c r="C23" t="s">
        <v>46</v>
      </c>
      <c r="D23" s="17"/>
      <c r="E23" s="17"/>
      <c r="F23" s="17"/>
      <c r="G23" s="17">
        <f t="shared" ref="G23:P23" si="9">G34</f>
        <v>3250.7324601598193</v>
      </c>
      <c r="H23" s="17">
        <f t="shared" si="9"/>
        <v>3539.5102600526097</v>
      </c>
      <c r="I23" s="17">
        <f t="shared" si="9"/>
        <v>4571.3753488157399</v>
      </c>
      <c r="J23" s="17">
        <f t="shared" si="9"/>
        <v>3908.381930971831</v>
      </c>
      <c r="K23" s="17">
        <f t="shared" si="9"/>
        <v>0</v>
      </c>
      <c r="L23" s="17">
        <f t="shared" si="9"/>
        <v>0</v>
      </c>
      <c r="M23" s="17">
        <f t="shared" si="9"/>
        <v>0</v>
      </c>
      <c r="N23" s="17">
        <f t="shared" si="9"/>
        <v>0</v>
      </c>
      <c r="O23" s="17">
        <f t="shared" si="9"/>
        <v>0</v>
      </c>
      <c r="P23" s="17">
        <f t="shared" si="9"/>
        <v>0</v>
      </c>
    </row>
    <row r="24" spans="2:16" x14ac:dyDescent="0.3">
      <c r="B24" s="3" t="s">
        <v>488</v>
      </c>
      <c r="C24" s="3" t="s">
        <v>46</v>
      </c>
      <c r="D24" s="18"/>
      <c r="E24" s="18"/>
      <c r="F24" s="18">
        <f>'02 Assumptions'!$C$70</f>
        <v>15270</v>
      </c>
      <c r="G24" s="18">
        <f t="shared" ref="G24:P24" si="10">G21+G22-G23</f>
        <v>12019.267539840181</v>
      </c>
      <c r="H24" s="18">
        <f t="shared" si="10"/>
        <v>8479.757279787571</v>
      </c>
      <c r="I24" s="18">
        <f t="shared" si="10"/>
        <v>3908.381930971831</v>
      </c>
      <c r="J24" s="18">
        <f t="shared" si="10"/>
        <v>0</v>
      </c>
      <c r="K24" s="18">
        <f t="shared" si="10"/>
        <v>0</v>
      </c>
      <c r="L24" s="18">
        <f t="shared" si="10"/>
        <v>0</v>
      </c>
      <c r="M24" s="18">
        <f t="shared" si="10"/>
        <v>0</v>
      </c>
      <c r="N24" s="18">
        <f t="shared" si="10"/>
        <v>0</v>
      </c>
      <c r="O24" s="18">
        <f t="shared" si="10"/>
        <v>0</v>
      </c>
      <c r="P24" s="18">
        <f t="shared" si="10"/>
        <v>0</v>
      </c>
    </row>
    <row r="25" spans="2:16" x14ac:dyDescent="0.3">
      <c r="B25" t="s">
        <v>489</v>
      </c>
      <c r="C25" t="s">
        <v>23</v>
      </c>
      <c r="D25" s="19"/>
      <c r="E25" s="19"/>
      <c r="F25" s="19"/>
      <c r="G25" s="19">
        <f>'02 Assumptions'!$C$98</f>
        <v>4.4999999999999998E-2</v>
      </c>
      <c r="H25" s="19">
        <f>'02 Assumptions'!$C$98</f>
        <v>4.4999999999999998E-2</v>
      </c>
      <c r="I25" s="19">
        <f>'02 Assumptions'!$C$98</f>
        <v>4.4999999999999998E-2</v>
      </c>
      <c r="J25" s="19">
        <f>'02 Assumptions'!$C$98</f>
        <v>4.4999999999999998E-2</v>
      </c>
      <c r="K25" s="19">
        <f>'02 Assumptions'!$C$98</f>
        <v>4.4999999999999998E-2</v>
      </c>
      <c r="L25" s="19">
        <f>'02 Assumptions'!$C$98</f>
        <v>4.4999999999999998E-2</v>
      </c>
      <c r="M25" s="19">
        <f>'02 Assumptions'!$C$98</f>
        <v>4.4999999999999998E-2</v>
      </c>
      <c r="N25" s="19">
        <f>'02 Assumptions'!$C$98</f>
        <v>4.4999999999999998E-2</v>
      </c>
      <c r="O25" s="19">
        <f>'02 Assumptions'!$C$98</f>
        <v>4.4999999999999998E-2</v>
      </c>
      <c r="P25" s="19">
        <f>'02 Assumptions'!$C$98</f>
        <v>4.4999999999999998E-2</v>
      </c>
    </row>
    <row r="26" spans="2:16" x14ac:dyDescent="0.3">
      <c r="B26" t="s">
        <v>490</v>
      </c>
      <c r="C26" t="s">
        <v>46</v>
      </c>
      <c r="D26" s="17"/>
      <c r="E26" s="17"/>
      <c r="F26" s="17"/>
      <c r="G26" s="17">
        <f t="shared" ref="G26:P26" si="11">G21*G25</f>
        <v>687.15</v>
      </c>
      <c r="H26" s="17">
        <f t="shared" si="11"/>
        <v>540.86703929280816</v>
      </c>
      <c r="I26" s="17">
        <f t="shared" si="11"/>
        <v>381.5890775904407</v>
      </c>
      <c r="J26" s="17">
        <f t="shared" si="11"/>
        <v>175.87718689373239</v>
      </c>
      <c r="K26" s="17">
        <f t="shared" si="11"/>
        <v>0</v>
      </c>
      <c r="L26" s="17">
        <f t="shared" si="11"/>
        <v>0</v>
      </c>
      <c r="M26" s="17">
        <f t="shared" si="11"/>
        <v>0</v>
      </c>
      <c r="N26" s="17">
        <f t="shared" si="11"/>
        <v>0</v>
      </c>
      <c r="O26" s="17">
        <f t="shared" si="11"/>
        <v>0</v>
      </c>
      <c r="P26" s="17">
        <f t="shared" si="11"/>
        <v>0</v>
      </c>
    </row>
    <row r="28" spans="2:16" x14ac:dyDescent="0.3">
      <c r="B28" s="5" t="s">
        <v>491</v>
      </c>
      <c r="C28" s="5"/>
      <c r="D28" s="5"/>
      <c r="E28" s="5"/>
      <c r="F28" s="5"/>
      <c r="G28" s="5"/>
      <c r="H28" s="5"/>
      <c r="I28" s="5"/>
      <c r="J28" s="5"/>
      <c r="K28" s="5"/>
      <c r="L28" s="5"/>
      <c r="M28" s="5"/>
      <c r="N28" s="5"/>
      <c r="O28" s="5"/>
      <c r="P28" s="5"/>
    </row>
    <row r="29" spans="2:16" x14ac:dyDescent="0.3">
      <c r="B29" t="s">
        <v>492</v>
      </c>
      <c r="C29" t="s">
        <v>46</v>
      </c>
      <c r="D29" s="17"/>
      <c r="E29" s="17"/>
      <c r="F29" s="17"/>
      <c r="G29" s="17">
        <f t="shared" ref="G29:P29" si="12">F35</f>
        <v>4533</v>
      </c>
      <c r="H29" s="17">
        <f t="shared" si="12"/>
        <v>4149.2936601598194</v>
      </c>
      <c r="I29" s="17">
        <f t="shared" si="12"/>
        <v>4547.0709560526102</v>
      </c>
      <c r="J29" s="17">
        <f t="shared" si="12"/>
        <v>5686.2354500157398</v>
      </c>
      <c r="K29" s="17">
        <f t="shared" si="12"/>
        <v>9190.9367074263573</v>
      </c>
      <c r="L29" s="17">
        <f t="shared" si="12"/>
        <v>17829.979980648241</v>
      </c>
      <c r="M29" s="17">
        <f t="shared" si="12"/>
        <v>27409.970836165205</v>
      </c>
      <c r="N29" s="17">
        <f t="shared" si="12"/>
        <v>37720.632743827118</v>
      </c>
      <c r="O29" s="17">
        <f t="shared" si="12"/>
        <v>48695.915836646083</v>
      </c>
      <c r="P29" s="17">
        <f t="shared" si="12"/>
        <v>60251.268880312171</v>
      </c>
    </row>
    <row r="30" spans="2:16" x14ac:dyDescent="0.3">
      <c r="B30" t="s">
        <v>493</v>
      </c>
      <c r="C30" t="s">
        <v>46</v>
      </c>
      <c r="D30" s="17"/>
      <c r="E30" s="17"/>
      <c r="F30" s="17"/>
      <c r="G30" s="17">
        <f t="shared" ref="G30:P30" si="13">G29+G77+G79-G82-G83-G84</f>
        <v>7400.0261203196387</v>
      </c>
      <c r="H30" s="17">
        <f t="shared" si="13"/>
        <v>8086.5812161052199</v>
      </c>
      <c r="I30" s="17">
        <f t="shared" si="13"/>
        <v>10257.61079883148</v>
      </c>
      <c r="J30" s="17">
        <f t="shared" si="13"/>
        <v>13099.318638398188</v>
      </c>
      <c r="K30" s="17">
        <f t="shared" si="13"/>
        <v>17829.979980648241</v>
      </c>
      <c r="L30" s="17">
        <f t="shared" si="13"/>
        <v>27409.970836165205</v>
      </c>
      <c r="M30" s="17">
        <f t="shared" si="13"/>
        <v>37720.632743827118</v>
      </c>
      <c r="N30" s="17">
        <f t="shared" si="13"/>
        <v>48695.915836646083</v>
      </c>
      <c r="O30" s="17">
        <f t="shared" si="13"/>
        <v>60251.268880312171</v>
      </c>
      <c r="P30" s="17">
        <f t="shared" si="13"/>
        <v>72216.535056162262</v>
      </c>
    </row>
    <row r="31" spans="2:16" x14ac:dyDescent="0.3">
      <c r="B31" t="s">
        <v>494</v>
      </c>
      <c r="C31" t="s">
        <v>46</v>
      </c>
      <c r="D31" s="17"/>
      <c r="E31" s="17"/>
      <c r="F31" s="17"/>
      <c r="G31" s="17">
        <f>'02 Assumptions'!$C$68*G7</f>
        <v>898.56119999999999</v>
      </c>
      <c r="H31" s="17">
        <f>'02 Assumptions'!$C$68*H7</f>
        <v>1007.560696</v>
      </c>
      <c r="I31" s="17">
        <f>'02 Assumptions'!$C$68*I7</f>
        <v>1114.8601011999999</v>
      </c>
      <c r="J31" s="17">
        <f>'02 Assumptions'!$C$68*J7</f>
        <v>1207.381530656</v>
      </c>
      <c r="K31" s="17">
        <f>'02 Assumptions'!$C$68*K7</f>
        <v>1294.3388214815202</v>
      </c>
      <c r="L31" s="17">
        <f>'02 Assumptions'!$C$68*L7</f>
        <v>1375.7585745276106</v>
      </c>
      <c r="M31" s="17">
        <f>'02 Assumptions'!$C$68*M7</f>
        <v>1451.232174804363</v>
      </c>
      <c r="N31" s="17">
        <f>'02 Assumptions'!$C$68*N7</f>
        <v>1517.3879445757359</v>
      </c>
      <c r="O31" s="17">
        <f>'02 Assumptions'!$C$68*O7</f>
        <v>1580.9205065333817</v>
      </c>
      <c r="P31" s="17">
        <f>'02 Assumptions'!$C$68*P7</f>
        <v>1637.6651031025508</v>
      </c>
    </row>
    <row r="32" spans="2:16" x14ac:dyDescent="0.3">
      <c r="B32" t="s">
        <v>495</v>
      </c>
      <c r="C32" t="s">
        <v>46</v>
      </c>
      <c r="D32" s="17"/>
      <c r="E32" s="17"/>
      <c r="F32" s="17"/>
      <c r="G32" s="17">
        <f t="shared" ref="G32:P32" si="14">MAX(0,G31-G30)</f>
        <v>0</v>
      </c>
      <c r="H32" s="17">
        <f t="shared" si="14"/>
        <v>0</v>
      </c>
      <c r="I32" s="17">
        <f t="shared" si="14"/>
        <v>0</v>
      </c>
      <c r="J32" s="17">
        <f t="shared" si="14"/>
        <v>0</v>
      </c>
      <c r="K32" s="17">
        <f t="shared" si="14"/>
        <v>0</v>
      </c>
      <c r="L32" s="17">
        <f t="shared" si="14"/>
        <v>0</v>
      </c>
      <c r="M32" s="17">
        <f t="shared" si="14"/>
        <v>0</v>
      </c>
      <c r="N32" s="17">
        <f t="shared" si="14"/>
        <v>0</v>
      </c>
      <c r="O32" s="17">
        <f t="shared" si="14"/>
        <v>0</v>
      </c>
      <c r="P32" s="17">
        <f t="shared" si="14"/>
        <v>0</v>
      </c>
    </row>
    <row r="33" spans="2:16" x14ac:dyDescent="0.3">
      <c r="B33" t="s">
        <v>496</v>
      </c>
      <c r="C33" t="s">
        <v>46</v>
      </c>
      <c r="D33" s="17"/>
      <c r="E33" s="17"/>
      <c r="F33" s="17"/>
      <c r="G33" s="17">
        <f t="shared" ref="G33:P33" si="15">MAX(0,G30-G31)</f>
        <v>6501.4649203196386</v>
      </c>
      <c r="H33" s="17">
        <f t="shared" si="15"/>
        <v>7079.0205201052195</v>
      </c>
      <c r="I33" s="17">
        <f t="shared" si="15"/>
        <v>9142.7506976314799</v>
      </c>
      <c r="J33" s="17">
        <f t="shared" si="15"/>
        <v>11891.937107742189</v>
      </c>
      <c r="K33" s="17">
        <f t="shared" si="15"/>
        <v>16535.64115916672</v>
      </c>
      <c r="L33" s="17">
        <f t="shared" si="15"/>
        <v>26034.212261637593</v>
      </c>
      <c r="M33" s="17">
        <f t="shared" si="15"/>
        <v>36269.400569022757</v>
      </c>
      <c r="N33" s="17">
        <f t="shared" si="15"/>
        <v>47178.527892070349</v>
      </c>
      <c r="O33" s="17">
        <f t="shared" si="15"/>
        <v>58670.34837377879</v>
      </c>
      <c r="P33" s="17">
        <f t="shared" si="15"/>
        <v>70578.869953059708</v>
      </c>
    </row>
    <row r="34" spans="2:16" x14ac:dyDescent="0.3">
      <c r="B34" t="s">
        <v>497</v>
      </c>
      <c r="C34" t="s">
        <v>46</v>
      </c>
      <c r="D34" s="17"/>
      <c r="E34" s="17"/>
      <c r="F34" s="17"/>
      <c r="G34" s="17">
        <f>MIN(G21,G33*'02 Assumptions'!$C$97)</f>
        <v>3250.7324601598193</v>
      </c>
      <c r="H34" s="17">
        <f>MIN(H21,H33*'02 Assumptions'!$C$97)</f>
        <v>3539.5102600526097</v>
      </c>
      <c r="I34" s="17">
        <f>MIN(I21,I33*'02 Assumptions'!$C$97)</f>
        <v>4571.3753488157399</v>
      </c>
      <c r="J34" s="17">
        <f>MIN(J21,J33*'02 Assumptions'!$C$97)</f>
        <v>3908.381930971831</v>
      </c>
      <c r="K34" s="17">
        <f>MIN(K21,K33*'02 Assumptions'!$C$97)</f>
        <v>0</v>
      </c>
      <c r="L34" s="17">
        <f>MIN(L21,L33*'02 Assumptions'!$C$97)</f>
        <v>0</v>
      </c>
      <c r="M34" s="17">
        <f>MIN(M21,M33*'02 Assumptions'!$C$97)</f>
        <v>0</v>
      </c>
      <c r="N34" s="17">
        <f>MIN(N21,N33*'02 Assumptions'!$C$97)</f>
        <v>0</v>
      </c>
      <c r="O34" s="17">
        <f>MIN(O21,O33*'02 Assumptions'!$C$97)</f>
        <v>0</v>
      </c>
      <c r="P34" s="17">
        <f>MIN(P21,P33*'02 Assumptions'!$C$97)</f>
        <v>0</v>
      </c>
    </row>
    <row r="35" spans="2:16" x14ac:dyDescent="0.3">
      <c r="B35" s="3" t="s">
        <v>498</v>
      </c>
      <c r="C35" s="3" t="s">
        <v>46</v>
      </c>
      <c r="D35" s="18"/>
      <c r="E35" s="18"/>
      <c r="F35" s="18">
        <f>'02 Assumptions'!$C$72</f>
        <v>4533</v>
      </c>
      <c r="G35" s="18">
        <f t="shared" ref="G35:P35" si="16">G30+G32-G34</f>
        <v>4149.2936601598194</v>
      </c>
      <c r="H35" s="18">
        <f t="shared" si="16"/>
        <v>4547.0709560526102</v>
      </c>
      <c r="I35" s="18">
        <f t="shared" si="16"/>
        <v>5686.2354500157398</v>
      </c>
      <c r="J35" s="18">
        <f t="shared" si="16"/>
        <v>9190.9367074263573</v>
      </c>
      <c r="K35" s="18">
        <f t="shared" si="16"/>
        <v>17829.979980648241</v>
      </c>
      <c r="L35" s="18">
        <f t="shared" si="16"/>
        <v>27409.970836165205</v>
      </c>
      <c r="M35" s="18">
        <f t="shared" si="16"/>
        <v>37720.632743827118</v>
      </c>
      <c r="N35" s="18">
        <f t="shared" si="16"/>
        <v>48695.915836646083</v>
      </c>
      <c r="O35" s="18">
        <f t="shared" si="16"/>
        <v>60251.268880312171</v>
      </c>
      <c r="P35" s="18">
        <f t="shared" si="16"/>
        <v>72216.535056162262</v>
      </c>
    </row>
    <row r="37" spans="2:16" x14ac:dyDescent="0.3">
      <c r="B37" s="5" t="s">
        <v>499</v>
      </c>
      <c r="C37" s="5"/>
      <c r="D37" s="5"/>
      <c r="E37" s="5"/>
      <c r="F37" s="5"/>
      <c r="G37" s="5"/>
      <c r="H37" s="5"/>
      <c r="I37" s="5"/>
      <c r="J37" s="5"/>
      <c r="K37" s="5"/>
      <c r="L37" s="5"/>
      <c r="M37" s="5"/>
      <c r="N37" s="5"/>
      <c r="O37" s="5"/>
      <c r="P37" s="5"/>
    </row>
    <row r="38" spans="2:16" x14ac:dyDescent="0.3">
      <c r="B38" t="s">
        <v>72</v>
      </c>
      <c r="C38" t="s">
        <v>46</v>
      </c>
      <c r="D38" s="17"/>
      <c r="E38" s="17"/>
      <c r="F38" s="17"/>
      <c r="G38" s="17">
        <f t="shared" ref="G38:P38" si="17">G35</f>
        <v>4149.2936601598194</v>
      </c>
      <c r="H38" s="17">
        <f t="shared" si="17"/>
        <v>4547.0709560526102</v>
      </c>
      <c r="I38" s="17">
        <f t="shared" si="17"/>
        <v>5686.2354500157398</v>
      </c>
      <c r="J38" s="17">
        <f t="shared" si="17"/>
        <v>9190.9367074263573</v>
      </c>
      <c r="K38" s="17">
        <f t="shared" si="17"/>
        <v>17829.979980648241</v>
      </c>
      <c r="L38" s="17">
        <f t="shared" si="17"/>
        <v>27409.970836165205</v>
      </c>
      <c r="M38" s="17">
        <f t="shared" si="17"/>
        <v>37720.632743827118</v>
      </c>
      <c r="N38" s="17">
        <f t="shared" si="17"/>
        <v>48695.915836646083</v>
      </c>
      <c r="O38" s="17">
        <f t="shared" si="17"/>
        <v>60251.268880312171</v>
      </c>
      <c r="P38" s="17">
        <f t="shared" si="17"/>
        <v>72216.535056162262</v>
      </c>
    </row>
    <row r="39" spans="2:16" x14ac:dyDescent="0.3">
      <c r="B39" t="s">
        <v>73</v>
      </c>
      <c r="C39" t="s">
        <v>46</v>
      </c>
      <c r="D39" s="17"/>
      <c r="E39" s="17"/>
      <c r="F39" s="17"/>
      <c r="G39" s="17">
        <f>'02 Assumptions'!$C$73</f>
        <v>3771</v>
      </c>
      <c r="H39" s="17">
        <f>'02 Assumptions'!$C$73</f>
        <v>3771</v>
      </c>
      <c r="I39" s="17">
        <f>'02 Assumptions'!$C$73</f>
        <v>3771</v>
      </c>
      <c r="J39" s="17">
        <f>'02 Assumptions'!$C$73</f>
        <v>3771</v>
      </c>
      <c r="K39" s="17">
        <f>'02 Assumptions'!$C$73</f>
        <v>3771</v>
      </c>
      <c r="L39" s="17">
        <f>'02 Assumptions'!$C$73</f>
        <v>3771</v>
      </c>
      <c r="M39" s="17">
        <f>'02 Assumptions'!$C$73</f>
        <v>3771</v>
      </c>
      <c r="N39" s="17">
        <f>'02 Assumptions'!$C$73</f>
        <v>3771</v>
      </c>
      <c r="O39" s="17">
        <f>'02 Assumptions'!$C$73</f>
        <v>3771</v>
      </c>
      <c r="P39" s="17">
        <f>'02 Assumptions'!$C$73</f>
        <v>3771</v>
      </c>
    </row>
    <row r="40" spans="2:16" x14ac:dyDescent="0.3">
      <c r="B40" t="s">
        <v>301</v>
      </c>
      <c r="C40" t="s">
        <v>46</v>
      </c>
      <c r="D40" s="17"/>
      <c r="E40" s="17"/>
      <c r="F40" s="17"/>
      <c r="G40" s="17">
        <f>'04 Operating Model'!G44</f>
        <v>4677.4418630136988</v>
      </c>
      <c r="H40" s="17">
        <f>'04 Operating Model'!H44</f>
        <v>5244.8364997260278</v>
      </c>
      <c r="I40" s="17">
        <f>'04 Operating Model'!I44</f>
        <v>5803.3813487123289</v>
      </c>
      <c r="J40" s="17">
        <f>'04 Operating Model'!J44</f>
        <v>6284.9997486202737</v>
      </c>
      <c r="K40" s="17">
        <f>'04 Operating Model'!K44</f>
        <v>6737.6541392188719</v>
      </c>
      <c r="L40" s="17">
        <f>'04 Operating Model'!L44</f>
        <v>7161.4829906916721</v>
      </c>
      <c r="M40" s="17">
        <f>'04 Operating Model'!M44</f>
        <v>7554.3592661049024</v>
      </c>
      <c r="N40" s="17">
        <f>'04 Operating Model'!N44</f>
        <v>7898.7317662846526</v>
      </c>
      <c r="O40" s="17">
        <f>'04 Operating Model'!O44</f>
        <v>8229.4492120915766</v>
      </c>
      <c r="P40" s="17">
        <f>'04 Operating Model'!P44</f>
        <v>8524.8320435475252</v>
      </c>
    </row>
    <row r="41" spans="2:16" x14ac:dyDescent="0.3">
      <c r="B41" t="s">
        <v>302</v>
      </c>
      <c r="C41" t="s">
        <v>46</v>
      </c>
      <c r="D41" s="17"/>
      <c r="E41" s="17"/>
      <c r="F41" s="17"/>
      <c r="G41" s="17">
        <f>'04 Operating Model'!G45</f>
        <v>9434.8925999999992</v>
      </c>
      <c r="H41" s="17">
        <f>'04 Operating Model'!H45</f>
        <v>10075.606960000001</v>
      </c>
      <c r="I41" s="17">
        <f>'04 Operating Model'!I45</f>
        <v>11148.601011999999</v>
      </c>
      <c r="J41" s="17">
        <f>'04 Operating Model'!J45</f>
        <v>12073.81530656</v>
      </c>
      <c r="K41" s="17">
        <f>'04 Operating Model'!K45</f>
        <v>12943.388214815202</v>
      </c>
      <c r="L41" s="17">
        <f>'04 Operating Model'!L45</f>
        <v>13757.585745276107</v>
      </c>
      <c r="M41" s="17">
        <f>'04 Operating Model'!M45</f>
        <v>14512.321748043629</v>
      </c>
      <c r="N41" s="17">
        <f>'04 Operating Model'!N45</f>
        <v>15173.87944575736</v>
      </c>
      <c r="O41" s="17">
        <f>'04 Operating Model'!O45</f>
        <v>15809.205065333817</v>
      </c>
      <c r="P41" s="17">
        <f>'04 Operating Model'!P45</f>
        <v>16376.651031025509</v>
      </c>
    </row>
    <row r="42" spans="2:16" x14ac:dyDescent="0.3">
      <c r="B42" t="s">
        <v>500</v>
      </c>
      <c r="C42" t="s">
        <v>46</v>
      </c>
      <c r="D42" s="17"/>
      <c r="E42" s="17"/>
      <c r="F42" s="17"/>
      <c r="G42" s="17">
        <f>'04 Operating Model'!G37</f>
        <v>5854.7890666666663</v>
      </c>
      <c r="H42" s="17">
        <f>'04 Operating Model'!H37</f>
        <v>6255.3828939851846</v>
      </c>
      <c r="I42" s="17">
        <f>'04 Operating Model'!I37</f>
        <v>6549.9752926906995</v>
      </c>
      <c r="J42" s="17">
        <f>'04 Operating Model'!J37</f>
        <v>6704.2672685229882</v>
      </c>
      <c r="K42" s="17">
        <f>'04 Operating Model'!K37</f>
        <v>6940.2151930487962</v>
      </c>
      <c r="L42" s="17">
        <f>'04 Operating Model'!L37</f>
        <v>7232.2899161858777</v>
      </c>
      <c r="M42" s="17">
        <f>'04 Operating Model'!M37</f>
        <v>7560.0906123281675</v>
      </c>
      <c r="N42" s="17">
        <f>'04 Operating Model'!N37</f>
        <v>7903.2544023562232</v>
      </c>
      <c r="O42" s="17">
        <f>'04 Operating Model'!O37</f>
        <v>8254.869654988237</v>
      </c>
      <c r="P42" s="17">
        <f>'04 Operating Model'!P37</f>
        <v>8604.007646905362</v>
      </c>
    </row>
    <row r="43" spans="2:16" x14ac:dyDescent="0.3">
      <c r="B43" t="s">
        <v>501</v>
      </c>
      <c r="C43" t="s">
        <v>46</v>
      </c>
      <c r="D43" s="17"/>
      <c r="E43" s="17"/>
      <c r="F43" s="17"/>
      <c r="G43" s="17">
        <f>'03 Historical'!$F$49</f>
        <v>735</v>
      </c>
      <c r="H43" s="17">
        <f>'03 Historical'!$F$49</f>
        <v>735</v>
      </c>
      <c r="I43" s="17">
        <f>'03 Historical'!$F$49</f>
        <v>735</v>
      </c>
      <c r="J43" s="17">
        <f>'03 Historical'!$F$49</f>
        <v>735</v>
      </c>
      <c r="K43" s="17">
        <f>'03 Historical'!$F$49</f>
        <v>735</v>
      </c>
      <c r="L43" s="17">
        <f>'03 Historical'!$F$49</f>
        <v>735</v>
      </c>
      <c r="M43" s="17">
        <f>'03 Historical'!$F$49</f>
        <v>735</v>
      </c>
      <c r="N43" s="17">
        <f>'03 Historical'!$F$49</f>
        <v>735</v>
      </c>
      <c r="O43" s="17">
        <f>'03 Historical'!$F$49</f>
        <v>735</v>
      </c>
      <c r="P43" s="17">
        <f>'03 Historical'!$F$49</f>
        <v>735</v>
      </c>
    </row>
    <row r="44" spans="2:16" x14ac:dyDescent="0.3">
      <c r="B44" t="s">
        <v>79</v>
      </c>
      <c r="C44" t="s">
        <v>46</v>
      </c>
      <c r="D44" s="17"/>
      <c r="E44" s="17"/>
      <c r="F44" s="17"/>
      <c r="G44" s="17">
        <f>'03 Historical'!$F$50</f>
        <v>14274</v>
      </c>
      <c r="H44" s="17">
        <f>'03 Historical'!$F$50</f>
        <v>14274</v>
      </c>
      <c r="I44" s="17">
        <f>'03 Historical'!$F$50</f>
        <v>14274</v>
      </c>
      <c r="J44" s="17">
        <f>'03 Historical'!$F$50</f>
        <v>14274</v>
      </c>
      <c r="K44" s="17">
        <f>'03 Historical'!$F$50</f>
        <v>14274</v>
      </c>
      <c r="L44" s="17">
        <f>'03 Historical'!$F$50</f>
        <v>14274</v>
      </c>
      <c r="M44" s="17">
        <f>'03 Historical'!$F$50</f>
        <v>14274</v>
      </c>
      <c r="N44" s="17">
        <f>'03 Historical'!$F$50</f>
        <v>14274</v>
      </c>
      <c r="O44" s="17">
        <f>'03 Historical'!$F$50</f>
        <v>14274</v>
      </c>
      <c r="P44" s="17">
        <f>'03 Historical'!$F$50</f>
        <v>14274</v>
      </c>
    </row>
    <row r="45" spans="2:16" x14ac:dyDescent="0.3">
      <c r="B45" t="s">
        <v>502</v>
      </c>
      <c r="C45" t="s">
        <v>46</v>
      </c>
      <c r="D45" s="17"/>
      <c r="E45" s="17"/>
      <c r="F45" s="17">
        <f>'02 Assumptions'!$C$101</f>
        <v>1510</v>
      </c>
      <c r="G45" s="17">
        <f>F45-'04 Operating Model'!G24</f>
        <v>1080</v>
      </c>
      <c r="H45" s="17">
        <f>G45-'04 Operating Model'!H24</f>
        <v>730</v>
      </c>
      <c r="I45" s="17">
        <f>H45-'04 Operating Model'!I24</f>
        <v>450</v>
      </c>
      <c r="J45" s="17">
        <f>I45-'04 Operating Model'!J24</f>
        <v>240</v>
      </c>
      <c r="K45" s="17">
        <f>J45-'04 Operating Model'!K24</f>
        <v>100</v>
      </c>
      <c r="L45" s="17">
        <f>K45-'04 Operating Model'!L24</f>
        <v>0</v>
      </c>
      <c r="M45" s="17">
        <f>L45-'04 Operating Model'!M24</f>
        <v>0</v>
      </c>
      <c r="N45" s="17">
        <f>M45-'04 Operating Model'!N24</f>
        <v>0</v>
      </c>
      <c r="O45" s="17">
        <f>N45-'04 Operating Model'!O24</f>
        <v>0</v>
      </c>
      <c r="P45" s="17">
        <f>O45-'04 Operating Model'!P24</f>
        <v>0</v>
      </c>
    </row>
    <row r="46" spans="2:16" x14ac:dyDescent="0.3">
      <c r="B46" t="s">
        <v>80</v>
      </c>
      <c r="C46" t="s">
        <v>46</v>
      </c>
      <c r="D46" s="17"/>
      <c r="E46" s="17"/>
      <c r="F46" s="17"/>
      <c r="G46" s="17">
        <f>'03 Historical'!$F$51</f>
        <v>5679</v>
      </c>
      <c r="H46" s="17">
        <f>'03 Historical'!$F$51</f>
        <v>5679</v>
      </c>
      <c r="I46" s="17">
        <f>'03 Historical'!$F$51</f>
        <v>5679</v>
      </c>
      <c r="J46" s="17">
        <f>'03 Historical'!$F$51</f>
        <v>5679</v>
      </c>
      <c r="K46" s="17">
        <f>'03 Historical'!$F$51</f>
        <v>5679</v>
      </c>
      <c r="L46" s="17">
        <f>'03 Historical'!$F$51</f>
        <v>5679</v>
      </c>
      <c r="M46" s="17">
        <f>'03 Historical'!$F$51</f>
        <v>5679</v>
      </c>
      <c r="N46" s="17">
        <f>'03 Historical'!$F$51</f>
        <v>5679</v>
      </c>
      <c r="O46" s="17">
        <f>'03 Historical'!$F$51</f>
        <v>5679</v>
      </c>
      <c r="P46" s="17">
        <f>'03 Historical'!$F$51</f>
        <v>5679</v>
      </c>
    </row>
    <row r="47" spans="2:16" x14ac:dyDescent="0.3">
      <c r="B47" t="s">
        <v>503</v>
      </c>
      <c r="C47" t="s">
        <v>46</v>
      </c>
      <c r="D47" s="17"/>
      <c r="E47" s="17"/>
      <c r="F47" s="17"/>
      <c r="G47" s="17">
        <f>'02 Assumptions'!$C$102</f>
        <v>6948</v>
      </c>
      <c r="H47" s="17">
        <f>'02 Assumptions'!$C$102</f>
        <v>6948</v>
      </c>
      <c r="I47" s="17">
        <f>'02 Assumptions'!$C$102</f>
        <v>6948</v>
      </c>
      <c r="J47" s="17">
        <f>'02 Assumptions'!$C$102</f>
        <v>6948</v>
      </c>
      <c r="K47" s="17">
        <f>'02 Assumptions'!$C$102</f>
        <v>6948</v>
      </c>
      <c r="L47" s="17">
        <f>'02 Assumptions'!$C$102</f>
        <v>6948</v>
      </c>
      <c r="M47" s="17">
        <f>'02 Assumptions'!$C$102</f>
        <v>6948</v>
      </c>
      <c r="N47" s="17">
        <f>'02 Assumptions'!$C$102</f>
        <v>6948</v>
      </c>
      <c r="O47" s="17">
        <f>'02 Assumptions'!$C$102</f>
        <v>6948</v>
      </c>
      <c r="P47" s="17">
        <f>'02 Assumptions'!$C$102</f>
        <v>6948</v>
      </c>
    </row>
    <row r="48" spans="2:16" x14ac:dyDescent="0.3">
      <c r="B48" s="3" t="s">
        <v>83</v>
      </c>
      <c r="C48" s="3" t="s">
        <v>46</v>
      </c>
      <c r="D48" s="18"/>
      <c r="E48" s="18"/>
      <c r="F48" s="18"/>
      <c r="G48" s="18">
        <f t="shared" ref="G48:P48" si="18">SUM(G38:G47)</f>
        <v>56603.417189840184</v>
      </c>
      <c r="H48" s="18">
        <f t="shared" si="18"/>
        <v>58259.897309763823</v>
      </c>
      <c r="I48" s="18">
        <f t="shared" si="18"/>
        <v>61045.193103418766</v>
      </c>
      <c r="J48" s="18">
        <f t="shared" si="18"/>
        <v>65901.019031129617</v>
      </c>
      <c r="K48" s="18">
        <f t="shared" si="18"/>
        <v>75958.237527731108</v>
      </c>
      <c r="L48" s="18">
        <f t="shared" si="18"/>
        <v>86968.329488318865</v>
      </c>
      <c r="M48" s="18">
        <f t="shared" si="18"/>
        <v>98754.404370303819</v>
      </c>
      <c r="N48" s="18">
        <f t="shared" si="18"/>
        <v>111078.78145104431</v>
      </c>
      <c r="O48" s="18">
        <f t="shared" si="18"/>
        <v>123951.79281272582</v>
      </c>
      <c r="P48" s="18">
        <f t="shared" si="18"/>
        <v>137129.02577764064</v>
      </c>
    </row>
    <row r="49" spans="2:16" x14ac:dyDescent="0.3">
      <c r="B49" t="s">
        <v>85</v>
      </c>
      <c r="C49" t="s">
        <v>46</v>
      </c>
      <c r="D49" s="17"/>
      <c r="E49" s="17"/>
      <c r="F49" s="17"/>
      <c r="G49" s="17">
        <f>'04 Operating Model'!G46</f>
        <v>3010.1800199999993</v>
      </c>
      <c r="H49" s="17">
        <f>'04 Operating Model'!H46</f>
        <v>3294.3204516416004</v>
      </c>
      <c r="I49" s="17">
        <f>'04 Operating Model'!I46</f>
        <v>3577.9205227811594</v>
      </c>
      <c r="J49" s="17">
        <f>'04 Operating Model'!J46</f>
        <v>3842.4917213127196</v>
      </c>
      <c r="K49" s="17">
        <f>'04 Operating Model'!K46</f>
        <v>4119.2332993649379</v>
      </c>
      <c r="L49" s="17">
        <f>'04 Operating Model'!L46</f>
        <v>4378.3516634341204</v>
      </c>
      <c r="M49" s="17">
        <f>'04 Operating Model'!M46</f>
        <v>4618.5463963148841</v>
      </c>
      <c r="N49" s="17">
        <f>'04 Operating Model'!N46</f>
        <v>4829.0871336122782</v>
      </c>
      <c r="O49" s="17">
        <f>'04 Operating Model'!O46</f>
        <v>5031.2795120424871</v>
      </c>
      <c r="P49" s="17">
        <f>'04 Operating Model'!P46</f>
        <v>5211.8691906238673</v>
      </c>
    </row>
    <row r="50" spans="2:16" x14ac:dyDescent="0.3">
      <c r="B50" t="s">
        <v>303</v>
      </c>
      <c r="C50" t="s">
        <v>46</v>
      </c>
      <c r="D50" s="17"/>
      <c r="E50" s="17"/>
      <c r="F50" s="17"/>
      <c r="G50" s="17">
        <f>'04 Operating Model'!G47</f>
        <v>1707.2662799999998</v>
      </c>
      <c r="H50" s="17">
        <f>'04 Operating Model'!H47</f>
        <v>1914.3653224</v>
      </c>
      <c r="I50" s="17">
        <f>'04 Operating Model'!I47</f>
        <v>2118.2341922799997</v>
      </c>
      <c r="J50" s="17">
        <f>'04 Operating Model'!J47</f>
        <v>2294.0249082463997</v>
      </c>
      <c r="K50" s="17">
        <f>'04 Operating Model'!K47</f>
        <v>2459.243760814888</v>
      </c>
      <c r="L50" s="17">
        <f>'04 Operating Model'!L47</f>
        <v>2613.9412916024603</v>
      </c>
      <c r="M50" s="17">
        <f>'04 Operating Model'!M47</f>
        <v>2757.3411321282892</v>
      </c>
      <c r="N50" s="17">
        <f>'04 Operating Model'!N47</f>
        <v>2883.0370946938983</v>
      </c>
      <c r="O50" s="17">
        <f>'04 Operating Model'!O47</f>
        <v>3003.748962413425</v>
      </c>
      <c r="P50" s="17">
        <f>'04 Operating Model'!P47</f>
        <v>3111.5636958948462</v>
      </c>
    </row>
    <row r="51" spans="2:16" x14ac:dyDescent="0.3">
      <c r="B51" t="s">
        <v>87</v>
      </c>
      <c r="C51" t="s">
        <v>46</v>
      </c>
      <c r="D51" s="17"/>
      <c r="E51" s="17"/>
      <c r="F51" s="17"/>
      <c r="G51" s="17">
        <f>'04 Operating Model'!G48</f>
        <v>314.49642</v>
      </c>
      <c r="H51" s="17">
        <f>'04 Operating Model'!H48</f>
        <v>352.64624359999999</v>
      </c>
      <c r="I51" s="17">
        <f>'04 Operating Model'!I48</f>
        <v>390.20103541999998</v>
      </c>
      <c r="J51" s="17">
        <f>'04 Operating Model'!J48</f>
        <v>422.58353572959999</v>
      </c>
      <c r="K51" s="17">
        <f>'04 Operating Model'!K48</f>
        <v>453.01858751853206</v>
      </c>
      <c r="L51" s="17">
        <f>'04 Operating Model'!L48</f>
        <v>481.51550108466375</v>
      </c>
      <c r="M51" s="17">
        <f>'04 Operating Model'!M48</f>
        <v>507.93126118152702</v>
      </c>
      <c r="N51" s="17">
        <f>'04 Operating Model'!N48</f>
        <v>531.08578060150762</v>
      </c>
      <c r="O51" s="17">
        <f>'04 Operating Model'!O48</f>
        <v>553.32217728668365</v>
      </c>
      <c r="P51" s="17">
        <f>'04 Operating Model'!P48</f>
        <v>573.18278608589276</v>
      </c>
    </row>
    <row r="52" spans="2:16" x14ac:dyDescent="0.3">
      <c r="B52" t="s">
        <v>504</v>
      </c>
      <c r="C52" t="s">
        <v>46</v>
      </c>
      <c r="D52" s="17"/>
      <c r="E52" s="17"/>
      <c r="F52" s="17"/>
      <c r="G52" s="17">
        <f>'04 Operating Model'!G49</f>
        <v>4358.0218199999999</v>
      </c>
      <c r="H52" s="17">
        <f>'04 Operating Model'!H49</f>
        <v>4886.6693756000004</v>
      </c>
      <c r="I52" s="17">
        <f>'04 Operating Model'!I49</f>
        <v>5407.0714908199998</v>
      </c>
      <c r="J52" s="17">
        <f>'04 Operating Model'!J49</f>
        <v>5855.8004236815996</v>
      </c>
      <c r="K52" s="17">
        <f>'04 Operating Model'!K49</f>
        <v>6277.5432841853726</v>
      </c>
      <c r="L52" s="17">
        <f>'04 Operating Model'!L49</f>
        <v>6672.429086458912</v>
      </c>
      <c r="M52" s="17">
        <f>'04 Operating Model'!M49</f>
        <v>7038.4760478011603</v>
      </c>
      <c r="N52" s="17">
        <f>'04 Operating Model'!N49</f>
        <v>7359.3315311923197</v>
      </c>
      <c r="O52" s="17">
        <f>'04 Operating Model'!O49</f>
        <v>7667.4644566869019</v>
      </c>
      <c r="P52" s="17">
        <f>'04 Operating Model'!P49</f>
        <v>7942.6757500473714</v>
      </c>
    </row>
    <row r="53" spans="2:16" x14ac:dyDescent="0.3">
      <c r="B53" t="s">
        <v>274</v>
      </c>
      <c r="C53" t="s">
        <v>46</v>
      </c>
      <c r="D53" s="17"/>
      <c r="E53" s="17"/>
      <c r="F53" s="17"/>
      <c r="G53" s="17">
        <f t="shared" ref="G53:P53" si="19">G24</f>
        <v>12019.267539840181</v>
      </c>
      <c r="H53" s="17">
        <f t="shared" si="19"/>
        <v>8479.757279787571</v>
      </c>
      <c r="I53" s="17">
        <f t="shared" si="19"/>
        <v>3908.381930971831</v>
      </c>
      <c r="J53" s="17">
        <f t="shared" si="19"/>
        <v>0</v>
      </c>
      <c r="K53" s="17">
        <f t="shared" si="19"/>
        <v>0</v>
      </c>
      <c r="L53" s="17">
        <f t="shared" si="19"/>
        <v>0</v>
      </c>
      <c r="M53" s="17">
        <f t="shared" si="19"/>
        <v>0</v>
      </c>
      <c r="N53" s="17">
        <f t="shared" si="19"/>
        <v>0</v>
      </c>
      <c r="O53" s="17">
        <f t="shared" si="19"/>
        <v>0</v>
      </c>
      <c r="P53" s="17">
        <f t="shared" si="19"/>
        <v>0</v>
      </c>
    </row>
    <row r="54" spans="2:16" x14ac:dyDescent="0.3">
      <c r="B54" t="s">
        <v>505</v>
      </c>
      <c r="C54" t="s">
        <v>46</v>
      </c>
      <c r="D54" s="17"/>
      <c r="E54" s="17"/>
      <c r="F54" s="17"/>
      <c r="G54" s="17">
        <f>'02 Assumptions'!$C$71</f>
        <v>0</v>
      </c>
      <c r="H54" s="17">
        <f>'02 Assumptions'!$C$71</f>
        <v>0</v>
      </c>
      <c r="I54" s="17">
        <f>'02 Assumptions'!$C$71</f>
        <v>0</v>
      </c>
      <c r="J54" s="17">
        <f>'02 Assumptions'!$C$71</f>
        <v>0</v>
      </c>
      <c r="K54" s="17">
        <f>'02 Assumptions'!$C$71</f>
        <v>0</v>
      </c>
      <c r="L54" s="17">
        <f>'02 Assumptions'!$C$71</f>
        <v>0</v>
      </c>
      <c r="M54" s="17">
        <f>'02 Assumptions'!$C$71</f>
        <v>0</v>
      </c>
      <c r="N54" s="17">
        <f>'02 Assumptions'!$C$71</f>
        <v>0</v>
      </c>
      <c r="O54" s="17">
        <f>'02 Assumptions'!$C$71</f>
        <v>0</v>
      </c>
      <c r="P54" s="17">
        <f>'02 Assumptions'!$C$71</f>
        <v>0</v>
      </c>
    </row>
    <row r="55" spans="2:16" x14ac:dyDescent="0.3">
      <c r="B55" t="s">
        <v>529</v>
      </c>
      <c r="C55" t="s">
        <v>46</v>
      </c>
      <c r="D55" s="17"/>
      <c r="E55" s="17"/>
      <c r="F55" s="17"/>
      <c r="G55" s="17">
        <f>'03 Historical'!$F$64</f>
        <v>730</v>
      </c>
      <c r="H55" s="17">
        <f>'03 Historical'!$F$64</f>
        <v>730</v>
      </c>
      <c r="I55" s="17">
        <f>'03 Historical'!$F$64</f>
        <v>730</v>
      </c>
      <c r="J55" s="17">
        <f>'03 Historical'!$F$64</f>
        <v>730</v>
      </c>
      <c r="K55" s="17">
        <f>'03 Historical'!$F$64</f>
        <v>730</v>
      </c>
      <c r="L55" s="17">
        <f>'03 Historical'!$F$64</f>
        <v>730</v>
      </c>
      <c r="M55" s="17">
        <f>'03 Historical'!$F$64</f>
        <v>730</v>
      </c>
      <c r="N55" s="17">
        <f>'03 Historical'!$F$64</f>
        <v>730</v>
      </c>
      <c r="O55" s="17">
        <f>'03 Historical'!$F$64</f>
        <v>730</v>
      </c>
      <c r="P55" s="17">
        <f>'03 Historical'!$F$64</f>
        <v>730</v>
      </c>
    </row>
    <row r="56" spans="2:16" x14ac:dyDescent="0.3">
      <c r="B56" t="s">
        <v>91</v>
      </c>
      <c r="C56" t="s">
        <v>46</v>
      </c>
      <c r="D56" s="17"/>
      <c r="E56" s="17"/>
      <c r="F56" s="17"/>
      <c r="G56" s="17">
        <f>'03 Historical'!$F$63</f>
        <v>0</v>
      </c>
      <c r="H56" s="17">
        <f>'03 Historical'!$F$63</f>
        <v>0</v>
      </c>
      <c r="I56" s="17">
        <f>'03 Historical'!$F$63</f>
        <v>0</v>
      </c>
      <c r="J56" s="17">
        <f>'03 Historical'!$F$63</f>
        <v>0</v>
      </c>
      <c r="K56" s="17">
        <f>'03 Historical'!$F$63</f>
        <v>0</v>
      </c>
      <c r="L56" s="17">
        <f>'03 Historical'!$F$63</f>
        <v>0</v>
      </c>
      <c r="M56" s="17">
        <f>'03 Historical'!$F$63</f>
        <v>0</v>
      </c>
      <c r="N56" s="17">
        <f>'03 Historical'!$F$63</f>
        <v>0</v>
      </c>
      <c r="O56" s="17">
        <f>'03 Historical'!$F$63</f>
        <v>0</v>
      </c>
      <c r="P56" s="17">
        <f>'03 Historical'!$F$63</f>
        <v>0</v>
      </c>
    </row>
    <row r="57" spans="2:16" x14ac:dyDescent="0.3">
      <c r="B57" t="s">
        <v>530</v>
      </c>
      <c r="C57" t="s">
        <v>46</v>
      </c>
      <c r="D57" s="17"/>
      <c r="E57" s="17"/>
      <c r="F57" s="17"/>
      <c r="G57" s="17">
        <f>'03 Historical'!$F$65-('03 Historical'!$F$112-'03 Historical'!$F$119)</f>
        <v>4785</v>
      </c>
      <c r="H57" s="17">
        <f>'03 Historical'!$F$65-('03 Historical'!$F$112-'03 Historical'!$F$119)</f>
        <v>4785</v>
      </c>
      <c r="I57" s="17">
        <f>'03 Historical'!$F$65-('03 Historical'!$F$112-'03 Historical'!$F$119)</f>
        <v>4785</v>
      </c>
      <c r="J57" s="17">
        <f>'03 Historical'!$F$65-('03 Historical'!$F$112-'03 Historical'!$F$119)</f>
        <v>4785</v>
      </c>
      <c r="K57" s="17">
        <f>'03 Historical'!$F$65-('03 Historical'!$F$112-'03 Historical'!$F$119)</f>
        <v>4785</v>
      </c>
      <c r="L57" s="17">
        <f>'03 Historical'!$F$65-('03 Historical'!$F$112-'03 Historical'!$F$119)</f>
        <v>4785</v>
      </c>
      <c r="M57" s="17">
        <f>'03 Historical'!$F$65-('03 Historical'!$F$112-'03 Historical'!$F$119)</f>
        <v>4785</v>
      </c>
      <c r="N57" s="17">
        <f>'03 Historical'!$F$65-('03 Historical'!$F$112-'03 Historical'!$F$119)</f>
        <v>4785</v>
      </c>
      <c r="O57" s="17">
        <f>'03 Historical'!$F$65-('03 Historical'!$F$112-'03 Historical'!$F$119)</f>
        <v>4785</v>
      </c>
      <c r="P57" s="17">
        <f>'03 Historical'!$F$65-('03 Historical'!$F$112-'03 Historical'!$F$119)</f>
        <v>4785</v>
      </c>
    </row>
    <row r="58" spans="2:16" x14ac:dyDescent="0.3">
      <c r="B58" s="3" t="s">
        <v>506</v>
      </c>
      <c r="C58" s="3" t="s">
        <v>46</v>
      </c>
      <c r="D58" s="18"/>
      <c r="E58" s="18"/>
      <c r="F58" s="18"/>
      <c r="G58" s="18">
        <f t="shared" ref="G58:P58" si="20">SUM(G49:G57)</f>
        <v>26924.232079840182</v>
      </c>
      <c r="H58" s="18">
        <f t="shared" si="20"/>
        <v>24442.758673029173</v>
      </c>
      <c r="I58" s="18">
        <f t="shared" si="20"/>
        <v>20916.809172272988</v>
      </c>
      <c r="J58" s="18">
        <f t="shared" si="20"/>
        <v>17929.900588970318</v>
      </c>
      <c r="K58" s="18">
        <f t="shared" si="20"/>
        <v>18824.038931883733</v>
      </c>
      <c r="L58" s="18">
        <f t="shared" si="20"/>
        <v>19661.237542580158</v>
      </c>
      <c r="M58" s="18">
        <f t="shared" si="20"/>
        <v>20437.294837425859</v>
      </c>
      <c r="N58" s="18">
        <f t="shared" si="20"/>
        <v>21117.541540100006</v>
      </c>
      <c r="O58" s="18">
        <f t="shared" si="20"/>
        <v>21770.815108429499</v>
      </c>
      <c r="P58" s="18">
        <f t="shared" si="20"/>
        <v>22354.291422651975</v>
      </c>
    </row>
    <row r="59" spans="2:16" x14ac:dyDescent="0.3">
      <c r="B59" t="s">
        <v>507</v>
      </c>
      <c r="C59" t="s">
        <v>46</v>
      </c>
      <c r="D59" s="17"/>
      <c r="E59" s="17"/>
      <c r="F59" s="17"/>
      <c r="G59" s="17">
        <f t="shared" ref="G59:P59" si="21">G70</f>
        <v>29679.185110000006</v>
      </c>
      <c r="H59" s="17">
        <f t="shared" si="21"/>
        <v>33817.138636734657</v>
      </c>
      <c r="I59" s="17">
        <f t="shared" si="21"/>
        <v>40128.383931145785</v>
      </c>
      <c r="J59" s="17">
        <f t="shared" si="21"/>
        <v>47971.118442159306</v>
      </c>
      <c r="K59" s="17">
        <f t="shared" si="21"/>
        <v>57134.198595847382</v>
      </c>
      <c r="L59" s="17">
        <f t="shared" si="21"/>
        <v>67307.091945738706</v>
      </c>
      <c r="M59" s="17">
        <f t="shared" si="21"/>
        <v>78317.109532877963</v>
      </c>
      <c r="N59" s="17">
        <f t="shared" si="21"/>
        <v>89961.239910944307</v>
      </c>
      <c r="O59" s="17">
        <f t="shared" si="21"/>
        <v>102180.97770429631</v>
      </c>
      <c r="P59" s="17">
        <f t="shared" si="21"/>
        <v>114774.73435498869</v>
      </c>
    </row>
    <row r="60" spans="2:16" x14ac:dyDescent="0.3">
      <c r="B60" s="3" t="s">
        <v>100</v>
      </c>
      <c r="C60" s="3" t="s">
        <v>46</v>
      </c>
      <c r="D60" s="18"/>
      <c r="E60" s="18"/>
      <c r="F60" s="18"/>
      <c r="G60" s="18">
        <f t="shared" ref="G60:P60" si="22">G58+G59</f>
        <v>56603.417189840184</v>
      </c>
      <c r="H60" s="18">
        <f t="shared" si="22"/>
        <v>58259.89730976383</v>
      </c>
      <c r="I60" s="18">
        <f t="shared" si="22"/>
        <v>61045.193103418773</v>
      </c>
      <c r="J60" s="18">
        <f t="shared" si="22"/>
        <v>65901.019031129632</v>
      </c>
      <c r="K60" s="18">
        <f t="shared" si="22"/>
        <v>75958.237527731108</v>
      </c>
      <c r="L60" s="18">
        <f t="shared" si="22"/>
        <v>86968.329488318865</v>
      </c>
      <c r="M60" s="18">
        <f t="shared" si="22"/>
        <v>98754.404370303819</v>
      </c>
      <c r="N60" s="18">
        <f t="shared" si="22"/>
        <v>111078.78145104431</v>
      </c>
      <c r="O60" s="18">
        <f t="shared" si="22"/>
        <v>123951.79281272581</v>
      </c>
      <c r="P60" s="18">
        <f t="shared" si="22"/>
        <v>137129.02577764067</v>
      </c>
    </row>
    <row r="61" spans="2:16" x14ac:dyDescent="0.3">
      <c r="B61" s="22" t="s">
        <v>508</v>
      </c>
      <c r="C61" s="22" t="s">
        <v>46</v>
      </c>
      <c r="D61" s="23"/>
      <c r="E61" s="23"/>
      <c r="F61" s="23"/>
      <c r="G61" s="23">
        <f t="shared" ref="G61:P61" si="23">G48-G60</f>
        <v>0</v>
      </c>
      <c r="H61" s="23">
        <f t="shared" si="23"/>
        <v>0</v>
      </c>
      <c r="I61" s="23">
        <f t="shared" si="23"/>
        <v>0</v>
      </c>
      <c r="J61" s="23">
        <f t="shared" si="23"/>
        <v>0</v>
      </c>
      <c r="K61" s="23">
        <f t="shared" si="23"/>
        <v>0</v>
      </c>
      <c r="L61" s="23">
        <f t="shared" si="23"/>
        <v>0</v>
      </c>
      <c r="M61" s="23">
        <f t="shared" si="23"/>
        <v>0</v>
      </c>
      <c r="N61" s="23">
        <f t="shared" si="23"/>
        <v>0</v>
      </c>
      <c r="O61" s="23">
        <f t="shared" si="23"/>
        <v>0</v>
      </c>
      <c r="P61" s="23">
        <f t="shared" si="23"/>
        <v>0</v>
      </c>
    </row>
    <row r="63" spans="2:16" x14ac:dyDescent="0.3">
      <c r="B63" s="5" t="s">
        <v>509</v>
      </c>
      <c r="C63" s="5"/>
      <c r="D63" s="5"/>
      <c r="E63" s="5"/>
      <c r="F63" s="5"/>
      <c r="G63" s="5"/>
      <c r="H63" s="5"/>
      <c r="I63" s="5"/>
      <c r="J63" s="5"/>
      <c r="K63" s="5"/>
      <c r="L63" s="5"/>
      <c r="M63" s="5"/>
      <c r="N63" s="5"/>
      <c r="O63" s="5"/>
      <c r="P63" s="5"/>
    </row>
    <row r="64" spans="2:16" x14ac:dyDescent="0.3">
      <c r="B64" t="s">
        <v>510</v>
      </c>
      <c r="C64" t="s">
        <v>46</v>
      </c>
      <c r="D64" s="17"/>
      <c r="E64" s="17"/>
      <c r="F64" s="17"/>
      <c r="G64" s="17">
        <f t="shared" ref="G64:P64" si="24">F70</f>
        <v>27658</v>
      </c>
      <c r="H64" s="17">
        <f t="shared" si="24"/>
        <v>29679.185110000006</v>
      </c>
      <c r="I64" s="17">
        <f t="shared" si="24"/>
        <v>33817.138636734657</v>
      </c>
      <c r="J64" s="17">
        <f t="shared" si="24"/>
        <v>40128.383931145785</v>
      </c>
      <c r="K64" s="17">
        <f t="shared" si="24"/>
        <v>47971.118442159306</v>
      </c>
      <c r="L64" s="17">
        <f t="shared" si="24"/>
        <v>57134.198595847382</v>
      </c>
      <c r="M64" s="17">
        <f t="shared" si="24"/>
        <v>67307.091945738706</v>
      </c>
      <c r="N64" s="17">
        <f t="shared" si="24"/>
        <v>78317.109532877963</v>
      </c>
      <c r="O64" s="17">
        <f t="shared" si="24"/>
        <v>89961.239910944307</v>
      </c>
      <c r="P64" s="17">
        <f t="shared" si="24"/>
        <v>102180.97770429631</v>
      </c>
    </row>
    <row r="65" spans="2:16" x14ac:dyDescent="0.3">
      <c r="B65" t="s">
        <v>511</v>
      </c>
      <c r="C65" t="s">
        <v>46</v>
      </c>
      <c r="D65" s="17"/>
      <c r="E65" s="17"/>
      <c r="F65" s="17"/>
      <c r="G65" s="17">
        <f t="shared" ref="G65:P65" si="25">G16</f>
        <v>7646.8306100000036</v>
      </c>
      <c r="H65" s="17">
        <f t="shared" si="25"/>
        <v>9705.74752113465</v>
      </c>
      <c r="I65" s="17">
        <f t="shared" si="25"/>
        <v>11813.998065211128</v>
      </c>
      <c r="J65" s="17">
        <f t="shared" si="25"/>
        <v>13362.638588033118</v>
      </c>
      <c r="K65" s="17">
        <f t="shared" si="25"/>
        <v>14748.013388111562</v>
      </c>
      <c r="L65" s="17">
        <f t="shared" si="25"/>
        <v>15800.741895254716</v>
      </c>
      <c r="M65" s="17">
        <f t="shared" si="25"/>
        <v>16720.091735972321</v>
      </c>
      <c r="N65" s="17">
        <f t="shared" si="25"/>
        <v>17486.076316270162</v>
      </c>
      <c r="O65" s="17">
        <f t="shared" si="25"/>
        <v>18221.688084896767</v>
      </c>
      <c r="P65" s="17">
        <f t="shared" si="25"/>
        <v>18878.70539627289</v>
      </c>
    </row>
    <row r="66" spans="2:16" x14ac:dyDescent="0.3">
      <c r="B66" t="s">
        <v>512</v>
      </c>
      <c r="C66" t="s">
        <v>46</v>
      </c>
      <c r="D66" s="17"/>
      <c r="E66" s="17"/>
      <c r="F66" s="17"/>
      <c r="G66" s="17">
        <f t="shared" ref="G66:P66" si="26">G75</f>
        <v>3369.6044999999999</v>
      </c>
      <c r="H66" s="17">
        <f t="shared" si="26"/>
        <v>3627.2185055999998</v>
      </c>
      <c r="I66" s="17">
        <f t="shared" si="26"/>
        <v>3902.0103542000002</v>
      </c>
      <c r="J66" s="17">
        <f t="shared" si="26"/>
        <v>4105.0972042304002</v>
      </c>
      <c r="K66" s="17">
        <f t="shared" si="26"/>
        <v>4271.3181108890167</v>
      </c>
      <c r="L66" s="17">
        <f t="shared" si="26"/>
        <v>4471.2153672147342</v>
      </c>
      <c r="M66" s="17">
        <f t="shared" si="26"/>
        <v>4643.9429593739615</v>
      </c>
      <c r="N66" s="17">
        <f t="shared" si="26"/>
        <v>4779.7720254135684</v>
      </c>
      <c r="O66" s="17">
        <f t="shared" si="26"/>
        <v>4900.8535702534837</v>
      </c>
      <c r="P66" s="17">
        <f t="shared" si="26"/>
        <v>4912.995309307652</v>
      </c>
    </row>
    <row r="67" spans="2:16" x14ac:dyDescent="0.3">
      <c r="B67" t="s">
        <v>513</v>
      </c>
      <c r="C67" t="s">
        <v>46</v>
      </c>
      <c r="D67" s="17"/>
      <c r="E67" s="17"/>
      <c r="F67" s="17"/>
      <c r="G67" s="17">
        <f t="shared" ref="G67:P67" si="27">G92</f>
        <v>3995.25</v>
      </c>
      <c r="H67" s="17">
        <f t="shared" si="27"/>
        <v>4195.0124999999998</v>
      </c>
      <c r="I67" s="17">
        <f t="shared" si="27"/>
        <v>4404.7631250000004</v>
      </c>
      <c r="J67" s="17">
        <f t="shared" si="27"/>
        <v>4625.0012812500008</v>
      </c>
      <c r="K67" s="17">
        <f t="shared" si="27"/>
        <v>4856.2513453125011</v>
      </c>
      <c r="L67" s="17">
        <f t="shared" si="27"/>
        <v>5099.0639125781263</v>
      </c>
      <c r="M67" s="17">
        <f t="shared" si="27"/>
        <v>5354.0171082070328</v>
      </c>
      <c r="N67" s="17">
        <f t="shared" si="27"/>
        <v>5621.7179636173851</v>
      </c>
      <c r="O67" s="17">
        <f t="shared" si="27"/>
        <v>5902.8038617982547</v>
      </c>
      <c r="P67" s="17">
        <f t="shared" si="27"/>
        <v>6197.9440548881676</v>
      </c>
    </row>
    <row r="68" spans="2:16" x14ac:dyDescent="0.3">
      <c r="B68" t="s">
        <v>482</v>
      </c>
      <c r="C68" t="s">
        <v>46</v>
      </c>
      <c r="D68" s="17"/>
      <c r="E68" s="17"/>
      <c r="F68" s="17"/>
      <c r="G68" s="17">
        <f t="shared" ref="G68:P68" si="28">G93</f>
        <v>0</v>
      </c>
      <c r="H68" s="17">
        <f t="shared" si="28"/>
        <v>0</v>
      </c>
      <c r="I68" s="17">
        <f t="shared" si="28"/>
        <v>0</v>
      </c>
      <c r="J68" s="17">
        <f t="shared" si="28"/>
        <v>0</v>
      </c>
      <c r="K68" s="17">
        <f t="shared" si="28"/>
        <v>0</v>
      </c>
      <c r="L68" s="17">
        <f t="shared" si="28"/>
        <v>0</v>
      </c>
      <c r="M68" s="17">
        <f t="shared" si="28"/>
        <v>0</v>
      </c>
      <c r="N68" s="17">
        <f t="shared" si="28"/>
        <v>0</v>
      </c>
      <c r="O68" s="17">
        <f t="shared" si="28"/>
        <v>0</v>
      </c>
      <c r="P68" s="17">
        <f t="shared" si="28"/>
        <v>0</v>
      </c>
    </row>
    <row r="69" spans="2:16" x14ac:dyDescent="0.3">
      <c r="B69" t="s">
        <v>514</v>
      </c>
      <c r="C69" t="s">
        <v>46</v>
      </c>
      <c r="D69" s="17"/>
      <c r="E69" s="17"/>
      <c r="F69" s="17"/>
      <c r="G69" s="17">
        <f>'02 Assumptions'!$C$100</f>
        <v>5000</v>
      </c>
      <c r="H69" s="17">
        <f>'02 Assumptions'!$C$100</f>
        <v>5000</v>
      </c>
      <c r="I69" s="17">
        <f>'02 Assumptions'!$C$100</f>
        <v>5000</v>
      </c>
      <c r="J69" s="17">
        <f>'02 Assumptions'!$C$100</f>
        <v>5000</v>
      </c>
      <c r="K69" s="17">
        <f>'02 Assumptions'!$C$100</f>
        <v>5000</v>
      </c>
      <c r="L69" s="17">
        <f>'02 Assumptions'!$C$100</f>
        <v>5000</v>
      </c>
      <c r="M69" s="17">
        <f>'02 Assumptions'!$C$100</f>
        <v>5000</v>
      </c>
      <c r="N69" s="17">
        <f>'02 Assumptions'!$C$100</f>
        <v>5000</v>
      </c>
      <c r="O69" s="17">
        <f>'02 Assumptions'!$C$100</f>
        <v>5000</v>
      </c>
      <c r="P69" s="17">
        <f>'02 Assumptions'!$C$100</f>
        <v>5000</v>
      </c>
    </row>
    <row r="70" spans="2:16" x14ac:dyDescent="0.3">
      <c r="B70" s="3" t="s">
        <v>515</v>
      </c>
      <c r="C70" s="3" t="s">
        <v>46</v>
      </c>
      <c r="D70" s="18"/>
      <c r="E70" s="18"/>
      <c r="F70" s="18">
        <f>'03 Historical'!$F$73</f>
        <v>27658</v>
      </c>
      <c r="G70" s="18">
        <f t="shared" ref="G70:P70" si="29">G64+G65+G66-G67-G68-G69</f>
        <v>29679.185110000006</v>
      </c>
      <c r="H70" s="18">
        <f t="shared" si="29"/>
        <v>33817.138636734657</v>
      </c>
      <c r="I70" s="18">
        <f t="shared" si="29"/>
        <v>40128.383931145785</v>
      </c>
      <c r="J70" s="18">
        <f t="shared" si="29"/>
        <v>47971.118442159306</v>
      </c>
      <c r="K70" s="18">
        <f t="shared" si="29"/>
        <v>57134.198595847382</v>
      </c>
      <c r="L70" s="18">
        <f t="shared" si="29"/>
        <v>67307.091945738706</v>
      </c>
      <c r="M70" s="18">
        <f t="shared" si="29"/>
        <v>78317.109532877963</v>
      </c>
      <c r="N70" s="18">
        <f t="shared" si="29"/>
        <v>89961.239910944307</v>
      </c>
      <c r="O70" s="18">
        <f t="shared" si="29"/>
        <v>102180.97770429631</v>
      </c>
      <c r="P70" s="18">
        <f t="shared" si="29"/>
        <v>114774.73435498869</v>
      </c>
    </row>
    <row r="72" spans="2:16" x14ac:dyDescent="0.3">
      <c r="B72" s="5" t="s">
        <v>102</v>
      </c>
      <c r="C72" s="5"/>
      <c r="D72" s="5"/>
      <c r="E72" s="5"/>
      <c r="F72" s="5"/>
      <c r="G72" s="5"/>
      <c r="H72" s="5"/>
      <c r="I72" s="5"/>
      <c r="J72" s="5"/>
      <c r="K72" s="5"/>
      <c r="L72" s="5"/>
      <c r="M72" s="5"/>
      <c r="N72" s="5"/>
      <c r="O72" s="5"/>
      <c r="P72" s="5"/>
    </row>
    <row r="73" spans="2:16" x14ac:dyDescent="0.3">
      <c r="B73" t="s">
        <v>103</v>
      </c>
      <c r="C73" t="s">
        <v>46</v>
      </c>
      <c r="D73" s="17"/>
      <c r="E73" s="17"/>
      <c r="F73" s="17"/>
      <c r="G73" s="17">
        <f t="shared" ref="G73:P73" si="30">G16</f>
        <v>7646.8306100000036</v>
      </c>
      <c r="H73" s="17">
        <f t="shared" si="30"/>
        <v>9705.74752113465</v>
      </c>
      <c r="I73" s="17">
        <f t="shared" si="30"/>
        <v>11813.998065211128</v>
      </c>
      <c r="J73" s="17">
        <f t="shared" si="30"/>
        <v>13362.638588033118</v>
      </c>
      <c r="K73" s="17">
        <f t="shared" si="30"/>
        <v>14748.013388111562</v>
      </c>
      <c r="L73" s="17">
        <f t="shared" si="30"/>
        <v>15800.741895254716</v>
      </c>
      <c r="M73" s="17">
        <f t="shared" si="30"/>
        <v>16720.091735972321</v>
      </c>
      <c r="N73" s="17">
        <f t="shared" si="30"/>
        <v>17486.076316270162</v>
      </c>
      <c r="O73" s="17">
        <f t="shared" si="30"/>
        <v>18221.688084896767</v>
      </c>
      <c r="P73" s="17">
        <f t="shared" si="30"/>
        <v>18878.70539627289</v>
      </c>
    </row>
    <row r="74" spans="2:16" x14ac:dyDescent="0.3">
      <c r="B74" t="s">
        <v>377</v>
      </c>
      <c r="C74" t="s">
        <v>46</v>
      </c>
      <c r="D74" s="17"/>
      <c r="E74" s="17"/>
      <c r="F74" s="17"/>
      <c r="G74" s="17">
        <f>'04 Operating Model'!G38</f>
        <v>1813.9736333333333</v>
      </c>
      <c r="H74" s="17">
        <f>'04 Operating Model'!H38</f>
        <v>1863.7714950814816</v>
      </c>
      <c r="I74" s="17">
        <f>'04 Operating Model'!I38</f>
        <v>1880.6697733344854</v>
      </c>
      <c r="J74" s="17">
        <f>'04 Operating Model'!J38</f>
        <v>1866.7803201517111</v>
      </c>
      <c r="K74" s="17">
        <f>'04 Operating Model'!K38</f>
        <v>1845.560307696473</v>
      </c>
      <c r="L74" s="17">
        <f>'04 Operating Model'!L38</f>
        <v>1871.5631386543344</v>
      </c>
      <c r="M74" s="17">
        <f>'04 Operating Model'!M38</f>
        <v>1849.0475660642555</v>
      </c>
      <c r="N74" s="17">
        <f>'04 Operating Model'!N38</f>
        <v>1932.9181268355487</v>
      </c>
      <c r="O74" s="17">
        <f>'04 Operating Model'!O38</f>
        <v>2019.7655071680576</v>
      </c>
      <c r="P74" s="17">
        <f>'04 Operating Model'!P38</f>
        <v>2107.3596627367001</v>
      </c>
    </row>
    <row r="75" spans="2:16" x14ac:dyDescent="0.3">
      <c r="B75" t="s">
        <v>516</v>
      </c>
      <c r="C75" t="s">
        <v>46</v>
      </c>
      <c r="D75" s="17"/>
      <c r="E75" s="17"/>
      <c r="F75" s="17"/>
      <c r="G75" s="17">
        <f>G7*'02 Assumptions'!G95</f>
        <v>3369.6044999999999</v>
      </c>
      <c r="H75" s="17">
        <f>H7*'02 Assumptions'!H95</f>
        <v>3627.2185055999998</v>
      </c>
      <c r="I75" s="17">
        <f>I7*'02 Assumptions'!I95</f>
        <v>3902.0103542000002</v>
      </c>
      <c r="J75" s="17">
        <f>J7*'02 Assumptions'!J95</f>
        <v>4105.0972042304002</v>
      </c>
      <c r="K75" s="17">
        <f>K7*'02 Assumptions'!K95</f>
        <v>4271.3181108890167</v>
      </c>
      <c r="L75" s="17">
        <f>L7*'02 Assumptions'!L95</f>
        <v>4471.2153672147342</v>
      </c>
      <c r="M75" s="17">
        <f>M7*'02 Assumptions'!M95</f>
        <v>4643.9429593739615</v>
      </c>
      <c r="N75" s="17">
        <f>N7*'02 Assumptions'!N95</f>
        <v>4779.7720254135684</v>
      </c>
      <c r="O75" s="17">
        <f>O7*'02 Assumptions'!O95</f>
        <v>4900.8535702534837</v>
      </c>
      <c r="P75" s="17">
        <f>P7*'02 Assumptions'!P95</f>
        <v>4912.995309307652</v>
      </c>
    </row>
    <row r="76" spans="2:16" x14ac:dyDescent="0.3">
      <c r="B76" t="s">
        <v>379</v>
      </c>
      <c r="C76" t="s">
        <v>46</v>
      </c>
      <c r="D76" s="17"/>
      <c r="E76" s="17"/>
      <c r="F76" s="17"/>
      <c r="G76" s="17">
        <f>-'04 Operating Model'!G51</f>
        <v>1053.630076986301</v>
      </c>
      <c r="H76" s="17">
        <f>-'04 Operating Model'!H51</f>
        <v>-150.07214347072841</v>
      </c>
      <c r="I76" s="17">
        <f>-'04 Operating Model'!I51</f>
        <v>-586.11305292674388</v>
      </c>
      <c r="J76" s="17">
        <f>-'04 Operating Model'!J51</f>
        <v>-485.35934679878574</v>
      </c>
      <c r="K76" s="17">
        <f>-'04 Operating Model'!K51</f>
        <v>-428.08895594038586</v>
      </c>
      <c r="L76" s="17">
        <f>-'04 Operating Model'!L51</f>
        <v>-400.82777123728101</v>
      </c>
      <c r="M76" s="17">
        <f>-'04 Operating Model'!M51</f>
        <v>-371.55498333504875</v>
      </c>
      <c r="N76" s="17">
        <f>-'04 Operating Model'!N51</f>
        <v>-325.68349521933578</v>
      </c>
      <c r="O76" s="17">
        <f>-'04 Operating Model'!O51</f>
        <v>-312.76949705388597</v>
      </c>
      <c r="P76" s="17">
        <f>-'04 Operating Model'!P51</f>
        <v>-279.35248292516553</v>
      </c>
    </row>
    <row r="77" spans="2:16" x14ac:dyDescent="0.3">
      <c r="B77" s="3" t="s">
        <v>517</v>
      </c>
      <c r="C77" s="3" t="s">
        <v>46</v>
      </c>
      <c r="D77" s="18"/>
      <c r="E77" s="18"/>
      <c r="F77" s="18"/>
      <c r="G77" s="18">
        <f t="shared" ref="G77:P77" si="31">SUM(G73:G76)</f>
        <v>13884.038820319638</v>
      </c>
      <c r="H77" s="18">
        <f t="shared" si="31"/>
        <v>15046.665378345402</v>
      </c>
      <c r="I77" s="18">
        <f t="shared" si="31"/>
        <v>17010.565139818871</v>
      </c>
      <c r="J77" s="18">
        <f t="shared" si="31"/>
        <v>18849.156765616444</v>
      </c>
      <c r="K77" s="18">
        <f t="shared" si="31"/>
        <v>20436.802850756663</v>
      </c>
      <c r="L77" s="18">
        <f t="shared" si="31"/>
        <v>21742.692629886507</v>
      </c>
      <c r="M77" s="18">
        <f t="shared" si="31"/>
        <v>22841.527278075489</v>
      </c>
      <c r="N77" s="18">
        <f t="shared" si="31"/>
        <v>23873.082973299945</v>
      </c>
      <c r="O77" s="18">
        <f t="shared" si="31"/>
        <v>24829.537665264419</v>
      </c>
      <c r="P77" s="18">
        <f t="shared" si="31"/>
        <v>25619.707885392076</v>
      </c>
    </row>
    <row r="78" spans="2:16" x14ac:dyDescent="0.3">
      <c r="B78" t="s">
        <v>378</v>
      </c>
      <c r="C78" t="s">
        <v>46</v>
      </c>
      <c r="D78" s="17"/>
      <c r="E78" s="17"/>
      <c r="F78" s="17"/>
      <c r="G78" s="17">
        <f>-'04 Operating Model'!G34</f>
        <v>-2021.7626999999998</v>
      </c>
      <c r="H78" s="17">
        <f>-'04 Operating Model'!H34</f>
        <v>-1914.3653224</v>
      </c>
      <c r="I78" s="17">
        <f>-'04 Operating Model'!I34</f>
        <v>-1895.26217204</v>
      </c>
      <c r="J78" s="17">
        <f>-'04 Operating Model'!J34</f>
        <v>-1811.0722959839998</v>
      </c>
      <c r="K78" s="17">
        <f>-'04 Operating Model'!K34</f>
        <v>-1941.5082322222802</v>
      </c>
      <c r="L78" s="17">
        <f>-'04 Operating Model'!L34</f>
        <v>-2063.6378617914161</v>
      </c>
      <c r="M78" s="17">
        <f>-'04 Operating Model'!M34</f>
        <v>-2176.8482622065444</v>
      </c>
      <c r="N78" s="17">
        <f>-'04 Operating Model'!N34</f>
        <v>-2276.081916863604</v>
      </c>
      <c r="O78" s="17">
        <f>-'04 Operating Model'!O34</f>
        <v>-2371.3807598000726</v>
      </c>
      <c r="P78" s="17">
        <f>-'04 Operating Model'!P34</f>
        <v>-2456.497654653826</v>
      </c>
    </row>
    <row r="79" spans="2:16" x14ac:dyDescent="0.3">
      <c r="B79" s="3" t="s">
        <v>518</v>
      </c>
      <c r="C79" s="3" t="s">
        <v>46</v>
      </c>
      <c r="D79" s="18"/>
      <c r="E79" s="18"/>
      <c r="F79" s="18"/>
      <c r="G79" s="18">
        <f t="shared" ref="G79:P79" si="32">G78</f>
        <v>-2021.7626999999998</v>
      </c>
      <c r="H79" s="18">
        <f t="shared" si="32"/>
        <v>-1914.3653224</v>
      </c>
      <c r="I79" s="18">
        <f t="shared" si="32"/>
        <v>-1895.26217204</v>
      </c>
      <c r="J79" s="18">
        <f t="shared" si="32"/>
        <v>-1811.0722959839998</v>
      </c>
      <c r="K79" s="18">
        <f t="shared" si="32"/>
        <v>-1941.5082322222802</v>
      </c>
      <c r="L79" s="18">
        <f t="shared" si="32"/>
        <v>-2063.6378617914161</v>
      </c>
      <c r="M79" s="18">
        <f t="shared" si="32"/>
        <v>-2176.8482622065444</v>
      </c>
      <c r="N79" s="18">
        <f t="shared" si="32"/>
        <v>-2276.081916863604</v>
      </c>
      <c r="O79" s="18">
        <f t="shared" si="32"/>
        <v>-2371.3807598000726</v>
      </c>
      <c r="P79" s="18">
        <f t="shared" si="32"/>
        <v>-2456.497654653826</v>
      </c>
    </row>
    <row r="80" spans="2:16" x14ac:dyDescent="0.3">
      <c r="B80" t="s">
        <v>519</v>
      </c>
      <c r="C80" t="s">
        <v>46</v>
      </c>
      <c r="D80" s="17"/>
      <c r="E80" s="17"/>
      <c r="F80" s="17"/>
      <c r="G80" s="17">
        <f t="shared" ref="G80:P80" si="33">G22</f>
        <v>0</v>
      </c>
      <c r="H80" s="17">
        <f t="shared" si="33"/>
        <v>0</v>
      </c>
      <c r="I80" s="17">
        <f t="shared" si="33"/>
        <v>0</v>
      </c>
      <c r="J80" s="17">
        <f t="shared" si="33"/>
        <v>0</v>
      </c>
      <c r="K80" s="17">
        <f t="shared" si="33"/>
        <v>0</v>
      </c>
      <c r="L80" s="17">
        <f t="shared" si="33"/>
        <v>0</v>
      </c>
      <c r="M80" s="17">
        <f t="shared" si="33"/>
        <v>0</v>
      </c>
      <c r="N80" s="17">
        <f t="shared" si="33"/>
        <v>0</v>
      </c>
      <c r="O80" s="17">
        <f t="shared" si="33"/>
        <v>0</v>
      </c>
      <c r="P80" s="17">
        <f t="shared" si="33"/>
        <v>0</v>
      </c>
    </row>
    <row r="81" spans="2:16" x14ac:dyDescent="0.3">
      <c r="B81" t="s">
        <v>487</v>
      </c>
      <c r="C81" t="s">
        <v>46</v>
      </c>
      <c r="D81" s="17"/>
      <c r="E81" s="17"/>
      <c r="F81" s="17"/>
      <c r="G81" s="17">
        <f t="shared" ref="G81:P81" si="34">-G23</f>
        <v>-3250.7324601598193</v>
      </c>
      <c r="H81" s="17">
        <f t="shared" si="34"/>
        <v>-3539.5102600526097</v>
      </c>
      <c r="I81" s="17">
        <f t="shared" si="34"/>
        <v>-4571.3753488157399</v>
      </c>
      <c r="J81" s="17">
        <f t="shared" si="34"/>
        <v>-3908.381930971831</v>
      </c>
      <c r="K81" s="17">
        <f t="shared" si="34"/>
        <v>0</v>
      </c>
      <c r="L81" s="17">
        <f t="shared" si="34"/>
        <v>0</v>
      </c>
      <c r="M81" s="17">
        <f t="shared" si="34"/>
        <v>0</v>
      </c>
      <c r="N81" s="17">
        <f t="shared" si="34"/>
        <v>0</v>
      </c>
      <c r="O81" s="17">
        <f t="shared" si="34"/>
        <v>0</v>
      </c>
      <c r="P81" s="17">
        <f t="shared" si="34"/>
        <v>0</v>
      </c>
    </row>
    <row r="82" spans="2:16" x14ac:dyDescent="0.3">
      <c r="B82" t="s">
        <v>513</v>
      </c>
      <c r="C82" t="s">
        <v>46</v>
      </c>
      <c r="D82" s="17"/>
      <c r="E82" s="17"/>
      <c r="F82" s="17"/>
      <c r="G82" s="17">
        <f t="shared" ref="G82:P82" si="35">G92</f>
        <v>3995.25</v>
      </c>
      <c r="H82" s="17">
        <f t="shared" si="35"/>
        <v>4195.0124999999998</v>
      </c>
      <c r="I82" s="17">
        <f t="shared" si="35"/>
        <v>4404.7631250000004</v>
      </c>
      <c r="J82" s="17">
        <f t="shared" si="35"/>
        <v>4625.0012812500008</v>
      </c>
      <c r="K82" s="17">
        <f t="shared" si="35"/>
        <v>4856.2513453125011</v>
      </c>
      <c r="L82" s="17">
        <f t="shared" si="35"/>
        <v>5099.0639125781263</v>
      </c>
      <c r="M82" s="17">
        <f t="shared" si="35"/>
        <v>5354.0171082070328</v>
      </c>
      <c r="N82" s="17">
        <f t="shared" si="35"/>
        <v>5621.7179636173851</v>
      </c>
      <c r="O82" s="17">
        <f t="shared" si="35"/>
        <v>5902.8038617982547</v>
      </c>
      <c r="P82" s="17">
        <f t="shared" si="35"/>
        <v>6197.9440548881676</v>
      </c>
    </row>
    <row r="83" spans="2:16" x14ac:dyDescent="0.3">
      <c r="B83" t="s">
        <v>482</v>
      </c>
      <c r="C83" t="s">
        <v>46</v>
      </c>
      <c r="D83" s="17"/>
      <c r="E83" s="17"/>
      <c r="F83" s="17"/>
      <c r="G83" s="17">
        <f t="shared" ref="G83:P83" si="36">G93</f>
        <v>0</v>
      </c>
      <c r="H83" s="17">
        <f t="shared" si="36"/>
        <v>0</v>
      </c>
      <c r="I83" s="17">
        <f t="shared" si="36"/>
        <v>0</v>
      </c>
      <c r="J83" s="17">
        <f t="shared" si="36"/>
        <v>0</v>
      </c>
      <c r="K83" s="17">
        <f t="shared" si="36"/>
        <v>0</v>
      </c>
      <c r="L83" s="17">
        <f t="shared" si="36"/>
        <v>0</v>
      </c>
      <c r="M83" s="17">
        <f t="shared" si="36"/>
        <v>0</v>
      </c>
      <c r="N83" s="17">
        <f t="shared" si="36"/>
        <v>0</v>
      </c>
      <c r="O83" s="17">
        <f t="shared" si="36"/>
        <v>0</v>
      </c>
      <c r="P83" s="17">
        <f t="shared" si="36"/>
        <v>0</v>
      </c>
    </row>
    <row r="84" spans="2:16" x14ac:dyDescent="0.3">
      <c r="B84" t="s">
        <v>520</v>
      </c>
      <c r="C84" t="s">
        <v>46</v>
      </c>
      <c r="D84" s="17"/>
      <c r="E84" s="17"/>
      <c r="F84" s="17"/>
      <c r="G84" s="17">
        <f>'02 Assumptions'!$C$100</f>
        <v>5000</v>
      </c>
      <c r="H84" s="17">
        <f>'02 Assumptions'!$C$100</f>
        <v>5000</v>
      </c>
      <c r="I84" s="17">
        <f>'02 Assumptions'!$C$100</f>
        <v>5000</v>
      </c>
      <c r="J84" s="17">
        <f>'02 Assumptions'!$C$100</f>
        <v>5000</v>
      </c>
      <c r="K84" s="17">
        <f>'02 Assumptions'!$C$100</f>
        <v>5000</v>
      </c>
      <c r="L84" s="17">
        <f>'02 Assumptions'!$C$100</f>
        <v>5000</v>
      </c>
      <c r="M84" s="17">
        <f>'02 Assumptions'!$C$100</f>
        <v>5000</v>
      </c>
      <c r="N84" s="17">
        <f>'02 Assumptions'!$C$100</f>
        <v>5000</v>
      </c>
      <c r="O84" s="17">
        <f>'02 Assumptions'!$C$100</f>
        <v>5000</v>
      </c>
      <c r="P84" s="17">
        <f>'02 Assumptions'!$C$100</f>
        <v>5000</v>
      </c>
    </row>
    <row r="85" spans="2:16" x14ac:dyDescent="0.3">
      <c r="B85" s="3" t="s">
        <v>521</v>
      </c>
      <c r="C85" s="3" t="s">
        <v>46</v>
      </c>
      <c r="D85" s="18"/>
      <c r="E85" s="18"/>
      <c r="F85" s="18"/>
      <c r="G85" s="18">
        <f t="shared" ref="G85:P85" si="37">G80+G81-G82-G83-G84</f>
        <v>-12245.982460159819</v>
      </c>
      <c r="H85" s="18">
        <f t="shared" si="37"/>
        <v>-12734.522760052609</v>
      </c>
      <c r="I85" s="18">
        <f t="shared" si="37"/>
        <v>-13976.138473815739</v>
      </c>
      <c r="J85" s="18">
        <f t="shared" si="37"/>
        <v>-13533.383212221832</v>
      </c>
      <c r="K85" s="18">
        <f t="shared" si="37"/>
        <v>-9856.2513453125011</v>
      </c>
      <c r="L85" s="18">
        <f t="shared" si="37"/>
        <v>-10099.063912578127</v>
      </c>
      <c r="M85" s="18">
        <f t="shared" si="37"/>
        <v>-10354.017108207034</v>
      </c>
      <c r="N85" s="18">
        <f t="shared" si="37"/>
        <v>-10621.717963617386</v>
      </c>
      <c r="O85" s="18">
        <f t="shared" si="37"/>
        <v>-10902.803861798255</v>
      </c>
      <c r="P85" s="18">
        <f t="shared" si="37"/>
        <v>-11197.944054888168</v>
      </c>
    </row>
    <row r="86" spans="2:16" x14ac:dyDescent="0.3">
      <c r="B86" s="3" t="s">
        <v>522</v>
      </c>
      <c r="C86" s="3" t="s">
        <v>46</v>
      </c>
      <c r="D86" s="18"/>
      <c r="E86" s="18"/>
      <c r="F86" s="18"/>
      <c r="G86" s="18">
        <f t="shared" ref="G86:P86" si="38">G77+G79+G85</f>
        <v>-383.70633984018059</v>
      </c>
      <c r="H86" s="18">
        <f t="shared" si="38"/>
        <v>397.77729589279261</v>
      </c>
      <c r="I86" s="18">
        <f t="shared" si="38"/>
        <v>1139.1644939631315</v>
      </c>
      <c r="J86" s="18">
        <f t="shared" si="38"/>
        <v>3504.7012574106138</v>
      </c>
      <c r="K86" s="18">
        <f t="shared" si="38"/>
        <v>8639.0432732218815</v>
      </c>
      <c r="L86" s="18">
        <f t="shared" si="38"/>
        <v>9579.9908555169641</v>
      </c>
      <c r="M86" s="18">
        <f t="shared" si="38"/>
        <v>10310.66190766191</v>
      </c>
      <c r="N86" s="18">
        <f t="shared" si="38"/>
        <v>10975.283092818954</v>
      </c>
      <c r="O86" s="18">
        <f t="shared" si="38"/>
        <v>11555.353043666093</v>
      </c>
      <c r="P86" s="18">
        <f t="shared" si="38"/>
        <v>11965.26617585008</v>
      </c>
    </row>
    <row r="87" spans="2:16" x14ac:dyDescent="0.3">
      <c r="B87" t="s">
        <v>492</v>
      </c>
      <c r="C87" t="s">
        <v>46</v>
      </c>
      <c r="D87" s="17"/>
      <c r="E87" s="17"/>
      <c r="F87" s="17"/>
      <c r="G87" s="17">
        <f t="shared" ref="G87:P87" si="39">G29</f>
        <v>4533</v>
      </c>
      <c r="H87" s="17">
        <f t="shared" si="39"/>
        <v>4149.2936601598194</v>
      </c>
      <c r="I87" s="17">
        <f t="shared" si="39"/>
        <v>4547.0709560526102</v>
      </c>
      <c r="J87" s="17">
        <f t="shared" si="39"/>
        <v>5686.2354500157398</v>
      </c>
      <c r="K87" s="17">
        <f t="shared" si="39"/>
        <v>9190.9367074263573</v>
      </c>
      <c r="L87" s="17">
        <f t="shared" si="39"/>
        <v>17829.979980648241</v>
      </c>
      <c r="M87" s="17">
        <f t="shared" si="39"/>
        <v>27409.970836165205</v>
      </c>
      <c r="N87" s="17">
        <f t="shared" si="39"/>
        <v>37720.632743827118</v>
      </c>
      <c r="O87" s="17">
        <f t="shared" si="39"/>
        <v>48695.915836646083</v>
      </c>
      <c r="P87" s="17">
        <f t="shared" si="39"/>
        <v>60251.268880312171</v>
      </c>
    </row>
    <row r="88" spans="2:16" x14ac:dyDescent="0.3">
      <c r="B88" s="3" t="s">
        <v>523</v>
      </c>
      <c r="C88" s="3" t="s">
        <v>46</v>
      </c>
      <c r="D88" s="18"/>
      <c r="E88" s="18"/>
      <c r="F88" s="18"/>
      <c r="G88" s="18">
        <f t="shared" ref="G88:P88" si="40">G86+G87</f>
        <v>4149.2936601598194</v>
      </c>
      <c r="H88" s="18">
        <f t="shared" si="40"/>
        <v>4547.070956052612</v>
      </c>
      <c r="I88" s="18">
        <f t="shared" si="40"/>
        <v>5686.2354500157417</v>
      </c>
      <c r="J88" s="18">
        <f t="shared" si="40"/>
        <v>9190.9367074263537</v>
      </c>
      <c r="K88" s="18">
        <f t="shared" si="40"/>
        <v>17829.979980648241</v>
      </c>
      <c r="L88" s="18">
        <f t="shared" si="40"/>
        <v>27409.970836165205</v>
      </c>
      <c r="M88" s="18">
        <f t="shared" si="40"/>
        <v>37720.632743827111</v>
      </c>
      <c r="N88" s="18">
        <f t="shared" si="40"/>
        <v>48695.915836646076</v>
      </c>
      <c r="O88" s="18">
        <f t="shared" si="40"/>
        <v>60251.268880312178</v>
      </c>
      <c r="P88" s="18">
        <f t="shared" si="40"/>
        <v>72216.535056162247</v>
      </c>
    </row>
    <row r="89" spans="2:16" x14ac:dyDescent="0.3">
      <c r="B89" s="22" t="s">
        <v>524</v>
      </c>
      <c r="C89" s="22" t="s">
        <v>46</v>
      </c>
      <c r="D89" s="23"/>
      <c r="E89" s="23"/>
      <c r="F89" s="23"/>
      <c r="G89" s="23">
        <f t="shared" ref="G89:P89" si="41">G88-G38</f>
        <v>0</v>
      </c>
      <c r="H89" s="23">
        <f t="shared" si="41"/>
        <v>0</v>
      </c>
      <c r="I89" s="23">
        <f t="shared" si="41"/>
        <v>0</v>
      </c>
      <c r="J89" s="23">
        <f t="shared" si="41"/>
        <v>0</v>
      </c>
      <c r="K89" s="23">
        <f t="shared" si="41"/>
        <v>0</v>
      </c>
      <c r="L89" s="23">
        <f t="shared" si="41"/>
        <v>0</v>
      </c>
      <c r="M89" s="23">
        <f t="shared" si="41"/>
        <v>0</v>
      </c>
      <c r="N89" s="23">
        <f t="shared" si="41"/>
        <v>0</v>
      </c>
      <c r="O89" s="23">
        <f t="shared" si="41"/>
        <v>0</v>
      </c>
      <c r="P89" s="23">
        <f t="shared" si="41"/>
        <v>0</v>
      </c>
    </row>
    <row r="91" spans="2:16" x14ac:dyDescent="0.3">
      <c r="B91" s="5" t="s">
        <v>525</v>
      </c>
      <c r="C91" s="5"/>
      <c r="D91" s="5"/>
      <c r="E91" s="5"/>
      <c r="F91" s="5"/>
      <c r="G91" s="5"/>
      <c r="H91" s="5"/>
      <c r="I91" s="5"/>
      <c r="J91" s="5"/>
      <c r="K91" s="5"/>
      <c r="L91" s="5"/>
      <c r="M91" s="5"/>
      <c r="N91" s="5"/>
      <c r="O91" s="5"/>
      <c r="P91" s="5"/>
    </row>
    <row r="92" spans="2:16" x14ac:dyDescent="0.3">
      <c r="B92" t="s">
        <v>526</v>
      </c>
      <c r="C92" t="s">
        <v>46</v>
      </c>
      <c r="D92" s="17"/>
      <c r="E92" s="17"/>
      <c r="F92" s="17">
        <f>-'03 Historical'!$F$97</f>
        <v>3805</v>
      </c>
      <c r="G92" s="17">
        <f>F92*(1+'02 Assumptions'!$C$96)</f>
        <v>3995.25</v>
      </c>
      <c r="H92" s="17">
        <f>G92*(1+'02 Assumptions'!$C$96)</f>
        <v>4195.0124999999998</v>
      </c>
      <c r="I92" s="17">
        <f>H92*(1+'02 Assumptions'!$C$96)</f>
        <v>4404.7631250000004</v>
      </c>
      <c r="J92" s="17">
        <f>I92*(1+'02 Assumptions'!$C$96)</f>
        <v>4625.0012812500008</v>
      </c>
      <c r="K92" s="17">
        <f>J92*(1+'02 Assumptions'!$C$96)</f>
        <v>4856.2513453125011</v>
      </c>
      <c r="L92" s="17">
        <f>K92*(1+'02 Assumptions'!$C$96)</f>
        <v>5099.0639125781263</v>
      </c>
      <c r="M92" s="17">
        <f>L92*(1+'02 Assumptions'!$C$96)</f>
        <v>5354.0171082070328</v>
      </c>
      <c r="N92" s="17">
        <f>M92*(1+'02 Assumptions'!$C$96)</f>
        <v>5621.7179636173851</v>
      </c>
      <c r="O92" s="17">
        <f>N92*(1+'02 Assumptions'!$C$96)</f>
        <v>5902.8038617982547</v>
      </c>
      <c r="P92" s="17">
        <f>O92*(1+'02 Assumptions'!$C$96)</f>
        <v>6197.9440548881676</v>
      </c>
    </row>
    <row r="93" spans="2:16" x14ac:dyDescent="0.3">
      <c r="B93" t="s">
        <v>527</v>
      </c>
      <c r="C93" t="s">
        <v>46</v>
      </c>
      <c r="D93" s="17"/>
      <c r="E93" s="17"/>
      <c r="F93" s="17"/>
      <c r="G93" s="17">
        <f>'02 Assumptions'!$C$99*'02 Assumptions'!$C$75</f>
        <v>0</v>
      </c>
      <c r="H93" s="17">
        <f>'02 Assumptions'!$C$99*'02 Assumptions'!$C$75</f>
        <v>0</v>
      </c>
      <c r="I93" s="17">
        <f>'02 Assumptions'!$C$99*'02 Assumptions'!$C$75</f>
        <v>0</v>
      </c>
      <c r="J93" s="17">
        <f>'02 Assumptions'!$C$99*'02 Assumptions'!$C$75</f>
        <v>0</v>
      </c>
      <c r="K93" s="17">
        <f>'02 Assumptions'!$C$99*'02 Assumptions'!$C$75</f>
        <v>0</v>
      </c>
      <c r="L93" s="17">
        <f>'02 Assumptions'!$C$99*'02 Assumptions'!$C$75</f>
        <v>0</v>
      </c>
      <c r="M93" s="17">
        <f>'02 Assumptions'!$C$99*'02 Assumptions'!$C$75</f>
        <v>0</v>
      </c>
      <c r="N93" s="17">
        <f>'02 Assumptions'!$C$99*'02 Assumptions'!$C$75</f>
        <v>0</v>
      </c>
      <c r="O93" s="17">
        <f>'02 Assumptions'!$C$99*'02 Assumptions'!$C$75</f>
        <v>0</v>
      </c>
      <c r="P93" s="17">
        <f>'02 Assumptions'!$C$99*'02 Assumptions'!$C$75</f>
        <v>0</v>
      </c>
    </row>
    <row r="94" spans="2:16" x14ac:dyDescent="0.3">
      <c r="B94" t="s">
        <v>528</v>
      </c>
      <c r="C94" t="s">
        <v>23</v>
      </c>
      <c r="D94" s="19"/>
      <c r="E94" s="19"/>
      <c r="F94" s="19"/>
      <c r="G94" s="19">
        <f t="shared" ref="G94:P94" si="42">G92/G16</f>
        <v>0.52247136150437079</v>
      </c>
      <c r="H94" s="19">
        <f t="shared" si="42"/>
        <v>0.43221941338008163</v>
      </c>
      <c r="I94" s="19">
        <f t="shared" si="42"/>
        <v>0.37284271596173507</v>
      </c>
      <c r="J94" s="19">
        <f t="shared" si="42"/>
        <v>0.34611437335377093</v>
      </c>
      <c r="K94" s="19">
        <f t="shared" si="42"/>
        <v>0.32928172883455248</v>
      </c>
      <c r="L94" s="19">
        <f t="shared" si="42"/>
        <v>0.32271041109211962</v>
      </c>
      <c r="M94" s="19">
        <f t="shared" si="42"/>
        <v>0.32021457733321951</v>
      </c>
      <c r="N94" s="19">
        <f t="shared" si="42"/>
        <v>0.32149682192491519</v>
      </c>
      <c r="O94" s="19">
        <f t="shared" si="42"/>
        <v>0.32394385384583846</v>
      </c>
      <c r="P94" s="19">
        <f t="shared" si="42"/>
        <v>0.32830344691494528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2280B-3EEF-40AA-BE5A-AF9FBD750464}">
  <dimension ref="A1:R75"/>
  <sheetViews>
    <sheetView workbookViewId="0">
      <pane xSplit="3" topLeftCell="D1" activePane="topRight" state="frozen"/>
      <selection pane="topRight"/>
    </sheetView>
  </sheetViews>
  <sheetFormatPr baseColWidth="10" defaultRowHeight="14.4" x14ac:dyDescent="0.3"/>
  <cols>
    <col min="2" max="2" width="79.6640625" customWidth="1"/>
    <col min="3" max="3" width="10.21875" customWidth="1"/>
    <col min="4" max="16" width="16.33203125" customWidth="1"/>
  </cols>
  <sheetData>
    <row r="1" spans="1:18" ht="18" x14ac:dyDescent="0.35">
      <c r="A1" s="4" t="s">
        <v>1971</v>
      </c>
      <c r="R1">
        <f>1+1</f>
        <v>2</v>
      </c>
    </row>
    <row r="2" spans="1:18" x14ac:dyDescent="0.3">
      <c r="A2" s="14" t="s">
        <v>372</v>
      </c>
    </row>
    <row r="4" spans="1:18" x14ac:dyDescent="0.3">
      <c r="B4" s="15" t="s">
        <v>41</v>
      </c>
      <c r="C4" s="15" t="s">
        <v>42</v>
      </c>
      <c r="D4" s="15" t="str">
        <f>'00 Panel del Analista'!D14</f>
        <v>FY2024A</v>
      </c>
      <c r="E4" s="15" t="str">
        <f>'00 Panel del Analista'!E14</f>
        <v>FY2025A</v>
      </c>
      <c r="F4" s="15" t="str">
        <f>'00 Panel del Analista'!F14</f>
        <v>FY2026E</v>
      </c>
      <c r="G4" s="15" t="str">
        <f>'00 Panel del Analista'!G14</f>
        <v>FY2027E</v>
      </c>
      <c r="H4" s="15" t="str">
        <f>'00 Panel del Analista'!H14</f>
        <v>FY2028E</v>
      </c>
      <c r="I4" s="15" t="str">
        <f>'00 Panel del Analista'!I14</f>
        <v>FY2029E</v>
      </c>
      <c r="J4" s="15" t="str">
        <f>'00 Panel del Analista'!J14</f>
        <v>FY2030E</v>
      </c>
      <c r="K4" s="15" t="str">
        <f>'00 Panel del Analista'!K14</f>
        <v>FY2031E</v>
      </c>
      <c r="L4" s="15" t="str">
        <f>'00 Panel del Analista'!L14</f>
        <v>FY2032E</v>
      </c>
      <c r="M4" s="15" t="str">
        <f>'00 Panel del Analista'!M14</f>
        <v>FY2033E</v>
      </c>
      <c r="N4" s="15" t="str">
        <f>'00 Panel del Analista'!N14</f>
        <v>FY2034E</v>
      </c>
      <c r="O4" s="15" t="str">
        <f>'00 Panel del Analista'!O14</f>
        <v>FY2035E</v>
      </c>
      <c r="P4" s="15" t="str">
        <f>'00 Panel del Analista'!P14</f>
        <v>FY2036E</v>
      </c>
    </row>
    <row r="6" spans="1:18" x14ac:dyDescent="0.3">
      <c r="B6" s="5" t="s">
        <v>373</v>
      </c>
      <c r="C6" s="5"/>
      <c r="D6" s="5"/>
      <c r="E6" s="5"/>
      <c r="F6" s="5"/>
      <c r="G6" s="5"/>
      <c r="H6" s="5"/>
      <c r="I6" s="5"/>
      <c r="J6" s="5"/>
      <c r="K6" s="5"/>
      <c r="L6" s="5"/>
      <c r="M6" s="5"/>
      <c r="N6" s="5"/>
      <c r="O6" s="5"/>
      <c r="P6" s="5"/>
    </row>
    <row r="7" spans="1:18" x14ac:dyDescent="0.3">
      <c r="B7" t="s">
        <v>374</v>
      </c>
      <c r="C7" t="s">
        <v>46</v>
      </c>
      <c r="D7" s="17">
        <f>'04 Operating Model'!D29</f>
        <v>10250</v>
      </c>
      <c r="E7" s="17">
        <f>'04 Operating Model'!E29</f>
        <v>12394</v>
      </c>
      <c r="F7" s="17">
        <f>'04 Operating Model'!F29</f>
        <v>9147</v>
      </c>
      <c r="G7" s="17">
        <f>'04 Operating Model'!G29</f>
        <v>9678.8135000000038</v>
      </c>
      <c r="H7" s="17">
        <f>'04 Operating Model'!H29</f>
        <v>11992.618526000002</v>
      </c>
      <c r="I7" s="17">
        <f>'04 Operating Model'!I29</f>
        <v>14380.410330780003</v>
      </c>
      <c r="J7" s="17">
        <f>'04 Operating Model'!J29</f>
        <v>16089.650663856002</v>
      </c>
      <c r="K7" s="17">
        <f>'04 Operating Model'!K29</f>
        <v>17657.158795370906</v>
      </c>
      <c r="L7" s="17">
        <f>'04 Operating Model'!L29</f>
        <v>19023.044185933792</v>
      </c>
      <c r="M7" s="17">
        <f>'04 Operating Model'!M29</f>
        <v>20244.688838520869</v>
      </c>
      <c r="N7" s="17">
        <f>'04 Operating Model'!N29</f>
        <v>21167.561826831523</v>
      </c>
      <c r="O7" s="17">
        <f>'04 Operating Model'!O29</f>
        <v>22053.841066140682</v>
      </c>
      <c r="P7" s="17">
        <f>'04 Operating Model'!P29</f>
        <v>22845.428188280588</v>
      </c>
    </row>
    <row r="8" spans="1:18" x14ac:dyDescent="0.3">
      <c r="B8" t="s">
        <v>309</v>
      </c>
      <c r="C8" t="s">
        <v>23</v>
      </c>
      <c r="D8" s="19"/>
      <c r="E8" s="19"/>
      <c r="F8" s="19"/>
      <c r="G8" s="19">
        <f>'04 Operating Model'!G55</f>
        <v>0.14000000000000001</v>
      </c>
      <c r="H8" s="19">
        <f>'04 Operating Model'!H55</f>
        <v>0.14499999999999999</v>
      </c>
      <c r="I8" s="19">
        <f>'04 Operating Model'!I55</f>
        <v>0.15</v>
      </c>
      <c r="J8" s="19">
        <f>'04 Operating Model'!J55</f>
        <v>0.155</v>
      </c>
      <c r="K8" s="19">
        <f>'04 Operating Model'!K55</f>
        <v>0.16</v>
      </c>
      <c r="L8" s="19">
        <f>'04 Operating Model'!L55</f>
        <v>0.16500000000000001</v>
      </c>
      <c r="M8" s="19">
        <f>'04 Operating Model'!M55</f>
        <v>0.17</v>
      </c>
      <c r="N8" s="19">
        <f>'04 Operating Model'!N55</f>
        <v>0.17</v>
      </c>
      <c r="O8" s="19">
        <f>'04 Operating Model'!O55</f>
        <v>0.17</v>
      </c>
      <c r="P8" s="19">
        <f>'04 Operating Model'!P55</f>
        <v>0.17</v>
      </c>
    </row>
    <row r="9" spans="1:18" x14ac:dyDescent="0.3">
      <c r="B9" t="s">
        <v>375</v>
      </c>
      <c r="C9" t="s">
        <v>46</v>
      </c>
      <c r="D9" s="17"/>
      <c r="E9" s="17"/>
      <c r="F9" s="17"/>
      <c r="G9" s="17">
        <f t="shared" ref="G9:P9" si="0">-G7*G8</f>
        <v>-1355.0338900000006</v>
      </c>
      <c r="H9" s="17">
        <f t="shared" si="0"/>
        <v>-1738.9296862700003</v>
      </c>
      <c r="I9" s="17">
        <f t="shared" si="0"/>
        <v>-2157.0615496170003</v>
      </c>
      <c r="J9" s="17">
        <f t="shared" si="0"/>
        <v>-2493.8958528976805</v>
      </c>
      <c r="K9" s="17">
        <f t="shared" si="0"/>
        <v>-2825.1454072593451</v>
      </c>
      <c r="L9" s="17">
        <f t="shared" si="0"/>
        <v>-3138.8022906790757</v>
      </c>
      <c r="M9" s="17">
        <f t="shared" si="0"/>
        <v>-3441.5971025485483</v>
      </c>
      <c r="N9" s="17">
        <f t="shared" si="0"/>
        <v>-3598.4855105613592</v>
      </c>
      <c r="O9" s="17">
        <f t="shared" si="0"/>
        <v>-3749.1529812439162</v>
      </c>
      <c r="P9" s="17">
        <f t="shared" si="0"/>
        <v>-3883.7227920077003</v>
      </c>
    </row>
    <row r="10" spans="1:18" x14ac:dyDescent="0.3">
      <c r="B10" s="3" t="s">
        <v>376</v>
      </c>
      <c r="C10" s="3" t="s">
        <v>46</v>
      </c>
      <c r="D10" s="18"/>
      <c r="E10" s="18"/>
      <c r="F10" s="18"/>
      <c r="G10" s="18">
        <f t="shared" ref="G10:P10" si="1">G7+G9</f>
        <v>8323.7796100000032</v>
      </c>
      <c r="H10" s="18">
        <f t="shared" si="1"/>
        <v>10253.688839730003</v>
      </c>
      <c r="I10" s="18">
        <f t="shared" si="1"/>
        <v>12223.348781163004</v>
      </c>
      <c r="J10" s="18">
        <f t="shared" si="1"/>
        <v>13595.754810958322</v>
      </c>
      <c r="K10" s="18">
        <f t="shared" si="1"/>
        <v>14832.013388111562</v>
      </c>
      <c r="L10" s="18">
        <f t="shared" si="1"/>
        <v>15884.241895254716</v>
      </c>
      <c r="M10" s="18">
        <f t="shared" si="1"/>
        <v>16803.091735972321</v>
      </c>
      <c r="N10" s="18">
        <f t="shared" si="1"/>
        <v>17569.076316270162</v>
      </c>
      <c r="O10" s="18">
        <f t="shared" si="1"/>
        <v>18304.688084896767</v>
      </c>
      <c r="P10" s="18">
        <f t="shared" si="1"/>
        <v>18961.70539627289</v>
      </c>
    </row>
    <row r="11" spans="1:18" x14ac:dyDescent="0.3">
      <c r="B11" t="s">
        <v>377</v>
      </c>
      <c r="C11" t="s">
        <v>46</v>
      </c>
      <c r="D11" s="17"/>
      <c r="E11" s="17"/>
      <c r="F11" s="17"/>
      <c r="G11" s="17">
        <f>'04 Operating Model'!G38</f>
        <v>1813.9736333333333</v>
      </c>
      <c r="H11" s="17">
        <f>'04 Operating Model'!H38</f>
        <v>1863.7714950814816</v>
      </c>
      <c r="I11" s="17">
        <f>'04 Operating Model'!I38</f>
        <v>1880.6697733344854</v>
      </c>
      <c r="J11" s="17">
        <f>'04 Operating Model'!J38</f>
        <v>1866.7803201517111</v>
      </c>
      <c r="K11" s="17">
        <f>'04 Operating Model'!K38</f>
        <v>1845.560307696473</v>
      </c>
      <c r="L11" s="17">
        <f>'04 Operating Model'!L38</f>
        <v>1871.5631386543344</v>
      </c>
      <c r="M11" s="17">
        <f>'04 Operating Model'!M38</f>
        <v>1849.0475660642555</v>
      </c>
      <c r="N11" s="17">
        <f>'04 Operating Model'!N38</f>
        <v>1932.9181268355487</v>
      </c>
      <c r="O11" s="17">
        <f>'04 Operating Model'!O38</f>
        <v>2019.7655071680576</v>
      </c>
      <c r="P11" s="17">
        <f>'04 Operating Model'!P38</f>
        <v>2107.3596627367001</v>
      </c>
    </row>
    <row r="12" spans="1:18" x14ac:dyDescent="0.3">
      <c r="B12" t="s">
        <v>378</v>
      </c>
      <c r="C12" t="s">
        <v>46</v>
      </c>
      <c r="D12" s="17"/>
      <c r="E12" s="17"/>
      <c r="F12" s="17"/>
      <c r="G12" s="17">
        <f>-'04 Operating Model'!G34</f>
        <v>-2021.7626999999998</v>
      </c>
      <c r="H12" s="17">
        <f>-'04 Operating Model'!H34</f>
        <v>-1914.3653224</v>
      </c>
      <c r="I12" s="17">
        <f>-'04 Operating Model'!I34</f>
        <v>-1895.26217204</v>
      </c>
      <c r="J12" s="17">
        <f>-'04 Operating Model'!J34</f>
        <v>-1811.0722959839998</v>
      </c>
      <c r="K12" s="17">
        <f>-'04 Operating Model'!K34</f>
        <v>-1941.5082322222802</v>
      </c>
      <c r="L12" s="17">
        <f>-'04 Operating Model'!L34</f>
        <v>-2063.6378617914161</v>
      </c>
      <c r="M12" s="17">
        <f>-'04 Operating Model'!M34</f>
        <v>-2176.8482622065444</v>
      </c>
      <c r="N12" s="17">
        <f>-'04 Operating Model'!N34</f>
        <v>-2276.081916863604</v>
      </c>
      <c r="O12" s="17">
        <f>-'04 Operating Model'!O34</f>
        <v>-2371.3807598000726</v>
      </c>
      <c r="P12" s="17">
        <f>-'04 Operating Model'!P34</f>
        <v>-2456.497654653826</v>
      </c>
    </row>
    <row r="13" spans="1:18" x14ac:dyDescent="0.3">
      <c r="B13" t="s">
        <v>379</v>
      </c>
      <c r="C13" t="s">
        <v>46</v>
      </c>
      <c r="D13" s="17"/>
      <c r="E13" s="17"/>
      <c r="F13" s="17"/>
      <c r="G13" s="17">
        <f>-'04 Operating Model'!G51</f>
        <v>1053.630076986301</v>
      </c>
      <c r="H13" s="17">
        <f>-'04 Operating Model'!H51</f>
        <v>-150.07214347072841</v>
      </c>
      <c r="I13" s="17">
        <f>-'04 Operating Model'!I51</f>
        <v>-586.11305292674388</v>
      </c>
      <c r="J13" s="17">
        <f>-'04 Operating Model'!J51</f>
        <v>-485.35934679878574</v>
      </c>
      <c r="K13" s="17">
        <f>-'04 Operating Model'!K51</f>
        <v>-428.08895594038586</v>
      </c>
      <c r="L13" s="17">
        <f>-'04 Operating Model'!L51</f>
        <v>-400.82777123728101</v>
      </c>
      <c r="M13" s="17">
        <f>-'04 Operating Model'!M51</f>
        <v>-371.55498333504875</v>
      </c>
      <c r="N13" s="17">
        <f>-'04 Operating Model'!N51</f>
        <v>-325.68349521933578</v>
      </c>
      <c r="O13" s="17">
        <f>-'04 Operating Model'!O51</f>
        <v>-312.76949705388597</v>
      </c>
      <c r="P13" s="17">
        <f>-'04 Operating Model'!P51</f>
        <v>-279.35248292516553</v>
      </c>
    </row>
    <row r="14" spans="1:18" x14ac:dyDescent="0.3">
      <c r="B14" t="s">
        <v>380</v>
      </c>
      <c r="C14" t="s">
        <v>46</v>
      </c>
      <c r="D14" s="17"/>
      <c r="E14" s="17"/>
      <c r="F14" s="17"/>
      <c r="G14" s="17">
        <f>-'02 Assumptions'!G38</f>
        <v>-100</v>
      </c>
      <c r="H14" s="17">
        <f>-'02 Assumptions'!H38</f>
        <v>-100</v>
      </c>
      <c r="I14" s="17">
        <f>-'02 Assumptions'!I38</f>
        <v>-100</v>
      </c>
      <c r="J14" s="17">
        <f>-'02 Assumptions'!J38</f>
        <v>-100</v>
      </c>
      <c r="K14" s="17">
        <f>-'02 Assumptions'!K38</f>
        <v>-100</v>
      </c>
      <c r="L14" s="17">
        <f>-'02 Assumptions'!L38</f>
        <v>-100</v>
      </c>
      <c r="M14" s="17">
        <f>-'02 Assumptions'!M38</f>
        <v>-100</v>
      </c>
      <c r="N14" s="17">
        <f>-'02 Assumptions'!N38</f>
        <v>-100</v>
      </c>
      <c r="O14" s="17">
        <f>-'02 Assumptions'!O38</f>
        <v>-100</v>
      </c>
      <c r="P14" s="17">
        <f>-'02 Assumptions'!P38</f>
        <v>-100</v>
      </c>
    </row>
    <row r="15" spans="1:18" x14ac:dyDescent="0.3">
      <c r="B15" s="75" t="s">
        <v>381</v>
      </c>
      <c r="C15" s="75" t="s">
        <v>46</v>
      </c>
      <c r="D15" s="105"/>
      <c r="E15" s="105"/>
      <c r="F15" s="105"/>
      <c r="G15" s="105">
        <f t="shared" ref="G15:P15" si="2">SUM(G10:G14)</f>
        <v>9069.620620319638</v>
      </c>
      <c r="H15" s="105">
        <f t="shared" si="2"/>
        <v>9953.0228689407541</v>
      </c>
      <c r="I15" s="105">
        <f t="shared" si="2"/>
        <v>11522.643329530743</v>
      </c>
      <c r="J15" s="105">
        <f t="shared" si="2"/>
        <v>13066.103488327248</v>
      </c>
      <c r="K15" s="105">
        <f t="shared" si="2"/>
        <v>14207.976507645368</v>
      </c>
      <c r="L15" s="105">
        <f t="shared" si="2"/>
        <v>15191.339400880355</v>
      </c>
      <c r="M15" s="105">
        <f t="shared" si="2"/>
        <v>16003.736056494981</v>
      </c>
      <c r="N15" s="105">
        <f t="shared" si="2"/>
        <v>16800.229031022773</v>
      </c>
      <c r="O15" s="105">
        <f t="shared" si="2"/>
        <v>17540.303335210865</v>
      </c>
      <c r="P15" s="105">
        <f t="shared" si="2"/>
        <v>18233.214921430597</v>
      </c>
    </row>
    <row r="16" spans="1:18" x14ac:dyDescent="0.3">
      <c r="B16" t="s">
        <v>382</v>
      </c>
      <c r="C16" t="s">
        <v>23</v>
      </c>
      <c r="D16" s="19"/>
      <c r="E16" s="19"/>
      <c r="F16" s="19"/>
      <c r="G16" s="19">
        <f>G15/'04 Operating Model'!G11</f>
        <v>0.20186984749218281</v>
      </c>
      <c r="H16" s="19">
        <f>H15/'04 Operating Model'!H11</f>
        <v>0.19756671550317706</v>
      </c>
      <c r="I16" s="19">
        <f>I15/'04 Operating Model'!I11</f>
        <v>0.20671012115561652</v>
      </c>
      <c r="J16" s="19">
        <f>J15/'04 Operating Model'!J11</f>
        <v>0.21643702767638187</v>
      </c>
      <c r="K16" s="19">
        <f>K15/'04 Operating Model'!K11</f>
        <v>0.21954029766924088</v>
      </c>
      <c r="L16" s="19">
        <f>L15/'04 Operating Model'!L11</f>
        <v>0.22084309968551788</v>
      </c>
      <c r="M16" s="19">
        <f>M15/'04 Operating Model'!M11</f>
        <v>0.22055376574947294</v>
      </c>
      <c r="N16" s="19">
        <f>N15/'04 Operating Model'!N11</f>
        <v>0.22143617380221303</v>
      </c>
      <c r="O16" s="19">
        <f>O15/'04 Operating Model'!O11</f>
        <v>0.22189987747926648</v>
      </c>
      <c r="P16" s="19">
        <f>P15/'04 Operating Model'!P11</f>
        <v>0.22267330343533406</v>
      </c>
    </row>
    <row r="17" spans="2:16" x14ac:dyDescent="0.3">
      <c r="B17" t="s">
        <v>383</v>
      </c>
      <c r="C17" t="s">
        <v>23</v>
      </c>
      <c r="D17" s="19"/>
      <c r="E17" s="19"/>
      <c r="F17" s="19"/>
      <c r="G17" s="19">
        <f>G15/'04 Operating Model'!G39</f>
        <v>0.78915762687489277</v>
      </c>
      <c r="H17" s="19">
        <f>H15/'04 Operating Model'!H39</f>
        <v>0.71829840628027641</v>
      </c>
      <c r="I17" s="19">
        <f>I15/'04 Operating Model'!I39</f>
        <v>0.70860258087131656</v>
      </c>
      <c r="J17" s="19">
        <f>J15/'04 Operating Model'!J39</f>
        <v>0.7276559300656199</v>
      </c>
      <c r="K17" s="19">
        <f>K15/'04 Operating Model'!K39</f>
        <v>0.7285125952211835</v>
      </c>
      <c r="L17" s="19">
        <f>L15/'04 Operating Model'!L39</f>
        <v>0.72704593893007297</v>
      </c>
      <c r="M17" s="19">
        <f>M15/'04 Operating Model'!M39</f>
        <v>0.72435625027072004</v>
      </c>
      <c r="N17" s="19">
        <f>N15/'04 Operating Model'!N39</f>
        <v>0.7272675314417365</v>
      </c>
      <c r="O17" s="19">
        <f>O15/'04 Operating Model'!O39</f>
        <v>0.7286113645579978</v>
      </c>
      <c r="P17" s="19">
        <f>P15/'04 Operating Model'!P39</f>
        <v>0.73070852965582589</v>
      </c>
    </row>
    <row r="19" spans="2:16" x14ac:dyDescent="0.3">
      <c r="B19" s="5" t="s">
        <v>384</v>
      </c>
      <c r="C19" s="5"/>
      <c r="D19" s="5"/>
      <c r="E19" s="5"/>
      <c r="F19" s="5"/>
      <c r="G19" s="5"/>
      <c r="H19" s="5"/>
      <c r="I19" s="5"/>
      <c r="J19" s="5"/>
      <c r="K19" s="5"/>
      <c r="L19" s="5"/>
      <c r="M19" s="5"/>
      <c r="N19" s="5"/>
      <c r="O19" s="5"/>
      <c r="P19" s="5"/>
    </row>
    <row r="20" spans="2:16" x14ac:dyDescent="0.3">
      <c r="B20" t="s">
        <v>385</v>
      </c>
      <c r="C20" t="s">
        <v>238</v>
      </c>
      <c r="D20" s="26"/>
      <c r="E20" s="26"/>
      <c r="F20" s="26"/>
      <c r="G20" s="26">
        <f>COLUMNS($G20:G20)-IF('02 Assumptions'!$C$12=2,0.5,0)</f>
        <v>0.5</v>
      </c>
      <c r="H20" s="26">
        <f>COLUMNS($G20:H20)-IF('02 Assumptions'!$C$12=2,0.5,0)</f>
        <v>1.5</v>
      </c>
      <c r="I20" s="26">
        <f>COLUMNS($G20:I20)-IF('02 Assumptions'!$C$12=2,0.5,0)</f>
        <v>2.5</v>
      </c>
      <c r="J20" s="26">
        <f>COLUMNS($G20:J20)-IF('02 Assumptions'!$C$12=2,0.5,0)</f>
        <v>3.5</v>
      </c>
      <c r="K20" s="26">
        <f>COLUMNS($G20:K20)-IF('02 Assumptions'!$C$12=2,0.5,0)</f>
        <v>4.5</v>
      </c>
      <c r="L20" s="26">
        <f>COLUMNS($G20:L20)-IF('02 Assumptions'!$C$12=2,0.5,0)</f>
        <v>5.5</v>
      </c>
      <c r="M20" s="26">
        <f>COLUMNS($G20:M20)-IF('02 Assumptions'!$C$12=2,0.5,0)</f>
        <v>6.5</v>
      </c>
      <c r="N20" s="26">
        <f>COLUMNS($G20:N20)-IF('02 Assumptions'!$C$12=2,0.5,0)</f>
        <v>7.5</v>
      </c>
      <c r="O20" s="26">
        <f>COLUMNS($G20:O20)-IF('02 Assumptions'!$C$12=2,0.5,0)</f>
        <v>8.5</v>
      </c>
      <c r="P20" s="26">
        <f>COLUMNS($G20:P20)-IF('02 Assumptions'!$C$12=2,0.5,0)</f>
        <v>9.5</v>
      </c>
    </row>
    <row r="21" spans="2:16" x14ac:dyDescent="0.3">
      <c r="B21" t="s">
        <v>386</v>
      </c>
      <c r="C21" t="s">
        <v>23</v>
      </c>
      <c r="D21" s="19"/>
      <c r="E21" s="19"/>
      <c r="F21" s="19"/>
      <c r="G21" s="19">
        <f>'07 WACC'!$C$38</f>
        <v>0.11540544272914492</v>
      </c>
      <c r="H21" s="19">
        <f>'07 WACC'!$C$38</f>
        <v>0.11540544272914492</v>
      </c>
      <c r="I21" s="19">
        <f>'07 WACC'!$C$38</f>
        <v>0.11540544272914492</v>
      </c>
      <c r="J21" s="19">
        <f>'07 WACC'!$C$38</f>
        <v>0.11540544272914492</v>
      </c>
      <c r="K21" s="19">
        <f>'07 WACC'!$C$38</f>
        <v>0.11540544272914492</v>
      </c>
      <c r="L21" s="19">
        <f>'07 WACC'!$C$38</f>
        <v>0.11540544272914492</v>
      </c>
      <c r="M21" s="19">
        <f>'07 WACC'!$C$38</f>
        <v>0.11540544272914492</v>
      </c>
      <c r="N21" s="19">
        <f>'07 WACC'!$C$38</f>
        <v>0.11540544272914492</v>
      </c>
      <c r="O21" s="19">
        <f>'07 WACC'!$C$38</f>
        <v>0.11540544272914492</v>
      </c>
      <c r="P21" s="19">
        <f>'07 WACC'!$C$38</f>
        <v>0.11540544272914492</v>
      </c>
    </row>
    <row r="22" spans="2:16" x14ac:dyDescent="0.3">
      <c r="B22" t="s">
        <v>387</v>
      </c>
      <c r="C22" t="s">
        <v>145</v>
      </c>
      <c r="D22" s="25"/>
      <c r="E22" s="25"/>
      <c r="F22" s="25"/>
      <c r="G22" s="25">
        <f t="shared" ref="G22:P22" si="3">1/(1+G21)^G20</f>
        <v>0.94685531277327839</v>
      </c>
      <c r="H22" s="25">
        <f t="shared" si="3"/>
        <v>0.84888891205025652</v>
      </c>
      <c r="I22" s="25">
        <f t="shared" si="3"/>
        <v>0.76105860661143743</v>
      </c>
      <c r="J22" s="25">
        <f t="shared" si="3"/>
        <v>0.68231566518924203</v>
      </c>
      <c r="K22" s="25">
        <f t="shared" si="3"/>
        <v>0.6117198635141764</v>
      </c>
      <c r="L22" s="25">
        <f t="shared" si="3"/>
        <v>0.54842825763646652</v>
      </c>
      <c r="M22" s="25">
        <f t="shared" si="3"/>
        <v>0.49168511881615579</v>
      </c>
      <c r="N22" s="25">
        <f t="shared" si="3"/>
        <v>0.44081290979996796</v>
      </c>
      <c r="O22" s="25">
        <f t="shared" si="3"/>
        <v>0.39520419473783308</v>
      </c>
      <c r="P22" s="25">
        <f t="shared" si="3"/>
        <v>0.35431438614003691</v>
      </c>
    </row>
    <row r="23" spans="2:16" x14ac:dyDescent="0.3">
      <c r="B23" s="3" t="s">
        <v>388</v>
      </c>
      <c r="C23" s="3" t="s">
        <v>46</v>
      </c>
      <c r="D23" s="18"/>
      <c r="E23" s="18"/>
      <c r="F23" s="18"/>
      <c r="G23" s="18">
        <f t="shared" ref="G23:P23" si="4">G15*G22</f>
        <v>8587.6184691877261</v>
      </c>
      <c r="H23" s="18">
        <f t="shared" si="4"/>
        <v>8449.0107548264405</v>
      </c>
      <c r="I23" s="18">
        <f t="shared" si="4"/>
        <v>8769.4068768532416</v>
      </c>
      <c r="J23" s="18">
        <f t="shared" si="4"/>
        <v>8915.2070930694808</v>
      </c>
      <c r="K23" s="18">
        <f t="shared" si="4"/>
        <v>8691.3014500694499</v>
      </c>
      <c r="L23" s="18">
        <f t="shared" si="4"/>
        <v>8331.3597987890171</v>
      </c>
      <c r="M23" s="18">
        <f t="shared" si="4"/>
        <v>7868.7988644401312</v>
      </c>
      <c r="N23" s="18">
        <f t="shared" si="4"/>
        <v>7405.7578444710443</v>
      </c>
      <c r="O23" s="18">
        <f t="shared" si="4"/>
        <v>6932.0014550493379</v>
      </c>
      <c r="P23" s="18">
        <f t="shared" si="4"/>
        <v>6460.2903522460438</v>
      </c>
    </row>
    <row r="25" spans="2:16" x14ac:dyDescent="0.3">
      <c r="B25" s="5" t="s">
        <v>267</v>
      </c>
      <c r="C25" s="5"/>
      <c r="D25" s="5"/>
      <c r="E25" s="5"/>
      <c r="F25" s="5"/>
      <c r="G25" s="5"/>
      <c r="H25" s="5"/>
      <c r="I25" s="5"/>
      <c r="J25" s="5"/>
      <c r="K25" s="5"/>
      <c r="L25" s="5"/>
      <c r="M25" s="5"/>
      <c r="N25" s="5"/>
      <c r="O25" s="5"/>
      <c r="P25" s="5"/>
    </row>
    <row r="26" spans="2:16" x14ac:dyDescent="0.3">
      <c r="B26" t="s">
        <v>353</v>
      </c>
      <c r="C26" t="s">
        <v>23</v>
      </c>
      <c r="D26" s="19"/>
      <c r="E26" s="19"/>
      <c r="F26" s="19">
        <f>'02 Assumptions'!C63</f>
        <v>0.03</v>
      </c>
      <c r="G26" s="19"/>
      <c r="H26" s="19"/>
      <c r="I26" s="19"/>
      <c r="J26" s="19"/>
      <c r="K26" s="19"/>
      <c r="L26" s="19"/>
      <c r="M26" s="19"/>
      <c r="N26" s="19"/>
      <c r="O26" s="19"/>
      <c r="P26" s="19"/>
    </row>
    <row r="27" spans="2:16" x14ac:dyDescent="0.3">
      <c r="B27" t="s">
        <v>389</v>
      </c>
      <c r="C27" t="s">
        <v>23</v>
      </c>
      <c r="D27" s="19"/>
      <c r="E27" s="19"/>
      <c r="F27" s="19">
        <f>'02 Assumptions'!C66</f>
        <v>0.3</v>
      </c>
      <c r="G27" s="19"/>
      <c r="H27" s="19"/>
      <c r="I27" s="19"/>
      <c r="J27" s="19"/>
      <c r="K27" s="19"/>
      <c r="L27" s="19"/>
      <c r="M27" s="19"/>
      <c r="N27" s="19"/>
      <c r="O27" s="19"/>
      <c r="P27" s="19"/>
    </row>
    <row r="28" spans="2:16" x14ac:dyDescent="0.3">
      <c r="B28" t="s">
        <v>390</v>
      </c>
      <c r="C28" t="s">
        <v>23</v>
      </c>
      <c r="D28" s="19"/>
      <c r="E28" s="19"/>
      <c r="F28" s="19">
        <f>F26/F27</f>
        <v>0.1</v>
      </c>
      <c r="G28" s="19"/>
      <c r="H28" s="19"/>
      <c r="I28" s="19"/>
      <c r="J28" s="19"/>
      <c r="K28" s="19"/>
      <c r="L28" s="19"/>
      <c r="M28" s="19"/>
      <c r="N28" s="19"/>
      <c r="O28" s="19"/>
      <c r="P28" s="19"/>
    </row>
    <row r="29" spans="2:16" x14ac:dyDescent="0.3">
      <c r="B29" t="s">
        <v>391</v>
      </c>
      <c r="C29" t="s">
        <v>46</v>
      </c>
      <c r="D29" s="17"/>
      <c r="E29" s="17"/>
      <c r="F29" s="17">
        <f>P10*(1+F26)</f>
        <v>19530.556558161075</v>
      </c>
      <c r="G29" s="17"/>
      <c r="H29" s="17"/>
      <c r="I29" s="17"/>
      <c r="J29" s="17"/>
      <c r="K29" s="17"/>
      <c r="L29" s="17"/>
      <c r="M29" s="17"/>
      <c r="N29" s="17"/>
      <c r="O29" s="17"/>
      <c r="P29" s="17"/>
    </row>
    <row r="30" spans="2:16" x14ac:dyDescent="0.3">
      <c r="B30" t="s">
        <v>392</v>
      </c>
      <c r="C30" t="s">
        <v>46</v>
      </c>
      <c r="D30" s="17"/>
      <c r="E30" s="17"/>
      <c r="F30" s="17">
        <f>F29*(1-F28)</f>
        <v>17577.500902344967</v>
      </c>
      <c r="G30" s="17"/>
      <c r="H30" s="17"/>
      <c r="I30" s="17"/>
      <c r="J30" s="17"/>
      <c r="K30" s="17"/>
      <c r="L30" s="17"/>
      <c r="M30" s="17"/>
      <c r="N30" s="17"/>
      <c r="O30" s="17"/>
      <c r="P30" s="17"/>
    </row>
    <row r="31" spans="2:16" x14ac:dyDescent="0.3">
      <c r="B31" t="s">
        <v>393</v>
      </c>
      <c r="C31" t="s">
        <v>46</v>
      </c>
      <c r="D31" s="17"/>
      <c r="E31" s="17"/>
      <c r="F31" s="17">
        <f>IF(P21&lt;=F26,"FALLO: WACC&lt;=g",F30/(P21-F26))</f>
        <v>205812.42062160262</v>
      </c>
      <c r="G31" s="17"/>
      <c r="H31" s="17"/>
      <c r="I31" s="17"/>
      <c r="J31" s="17"/>
      <c r="K31" s="17"/>
      <c r="L31" s="17"/>
      <c r="M31" s="17"/>
      <c r="N31" s="17"/>
      <c r="O31" s="17"/>
      <c r="P31" s="17"/>
    </row>
    <row r="32" spans="2:16" x14ac:dyDescent="0.3">
      <c r="B32" t="s">
        <v>394</v>
      </c>
      <c r="C32" t="s">
        <v>46</v>
      </c>
      <c r="D32" s="17"/>
      <c r="E32" s="17"/>
      <c r="F32" s="17">
        <f>'04 Operating Model'!P39*'02 Assumptions'!C64</f>
        <v>349339.02991424204</v>
      </c>
      <c r="G32" s="17"/>
      <c r="H32" s="17"/>
      <c r="I32" s="17"/>
      <c r="J32" s="17"/>
      <c r="K32" s="17"/>
      <c r="L32" s="17"/>
      <c r="M32" s="17"/>
      <c r="N32" s="17"/>
      <c r="O32" s="17"/>
      <c r="P32" s="17"/>
    </row>
    <row r="33" spans="2:16" x14ac:dyDescent="0.3">
      <c r="B33" s="5" t="s">
        <v>395</v>
      </c>
      <c r="C33" s="5"/>
      <c r="D33" s="5"/>
      <c r="E33" s="5"/>
      <c r="F33" s="5" t="str">
        <f>IF('02 Assumptions'!C13=1,"Gordon (crecimiento perpetuo)","Múltiplo de salida EV/EBITDA")</f>
        <v>Gordon (crecimiento perpetuo)</v>
      </c>
      <c r="G33" s="5"/>
      <c r="H33" s="5"/>
      <c r="I33" s="5"/>
      <c r="J33" s="5"/>
      <c r="K33" s="5"/>
      <c r="L33" s="5"/>
      <c r="M33" s="5"/>
      <c r="N33" s="5"/>
      <c r="O33" s="5"/>
      <c r="P33" s="5"/>
    </row>
    <row r="34" spans="2:16" x14ac:dyDescent="0.3">
      <c r="B34" s="3" t="s">
        <v>396</v>
      </c>
      <c r="C34" s="3" t="s">
        <v>46</v>
      </c>
      <c r="D34" s="18"/>
      <c r="E34" s="18"/>
      <c r="F34" s="18">
        <f>IF('02 Assumptions'!C13=1,F31,F32)</f>
        <v>205812.42062160262</v>
      </c>
      <c r="G34" s="18"/>
      <c r="H34" s="18"/>
      <c r="I34" s="18"/>
      <c r="J34" s="18"/>
      <c r="K34" s="18"/>
      <c r="L34" s="18"/>
      <c r="M34" s="18"/>
      <c r="N34" s="18"/>
      <c r="O34" s="18"/>
      <c r="P34" s="18"/>
    </row>
    <row r="35" spans="2:16" x14ac:dyDescent="0.3">
      <c r="B35" t="s">
        <v>397</v>
      </c>
      <c r="C35" t="s">
        <v>145</v>
      </c>
      <c r="D35" s="25"/>
      <c r="E35" s="25"/>
      <c r="F35" s="25">
        <f>1/(1+P21)^'02 Assumptions'!C11</f>
        <v>0.33548445890869688</v>
      </c>
      <c r="G35" s="25"/>
      <c r="H35" s="25"/>
      <c r="I35" s="25"/>
      <c r="J35" s="25"/>
      <c r="K35" s="25"/>
      <c r="L35" s="25"/>
      <c r="M35" s="25"/>
      <c r="N35" s="25"/>
      <c r="O35" s="25"/>
      <c r="P35" s="25"/>
    </row>
    <row r="36" spans="2:16" x14ac:dyDescent="0.3">
      <c r="B36" s="3" t="s">
        <v>398</v>
      </c>
      <c r="C36" s="3" t="s">
        <v>46</v>
      </c>
      <c r="D36" s="18"/>
      <c r="E36" s="18"/>
      <c r="F36" s="18">
        <f>F34*F35</f>
        <v>69046.868568927486</v>
      </c>
      <c r="G36" s="18"/>
      <c r="H36" s="18"/>
      <c r="I36" s="18"/>
      <c r="J36" s="18"/>
      <c r="K36" s="18"/>
      <c r="L36" s="18"/>
      <c r="M36" s="18"/>
      <c r="N36" s="18"/>
      <c r="O36" s="18"/>
      <c r="P36" s="18"/>
    </row>
    <row r="37" spans="2:16" x14ac:dyDescent="0.3">
      <c r="B37" t="s">
        <v>399</v>
      </c>
      <c r="C37" t="s">
        <v>46</v>
      </c>
      <c r="D37" s="17"/>
      <c r="E37" s="17"/>
      <c r="F37" s="17">
        <f>P15*(1+F26)</f>
        <v>18780.211369073517</v>
      </c>
      <c r="G37" s="17"/>
      <c r="H37" s="17"/>
      <c r="I37" s="17"/>
      <c r="J37" s="17"/>
      <c r="K37" s="17"/>
      <c r="L37" s="17"/>
      <c r="M37" s="17"/>
      <c r="N37" s="17"/>
      <c r="O37" s="17"/>
      <c r="P37" s="17"/>
    </row>
    <row r="38" spans="2:16" x14ac:dyDescent="0.3">
      <c r="B38" t="s">
        <v>400</v>
      </c>
      <c r="C38" t="s">
        <v>46</v>
      </c>
      <c r="D38" s="17"/>
      <c r="E38" s="17"/>
      <c r="F38" s="17">
        <f>IF(P21&lt;=F26,"n/a",F37/(P21-F26))</f>
        <v>219894.78385626001</v>
      </c>
      <c r="G38" s="17"/>
      <c r="H38" s="17"/>
      <c r="I38" s="17"/>
      <c r="J38" s="17"/>
      <c r="K38" s="17"/>
      <c r="L38" s="17"/>
      <c r="M38" s="17"/>
      <c r="N38" s="17"/>
      <c r="O38" s="17"/>
      <c r="P38" s="17"/>
    </row>
    <row r="39" spans="2:16" x14ac:dyDescent="0.3">
      <c r="B39" t="s">
        <v>401</v>
      </c>
      <c r="C39" t="s">
        <v>46</v>
      </c>
      <c r="D39" s="17"/>
      <c r="E39" s="17"/>
      <c r="F39" s="17">
        <f>IFERROR(F34-F38,"n/a")</f>
        <v>-14082.363234657387</v>
      </c>
      <c r="G39" s="17"/>
      <c r="H39" s="17"/>
      <c r="I39" s="17"/>
      <c r="J39" s="17"/>
      <c r="K39" s="17"/>
      <c r="L39" s="17"/>
      <c r="M39" s="17"/>
      <c r="N39" s="17"/>
      <c r="O39" s="17"/>
      <c r="P39" s="17"/>
    </row>
    <row r="41" spans="2:16" x14ac:dyDescent="0.3">
      <c r="B41" s="5" t="s">
        <v>402</v>
      </c>
      <c r="C41" s="5"/>
      <c r="D41" s="5"/>
      <c r="E41" s="5"/>
      <c r="F41" s="5"/>
      <c r="G41" s="5"/>
      <c r="H41" s="5"/>
      <c r="I41" s="5"/>
      <c r="J41" s="5"/>
      <c r="K41" s="5"/>
      <c r="L41" s="5"/>
      <c r="M41" s="5"/>
      <c r="N41" s="5"/>
      <c r="O41" s="5"/>
      <c r="P41" s="5"/>
    </row>
    <row r="42" spans="2:16" x14ac:dyDescent="0.3">
      <c r="B42" t="s">
        <v>403</v>
      </c>
      <c r="C42" t="s">
        <v>46</v>
      </c>
      <c r="D42" s="17"/>
      <c r="E42" s="17"/>
      <c r="F42" s="17">
        <f>SUM(G23:P23)</f>
        <v>80410.752959001911</v>
      </c>
      <c r="G42" s="17"/>
      <c r="H42" s="17"/>
      <c r="I42" s="17"/>
      <c r="J42" s="17"/>
      <c r="K42" s="17"/>
      <c r="L42" s="17"/>
      <c r="M42" s="17"/>
      <c r="N42" s="17"/>
      <c r="O42" s="17"/>
      <c r="P42" s="17"/>
    </row>
    <row r="43" spans="2:16" x14ac:dyDescent="0.3">
      <c r="B43" t="s">
        <v>404</v>
      </c>
      <c r="C43" t="s">
        <v>46</v>
      </c>
      <c r="D43" s="17"/>
      <c r="E43" s="17"/>
      <c r="F43" s="17">
        <f>F36</f>
        <v>69046.868568927486</v>
      </c>
      <c r="G43" s="17"/>
      <c r="H43" s="17"/>
      <c r="I43" s="17"/>
      <c r="J43" s="17"/>
      <c r="K43" s="17"/>
      <c r="L43" s="17"/>
      <c r="M43" s="17"/>
      <c r="N43" s="17"/>
      <c r="O43" s="17"/>
      <c r="P43" s="17"/>
    </row>
    <row r="44" spans="2:16" x14ac:dyDescent="0.3">
      <c r="B44" s="99" t="s">
        <v>405</v>
      </c>
      <c r="C44" s="99" t="s">
        <v>46</v>
      </c>
      <c r="D44" s="106"/>
      <c r="E44" s="106"/>
      <c r="F44" s="106">
        <f>F42+F43</f>
        <v>149457.62152792938</v>
      </c>
      <c r="G44" s="18"/>
      <c r="H44" s="18"/>
      <c r="I44" s="18"/>
      <c r="J44" s="18"/>
      <c r="K44" s="18"/>
      <c r="L44" s="18"/>
      <c r="M44" s="18"/>
      <c r="N44" s="18"/>
      <c r="O44" s="18"/>
      <c r="P44" s="18"/>
    </row>
    <row r="45" spans="2:16" x14ac:dyDescent="0.3">
      <c r="B45" t="s">
        <v>406</v>
      </c>
      <c r="C45" t="s">
        <v>23</v>
      </c>
      <c r="D45" s="19"/>
      <c r="E45" s="19"/>
      <c r="F45" s="19">
        <f>F43/F44</f>
        <v>0.46198292106518363</v>
      </c>
      <c r="G45" s="19"/>
      <c r="H45" s="19"/>
      <c r="I45" s="19"/>
      <c r="J45" s="19"/>
      <c r="K45" s="19"/>
      <c r="L45" s="19"/>
      <c r="M45" s="19"/>
      <c r="N45" s="19"/>
      <c r="O45" s="19"/>
      <c r="P45" s="19"/>
    </row>
    <row r="46" spans="2:16" x14ac:dyDescent="0.3">
      <c r="B46" t="s">
        <v>407</v>
      </c>
      <c r="C46" t="s">
        <v>46</v>
      </c>
      <c r="D46" s="17"/>
      <c r="E46" s="17"/>
      <c r="F46" s="17">
        <f>-'02 Assumptions'!C70</f>
        <v>-15270</v>
      </c>
      <c r="G46" s="17"/>
      <c r="H46" s="17"/>
      <c r="I46" s="17"/>
      <c r="J46" s="17"/>
      <c r="K46" s="17"/>
      <c r="L46" s="17"/>
      <c r="M46" s="17"/>
      <c r="N46" s="17"/>
      <c r="O46" s="17"/>
      <c r="P46" s="17"/>
    </row>
    <row r="47" spans="2:16" x14ac:dyDescent="0.3">
      <c r="B47" t="s">
        <v>408</v>
      </c>
      <c r="C47" t="s">
        <v>46</v>
      </c>
      <c r="D47" s="17"/>
      <c r="E47" s="17"/>
      <c r="F47" s="17">
        <f>-'02 Assumptions'!C71</f>
        <v>0</v>
      </c>
      <c r="G47" s="17"/>
      <c r="H47" s="17"/>
      <c r="I47" s="17"/>
      <c r="J47" s="17"/>
      <c r="K47" s="17"/>
      <c r="L47" s="17"/>
      <c r="M47" s="17"/>
      <c r="N47" s="17"/>
      <c r="O47" s="17"/>
      <c r="P47" s="17"/>
    </row>
    <row r="48" spans="2:16" x14ac:dyDescent="0.3">
      <c r="B48" t="s">
        <v>409</v>
      </c>
      <c r="C48" t="s">
        <v>46</v>
      </c>
      <c r="D48" s="17"/>
      <c r="E48" s="17"/>
      <c r="F48" s="17">
        <f>'02 Assumptions'!C72</f>
        <v>4533</v>
      </c>
      <c r="G48" s="17"/>
      <c r="H48" s="17"/>
      <c r="I48" s="17"/>
      <c r="J48" s="17"/>
      <c r="K48" s="17"/>
      <c r="L48" s="17"/>
      <c r="M48" s="17"/>
      <c r="N48" s="17"/>
      <c r="O48" s="17"/>
      <c r="P48" s="17"/>
    </row>
    <row r="49" spans="2:16" x14ac:dyDescent="0.3">
      <c r="B49" t="s">
        <v>410</v>
      </c>
      <c r="C49" t="s">
        <v>46</v>
      </c>
      <c r="D49" s="17"/>
      <c r="E49" s="17"/>
      <c r="F49" s="17">
        <f>-'02 Assumptions'!C68*'03 Historical'!F11</f>
        <v>-857.96</v>
      </c>
      <c r="G49" s="17"/>
      <c r="H49" s="17"/>
      <c r="I49" s="17"/>
      <c r="J49" s="17"/>
      <c r="K49" s="17"/>
      <c r="L49" s="17"/>
      <c r="M49" s="17"/>
      <c r="N49" s="17"/>
      <c r="O49" s="17"/>
      <c r="P49" s="17"/>
    </row>
    <row r="50" spans="2:16" x14ac:dyDescent="0.3">
      <c r="B50" t="s">
        <v>1959</v>
      </c>
      <c r="C50" t="s">
        <v>46</v>
      </c>
      <c r="D50" s="17"/>
      <c r="E50" s="17"/>
      <c r="F50" s="17">
        <f>'02 Assumptions'!C73+'02 Assumptions'!C77</f>
        <v>5150</v>
      </c>
      <c r="G50" s="17"/>
      <c r="H50" s="17"/>
      <c r="I50" s="17"/>
      <c r="J50" s="17"/>
      <c r="K50" s="17"/>
      <c r="L50" s="17"/>
      <c r="M50" s="17"/>
      <c r="N50" s="17"/>
      <c r="O50" s="17"/>
      <c r="P50" s="17"/>
    </row>
    <row r="51" spans="2:16" x14ac:dyDescent="0.3">
      <c r="B51" t="s">
        <v>411</v>
      </c>
      <c r="C51" t="s">
        <v>46</v>
      </c>
      <c r="D51" s="17"/>
      <c r="E51" s="17"/>
      <c r="F51" s="17">
        <f>-'02 Assumptions'!C74</f>
        <v>0</v>
      </c>
      <c r="G51" s="17"/>
      <c r="H51" s="17"/>
      <c r="I51" s="17"/>
      <c r="J51" s="17"/>
      <c r="K51" s="17"/>
      <c r="L51" s="17"/>
      <c r="M51" s="17"/>
      <c r="N51" s="17"/>
      <c r="O51" s="17"/>
      <c r="P51" s="17"/>
    </row>
    <row r="52" spans="2:16" x14ac:dyDescent="0.3">
      <c r="B52" t="s">
        <v>412</v>
      </c>
      <c r="C52" t="s">
        <v>46</v>
      </c>
      <c r="D52" s="17"/>
      <c r="E52" s="17"/>
      <c r="F52" s="17">
        <f>-'02 Assumptions'!C75</f>
        <v>0</v>
      </c>
      <c r="G52" s="17"/>
      <c r="H52" s="17"/>
      <c r="I52" s="17"/>
      <c r="J52" s="17"/>
      <c r="K52" s="17"/>
      <c r="L52" s="17"/>
      <c r="M52" s="17"/>
      <c r="N52" s="17"/>
      <c r="O52" s="17"/>
      <c r="P52" s="17"/>
    </row>
    <row r="53" spans="2:16" x14ac:dyDescent="0.3">
      <c r="B53" s="99" t="s">
        <v>413</v>
      </c>
      <c r="C53" s="99" t="s">
        <v>46</v>
      </c>
      <c r="D53" s="106"/>
      <c r="E53" s="106"/>
      <c r="F53" s="106">
        <f>F44+SUM(F46:F52)</f>
        <v>143012.66152792939</v>
      </c>
      <c r="G53" s="18"/>
      <c r="H53" s="18"/>
      <c r="I53" s="18"/>
      <c r="J53" s="18"/>
      <c r="K53" s="18"/>
      <c r="L53" s="18"/>
      <c r="M53" s="18"/>
      <c r="N53" s="18"/>
      <c r="O53" s="18"/>
      <c r="P53" s="18"/>
    </row>
    <row r="54" spans="2:16" x14ac:dyDescent="0.3">
      <c r="B54" t="s">
        <v>414</v>
      </c>
      <c r="C54" t="s">
        <v>69</v>
      </c>
      <c r="D54" s="21"/>
      <c r="E54" s="21"/>
      <c r="F54" s="21">
        <f>'02 Assumptions'!C69</f>
        <v>1085.6999924345589</v>
      </c>
      <c r="G54" s="21"/>
      <c r="H54" s="21"/>
      <c r="I54" s="21"/>
      <c r="J54" s="21"/>
      <c r="K54" s="21"/>
      <c r="L54" s="21"/>
      <c r="M54" s="21"/>
      <c r="N54" s="21"/>
      <c r="O54" s="21"/>
      <c r="P54" s="21"/>
    </row>
    <row r="55" spans="2:16" ht="15.6" x14ac:dyDescent="0.3">
      <c r="B55" s="107" t="s">
        <v>415</v>
      </c>
      <c r="C55" s="107" t="s">
        <v>66</v>
      </c>
      <c r="D55" s="108"/>
      <c r="E55" s="108"/>
      <c r="F55" s="168">
        <f>F53/F54</f>
        <v>131.72392237678821</v>
      </c>
      <c r="G55" s="104"/>
      <c r="H55" s="104"/>
      <c r="I55" s="104"/>
      <c r="J55" s="104"/>
      <c r="K55" s="104"/>
      <c r="L55" s="104"/>
      <c r="M55" s="104"/>
      <c r="N55" s="104"/>
      <c r="O55" s="104"/>
      <c r="P55" s="104"/>
    </row>
    <row r="56" spans="2:16" x14ac:dyDescent="0.3">
      <c r="B56" t="s">
        <v>416</v>
      </c>
      <c r="C56" t="s">
        <v>66</v>
      </c>
      <c r="D56" s="20"/>
      <c r="E56" s="20"/>
      <c r="F56" s="164">
        <f>'01 Summary'!$C$10</f>
        <v>198.27</v>
      </c>
      <c r="G56" s="20"/>
      <c r="H56" s="20"/>
      <c r="I56" s="20"/>
      <c r="J56" s="20"/>
      <c r="K56" s="20"/>
      <c r="L56" s="20"/>
      <c r="M56" s="20"/>
      <c r="N56" s="20"/>
      <c r="O56" s="20"/>
      <c r="P56" s="20"/>
    </row>
    <row r="57" spans="2:16" x14ac:dyDescent="0.3">
      <c r="B57" t="s">
        <v>417</v>
      </c>
      <c r="C57" t="s">
        <v>23</v>
      </c>
      <c r="D57" s="19"/>
      <c r="E57" s="19"/>
      <c r="F57" s="19">
        <f>IF(F56&lt;=0,"introducir precio",F55/F56-1)</f>
        <v>-0.33563361891971455</v>
      </c>
      <c r="G57" s="19"/>
      <c r="H57" s="19"/>
      <c r="I57" s="19"/>
      <c r="J57" s="19"/>
      <c r="K57" s="19"/>
      <c r="L57" s="19"/>
      <c r="M57" s="19"/>
      <c r="N57" s="19"/>
      <c r="O57" s="19"/>
      <c r="P57" s="19"/>
    </row>
    <row r="58" spans="2:16" x14ac:dyDescent="0.3">
      <c r="B58" t="s">
        <v>418</v>
      </c>
      <c r="C58" t="s">
        <v>23</v>
      </c>
      <c r="D58" s="19"/>
      <c r="E58" s="19"/>
      <c r="F58" s="19">
        <f>IF(F56&lt;=0,"introducir precio",1-F56/F55)</f>
        <v>-0.50519356258509229</v>
      </c>
      <c r="G58" s="19"/>
      <c r="H58" s="19"/>
      <c r="I58" s="19"/>
      <c r="J58" s="19"/>
      <c r="K58" s="19"/>
      <c r="L58" s="19"/>
      <c r="M58" s="19"/>
      <c r="N58" s="19"/>
      <c r="O58" s="19"/>
      <c r="P58" s="19"/>
    </row>
    <row r="60" spans="2:16" x14ac:dyDescent="0.3">
      <c r="B60" s="5" t="s">
        <v>419</v>
      </c>
      <c r="C60" s="5"/>
      <c r="D60" s="5"/>
      <c r="E60" s="5"/>
      <c r="F60" s="5"/>
      <c r="G60" s="5"/>
      <c r="H60" s="5"/>
      <c r="I60" s="5"/>
      <c r="J60" s="5"/>
      <c r="K60" s="5"/>
      <c r="L60" s="5"/>
      <c r="M60" s="5"/>
      <c r="N60" s="5"/>
      <c r="O60" s="5"/>
      <c r="P60" s="5"/>
    </row>
    <row r="61" spans="2:16" x14ac:dyDescent="0.3">
      <c r="B61" t="s">
        <v>420</v>
      </c>
      <c r="C61" t="s">
        <v>46</v>
      </c>
      <c r="D61" s="17"/>
      <c r="E61" s="17"/>
      <c r="F61" s="17">
        <f>'04 Operating Model'!P39</f>
        <v>24952.787851017289</v>
      </c>
      <c r="G61" s="17"/>
      <c r="H61" s="17"/>
      <c r="I61" s="17"/>
      <c r="J61" s="17"/>
      <c r="K61" s="17"/>
      <c r="L61" s="17"/>
      <c r="M61" s="17"/>
      <c r="N61" s="17"/>
      <c r="O61" s="17"/>
      <c r="P61" s="17"/>
    </row>
    <row r="62" spans="2:16" x14ac:dyDescent="0.3">
      <c r="B62" t="s">
        <v>421</v>
      </c>
      <c r="C62" t="s">
        <v>145</v>
      </c>
      <c r="D62" s="25"/>
      <c r="E62" s="25"/>
      <c r="F62" s="25">
        <f>IFERROR(F34/F61,"n/a")</f>
        <v>8.2480731952847481</v>
      </c>
      <c r="G62" s="25"/>
      <c r="H62" s="25"/>
      <c r="I62" s="25"/>
      <c r="J62" s="25"/>
      <c r="K62" s="25"/>
      <c r="L62" s="25"/>
      <c r="M62" s="25"/>
      <c r="N62" s="25"/>
      <c r="O62" s="25"/>
      <c r="P62" s="25"/>
    </row>
    <row r="63" spans="2:16" x14ac:dyDescent="0.3">
      <c r="B63" t="s">
        <v>422</v>
      </c>
      <c r="C63" t="s">
        <v>23</v>
      </c>
      <c r="D63" s="19"/>
      <c r="E63" s="19"/>
      <c r="F63" s="19">
        <f>'04 Operating Model'!P30</f>
        <v>0.27900000000000008</v>
      </c>
      <c r="G63" s="19"/>
      <c r="H63" s="19"/>
      <c r="I63" s="19"/>
      <c r="J63" s="19"/>
      <c r="K63" s="19"/>
      <c r="L63" s="19"/>
      <c r="M63" s="19"/>
      <c r="N63" s="19"/>
      <c r="O63" s="19"/>
      <c r="P63" s="19"/>
    </row>
    <row r="64" spans="2:16" x14ac:dyDescent="0.3">
      <c r="B64" t="s">
        <v>423</v>
      </c>
      <c r="C64" t="s">
        <v>23</v>
      </c>
      <c r="D64" s="19"/>
      <c r="E64" s="19"/>
      <c r="F64" s="19">
        <f>'04 Operating Model'!P35</f>
        <v>0.03</v>
      </c>
      <c r="G64" s="19"/>
      <c r="H64" s="19"/>
      <c r="I64" s="19"/>
      <c r="J64" s="19"/>
      <c r="K64" s="19"/>
      <c r="L64" s="19"/>
      <c r="M64" s="19"/>
      <c r="N64" s="19"/>
      <c r="O64" s="19"/>
      <c r="P64" s="19"/>
    </row>
    <row r="65" spans="2:16" x14ac:dyDescent="0.3">
      <c r="B65" t="s">
        <v>424</v>
      </c>
      <c r="C65" t="s">
        <v>23</v>
      </c>
      <c r="D65" s="19"/>
      <c r="E65" s="19"/>
      <c r="F65" s="19">
        <f>'04 Operating Model'!P38/'04 Operating Model'!P11</f>
        <v>2.5736149091097008E-2</v>
      </c>
      <c r="G65" s="19"/>
      <c r="H65" s="19"/>
      <c r="I65" s="19"/>
      <c r="J65" s="19"/>
      <c r="K65" s="19"/>
      <c r="L65" s="19"/>
      <c r="M65" s="19"/>
      <c r="N65" s="19"/>
      <c r="O65" s="19"/>
      <c r="P65" s="19"/>
    </row>
    <row r="66" spans="2:16" x14ac:dyDescent="0.3">
      <c r="B66" t="s">
        <v>425</v>
      </c>
      <c r="C66" t="s">
        <v>145</v>
      </c>
      <c r="D66" s="25"/>
      <c r="E66" s="25"/>
      <c r="F66" s="25">
        <f>'04 Operating Model'!P41</f>
        <v>1.1656755598442659</v>
      </c>
      <c r="G66" s="25"/>
      <c r="H66" s="25"/>
      <c r="I66" s="25"/>
      <c r="J66" s="25"/>
      <c r="K66" s="25"/>
      <c r="L66" s="25"/>
      <c r="M66" s="25"/>
      <c r="N66" s="25"/>
      <c r="O66" s="25"/>
      <c r="P66" s="25"/>
    </row>
    <row r="67" spans="2:16" x14ac:dyDescent="0.3">
      <c r="B67" s="101" t="s">
        <v>426</v>
      </c>
      <c r="C67" s="101"/>
      <c r="D67" s="101"/>
      <c r="E67" s="101"/>
      <c r="F67" s="101" t="str">
        <f>IF(P21&gt;F26,"OK","FALLO")</f>
        <v>OK</v>
      </c>
      <c r="G67" s="5"/>
      <c r="H67" s="5"/>
      <c r="I67" s="5"/>
      <c r="J67" s="5"/>
      <c r="K67" s="5"/>
      <c r="L67" s="5"/>
      <c r="M67" s="5"/>
      <c r="N67" s="5"/>
      <c r="O67" s="5"/>
      <c r="P67" s="5"/>
    </row>
    <row r="68" spans="2:16" x14ac:dyDescent="0.3">
      <c r="B68" s="101" t="s">
        <v>427</v>
      </c>
      <c r="C68" s="101"/>
      <c r="D68" s="101"/>
      <c r="E68" s="101"/>
      <c r="F68" s="101" t="str">
        <f>IF(F26&lt;='02 Assumptions'!C65,"OK","FALLO: g por encima del PIB nominal")</f>
        <v>OK</v>
      </c>
      <c r="G68" s="5"/>
      <c r="H68" s="5"/>
      <c r="I68" s="5"/>
      <c r="J68" s="5"/>
      <c r="K68" s="5"/>
      <c r="L68" s="5"/>
      <c r="M68" s="5"/>
      <c r="N68" s="5"/>
      <c r="O68" s="5"/>
      <c r="P68" s="5"/>
    </row>
    <row r="69" spans="2:16" x14ac:dyDescent="0.3">
      <c r="B69" s="101" t="s">
        <v>428</v>
      </c>
      <c r="C69" s="101"/>
      <c r="D69" s="101"/>
      <c r="E69" s="101"/>
      <c r="F69" s="101" t="str">
        <f>IF(AND(F62&gt;=8,F62&lt;=25),"OK","AVISO: múltiplo implícito fuera de rango — revisar g, ROIC terminal o WACC")</f>
        <v>OK</v>
      </c>
      <c r="G69" s="5"/>
      <c r="H69" s="5"/>
      <c r="I69" s="5"/>
      <c r="J69" s="5"/>
      <c r="K69" s="5"/>
      <c r="L69" s="5"/>
      <c r="M69" s="5"/>
      <c r="N69" s="5"/>
      <c r="O69" s="5"/>
      <c r="P69" s="5"/>
    </row>
    <row r="70" spans="2:16" x14ac:dyDescent="0.3">
      <c r="B70" s="101" t="s">
        <v>429</v>
      </c>
      <c r="C70" s="101"/>
      <c r="D70" s="101"/>
      <c r="E70" s="101"/>
      <c r="F70" s="101" t="str">
        <f>IF(F45&gt;0.75,"AVISO: el valor depende mayoritariamente de las hipótesis terminales","OK")</f>
        <v>OK</v>
      </c>
      <c r="G70" s="5"/>
      <c r="H70" s="5"/>
      <c r="I70" s="5"/>
      <c r="J70" s="5"/>
      <c r="K70" s="5"/>
      <c r="L70" s="5"/>
      <c r="M70" s="5"/>
      <c r="N70" s="5"/>
      <c r="O70" s="5"/>
      <c r="P70" s="5"/>
    </row>
    <row r="71" spans="2:16" x14ac:dyDescent="0.3">
      <c r="B71" t="s">
        <v>1972</v>
      </c>
      <c r="C71" t="s">
        <v>145</v>
      </c>
      <c r="D71" s="25"/>
      <c r="E71" s="25"/>
      <c r="F71" s="25">
        <f>F44/'03 Historical'!F125</f>
        <v>13.903465675952376</v>
      </c>
      <c r="G71" s="25"/>
      <c r="H71" s="25"/>
      <c r="I71" s="25"/>
      <c r="J71" s="25"/>
      <c r="K71" s="25"/>
      <c r="L71" s="25"/>
      <c r="M71" s="25"/>
      <c r="N71" s="25"/>
      <c r="O71" s="25"/>
      <c r="P71" s="25"/>
    </row>
    <row r="72" spans="2:16" x14ac:dyDescent="0.3">
      <c r="B72" t="s">
        <v>1973</v>
      </c>
      <c r="C72" t="s">
        <v>145</v>
      </c>
      <c r="D72" s="25"/>
      <c r="E72" s="25"/>
      <c r="F72" s="25">
        <f>F44/'03 Historical'!F11</f>
        <v>3.4840230669944843</v>
      </c>
      <c r="G72" s="25"/>
      <c r="H72" s="25"/>
      <c r="I72" s="25"/>
      <c r="J72" s="25"/>
      <c r="K72" s="25"/>
      <c r="L72" s="25"/>
      <c r="M72" s="25"/>
      <c r="N72" s="25"/>
      <c r="O72" s="25"/>
      <c r="P72" s="25"/>
    </row>
    <row r="73" spans="2:16" x14ac:dyDescent="0.3">
      <c r="B73" t="s">
        <v>430</v>
      </c>
      <c r="C73" t="s">
        <v>46</v>
      </c>
      <c r="D73" s="17"/>
      <c r="E73" s="17"/>
      <c r="F73" s="17">
        <f>SUM(G15:P15)</f>
        <v>141588.18955980332</v>
      </c>
      <c r="G73" s="17"/>
      <c r="H73" s="17"/>
      <c r="I73" s="17"/>
      <c r="J73" s="17"/>
      <c r="K73" s="17"/>
      <c r="L73" s="17"/>
      <c r="M73" s="17"/>
      <c r="N73" s="17"/>
      <c r="O73" s="17"/>
      <c r="P73" s="17"/>
    </row>
    <row r="74" spans="2:16" x14ac:dyDescent="0.3">
      <c r="B74" t="s">
        <v>431</v>
      </c>
      <c r="C74" t="s">
        <v>238</v>
      </c>
      <c r="D74" s="26"/>
      <c r="E74" s="26"/>
      <c r="F74" s="26">
        <f>COUNTIF(G15:P15,"&lt;0")</f>
        <v>0</v>
      </c>
      <c r="G74" s="26"/>
      <c r="H74" s="26"/>
      <c r="I74" s="26"/>
      <c r="J74" s="26"/>
      <c r="K74" s="26"/>
      <c r="L74" s="26"/>
      <c r="M74" s="26"/>
      <c r="N74" s="26"/>
      <c r="O74" s="26"/>
      <c r="P74" s="26"/>
    </row>
    <row r="75" spans="2:16" x14ac:dyDescent="0.3">
      <c r="B75" s="101" t="s">
        <v>432</v>
      </c>
      <c r="C75" s="101"/>
      <c r="D75" s="101"/>
      <c r="E75" s="101"/>
      <c r="F75" s="101" t="str">
        <f>IF(P15&gt;0,"OK","FALLO: FCFF negativo al final del horizonte — el FCFF DCF no es la metodología adecuada")</f>
        <v>OK</v>
      </c>
      <c r="G75" s="5"/>
      <c r="H75" s="5"/>
      <c r="I75" s="5"/>
      <c r="J75" s="5"/>
      <c r="K75" s="5"/>
      <c r="L75" s="5"/>
      <c r="M75" s="5"/>
      <c r="N75" s="5"/>
      <c r="O75" s="5"/>
      <c r="P75"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CAB01-CF6E-49F0-8FD6-B1F3863B8A1B}">
  <dimension ref="A1:E57"/>
  <sheetViews>
    <sheetView workbookViewId="0"/>
  </sheetViews>
  <sheetFormatPr baseColWidth="10" defaultRowHeight="14.4" x14ac:dyDescent="0.3"/>
  <cols>
    <col min="2" max="2" width="77.77734375" customWidth="1"/>
    <col min="3" max="3" width="20.33203125" customWidth="1"/>
    <col min="4" max="5" width="79.6640625" customWidth="1"/>
  </cols>
  <sheetData>
    <row r="1" spans="1:4" ht="18" x14ac:dyDescent="0.35">
      <c r="A1" s="4" t="s">
        <v>1974</v>
      </c>
    </row>
    <row r="2" spans="1:4" x14ac:dyDescent="0.3">
      <c r="A2" s="89" t="s">
        <v>321</v>
      </c>
    </row>
    <row r="4" spans="1:4" x14ac:dyDescent="0.3">
      <c r="B4" s="5" t="s">
        <v>322</v>
      </c>
      <c r="C4" s="5"/>
      <c r="D4" s="5"/>
    </row>
    <row r="5" spans="1:4" x14ac:dyDescent="0.3">
      <c r="B5" t="s">
        <v>323</v>
      </c>
      <c r="C5" s="91">
        <f>'00 Panel del Analista'!D207</f>
        <v>4.9599999999999998E-2</v>
      </c>
      <c r="D5" t="s">
        <v>23</v>
      </c>
    </row>
    <row r="6" spans="1:4" x14ac:dyDescent="0.3">
      <c r="B6" t="s">
        <v>324</v>
      </c>
      <c r="C6" s="91">
        <f>'00 Panel del Analista'!D208</f>
        <v>4.2299999999999997E-2</v>
      </c>
      <c r="D6" t="s">
        <v>23</v>
      </c>
    </row>
    <row r="7" spans="1:4" x14ac:dyDescent="0.3">
      <c r="B7" t="s">
        <v>325</v>
      </c>
      <c r="C7" s="93">
        <f>C19</f>
        <v>1.683019210685196</v>
      </c>
      <c r="D7" t="s">
        <v>145</v>
      </c>
    </row>
    <row r="8" spans="1:4" x14ac:dyDescent="0.3">
      <c r="B8" t="s">
        <v>326</v>
      </c>
      <c r="C8" s="90">
        <f>'00 Panel del Analista'!D209</f>
        <v>0</v>
      </c>
      <c r="D8" t="s">
        <v>23</v>
      </c>
    </row>
    <row r="9" spans="1:4" x14ac:dyDescent="0.3">
      <c r="B9" s="95" t="s">
        <v>327</v>
      </c>
      <c r="C9" s="96">
        <f>C5+C7*C6+C8</f>
        <v>0.12079171261198379</v>
      </c>
      <c r="D9" s="95" t="s">
        <v>23</v>
      </c>
    </row>
    <row r="11" spans="1:4" x14ac:dyDescent="0.3">
      <c r="B11" s="5" t="s">
        <v>328</v>
      </c>
      <c r="C11" s="5"/>
      <c r="D11" s="5"/>
    </row>
    <row r="12" spans="1:4" x14ac:dyDescent="0.3">
      <c r="B12" t="s">
        <v>329</v>
      </c>
      <c r="C12" s="92">
        <f>'00 Panel del Analista'!D210</f>
        <v>1.68</v>
      </c>
      <c r="D12" t="s">
        <v>145</v>
      </c>
    </row>
    <row r="13" spans="1:4" x14ac:dyDescent="0.3">
      <c r="B13" t="s">
        <v>330</v>
      </c>
      <c r="C13" s="43">
        <f>'00 Panel del Analista'!D211</f>
        <v>7.2862999095439501E-2</v>
      </c>
      <c r="D13" t="s">
        <v>145</v>
      </c>
    </row>
    <row r="14" spans="1:4" x14ac:dyDescent="0.3">
      <c r="B14" t="s">
        <v>331</v>
      </c>
      <c r="C14" s="94">
        <f>'02 Assumptions'!C58</f>
        <v>0.21</v>
      </c>
      <c r="D14" t="s">
        <v>23</v>
      </c>
    </row>
    <row r="15" spans="1:4" x14ac:dyDescent="0.3">
      <c r="B15" t="s">
        <v>332</v>
      </c>
      <c r="C15" s="44">
        <f>C12/(1+(1-C14)*C13)</f>
        <v>1.5885596934306629</v>
      </c>
      <c r="D15" t="s">
        <v>145</v>
      </c>
    </row>
    <row r="16" spans="1:4" x14ac:dyDescent="0.3">
      <c r="B16" t="s">
        <v>333</v>
      </c>
      <c r="C16" s="44">
        <f>C31/C32</f>
        <v>7.5268817204301092E-2</v>
      </c>
      <c r="D16" t="s">
        <v>145</v>
      </c>
    </row>
    <row r="17" spans="2:4" x14ac:dyDescent="0.3">
      <c r="B17" t="s">
        <v>334</v>
      </c>
      <c r="C17" s="44">
        <f>C15*(1+(1-C14)*C16)</f>
        <v>1.683019210685196</v>
      </c>
      <c r="D17" t="s">
        <v>145</v>
      </c>
    </row>
    <row r="19" spans="2:4" x14ac:dyDescent="0.3">
      <c r="B19" t="s">
        <v>335</v>
      </c>
      <c r="C19" s="44">
        <f>C17</f>
        <v>1.683019210685196</v>
      </c>
      <c r="D19" t="s">
        <v>145</v>
      </c>
    </row>
    <row r="21" spans="2:4" x14ac:dyDescent="0.3">
      <c r="B21" s="5" t="s">
        <v>336</v>
      </c>
      <c r="C21" s="5"/>
      <c r="D21" s="5"/>
    </row>
    <row r="22" spans="2:4" x14ac:dyDescent="0.3">
      <c r="B22" t="s">
        <v>337</v>
      </c>
      <c r="C22" s="62">
        <f>'03 Historical'!F29</f>
        <v>694</v>
      </c>
      <c r="D22" t="s">
        <v>46</v>
      </c>
    </row>
    <row r="23" spans="2:4" x14ac:dyDescent="0.3">
      <c r="B23" t="s">
        <v>338</v>
      </c>
      <c r="C23" s="62">
        <f>AVERAGE('03 Historical'!E110+'03 Historical'!E112,'03 Historical'!F110+'03 Historical'!F112)</f>
        <v>15040.5</v>
      </c>
      <c r="D23" t="s">
        <v>46</v>
      </c>
    </row>
    <row r="24" spans="2:4" x14ac:dyDescent="0.3">
      <c r="B24" t="s">
        <v>339</v>
      </c>
      <c r="C24" s="88">
        <f>C22/C23</f>
        <v>4.6142083042452049E-2</v>
      </c>
      <c r="D24" t="s">
        <v>23</v>
      </c>
    </row>
    <row r="25" spans="2:4" x14ac:dyDescent="0.3">
      <c r="B25" t="s">
        <v>340</v>
      </c>
      <c r="C25" s="91">
        <f>'00 Panel del Analista'!D212</f>
        <v>5.5500000000000001E-2</v>
      </c>
      <c r="D25" t="s">
        <v>23</v>
      </c>
    </row>
    <row r="26" spans="2:4" x14ac:dyDescent="0.3">
      <c r="B26" t="s">
        <v>341</v>
      </c>
      <c r="C26" s="88">
        <f>C25*(1-C14)</f>
        <v>4.3845000000000002E-2</v>
      </c>
      <c r="D26" t="s">
        <v>23</v>
      </c>
    </row>
    <row r="28" spans="2:4" x14ac:dyDescent="0.3">
      <c r="B28" s="5" t="s">
        <v>342</v>
      </c>
      <c r="C28" s="5"/>
      <c r="D28" s="5"/>
    </row>
    <row r="29" spans="2:4" x14ac:dyDescent="0.3">
      <c r="B29" t="s">
        <v>343</v>
      </c>
      <c r="C29" s="62">
        <f>IF('01 Summary'!$C$10&lt;=0,0,'01 Summary'!$C$10*'02 Assumptions'!C69)</f>
        <v>215261.73750000002</v>
      </c>
      <c r="D29" t="s">
        <v>46</v>
      </c>
    </row>
    <row r="30" spans="2:4" x14ac:dyDescent="0.3">
      <c r="B30" t="s">
        <v>344</v>
      </c>
      <c r="C30" s="17">
        <f>'02 Assumptions'!C70+'02 Assumptions'!C71</f>
        <v>15270</v>
      </c>
      <c r="D30" t="s">
        <v>46</v>
      </c>
    </row>
    <row r="31" spans="2:4" x14ac:dyDescent="0.3">
      <c r="B31" t="s">
        <v>345</v>
      </c>
      <c r="C31" s="91">
        <f>'00 Panel del Analista'!D213</f>
        <v>7.0000000000000007E-2</v>
      </c>
      <c r="D31" t="s">
        <v>23</v>
      </c>
    </row>
    <row r="32" spans="2:4" x14ac:dyDescent="0.3">
      <c r="B32" t="s">
        <v>346</v>
      </c>
      <c r="C32" s="88">
        <f>1-C31</f>
        <v>0.92999999999999994</v>
      </c>
      <c r="D32" t="s">
        <v>23</v>
      </c>
    </row>
    <row r="33" spans="2:5" x14ac:dyDescent="0.3">
      <c r="B33" t="s">
        <v>347</v>
      </c>
      <c r="C33" s="88">
        <f>IF(C29&lt;=0,"introducir precio en Summary!C10",C30/(C30+C29))</f>
        <v>6.6238168182808227E-2</v>
      </c>
      <c r="D33" t="s">
        <v>23</v>
      </c>
    </row>
    <row r="35" spans="2:5" x14ac:dyDescent="0.3">
      <c r="B35" s="5" t="s">
        <v>348</v>
      </c>
      <c r="C35" s="5"/>
      <c r="D35" s="5"/>
    </row>
    <row r="36" spans="2:5" x14ac:dyDescent="0.3">
      <c r="B36" t="s">
        <v>349</v>
      </c>
      <c r="C36" s="88">
        <f>C32*C9+C31*C26</f>
        <v>0.11540544272914492</v>
      </c>
      <c r="D36" t="s">
        <v>23</v>
      </c>
    </row>
    <row r="37" spans="2:5" x14ac:dyDescent="0.3">
      <c r="B37" t="s">
        <v>350</v>
      </c>
      <c r="C37" s="94">
        <f>'09 Escenarios'!$G$17</f>
        <v>0</v>
      </c>
      <c r="D37" t="s">
        <v>195</v>
      </c>
    </row>
    <row r="38" spans="2:5" x14ac:dyDescent="0.3">
      <c r="B38" s="99" t="s">
        <v>351</v>
      </c>
      <c r="C38" s="98">
        <f>C36+C37</f>
        <v>0.11540544272914492</v>
      </c>
      <c r="D38" s="99" t="s">
        <v>23</v>
      </c>
    </row>
    <row r="40" spans="2:5" x14ac:dyDescent="0.3">
      <c r="B40" s="5" t="s">
        <v>352</v>
      </c>
      <c r="C40" s="5"/>
      <c r="D40" s="5"/>
    </row>
    <row r="41" spans="2:5" x14ac:dyDescent="0.3">
      <c r="B41" t="s">
        <v>353</v>
      </c>
      <c r="C41" s="94">
        <f>'02 Assumptions'!C63</f>
        <v>0.03</v>
      </c>
      <c r="D41" t="s">
        <v>23</v>
      </c>
    </row>
    <row r="42" spans="2:5" x14ac:dyDescent="0.3">
      <c r="B42" s="22" t="s">
        <v>354</v>
      </c>
      <c r="C42" s="22" t="str">
        <f>IF(C38&gt;C41,"OK","FALLO — g debe ser menor que el WACC")</f>
        <v>OK</v>
      </c>
    </row>
    <row r="43" spans="2:5" x14ac:dyDescent="0.3">
      <c r="B43" s="22" t="s">
        <v>355</v>
      </c>
      <c r="C43" s="100">
        <f>C38-C41</f>
        <v>8.5405442729144923E-2</v>
      </c>
      <c r="D43" t="s">
        <v>195</v>
      </c>
    </row>
    <row r="44" spans="2:5" x14ac:dyDescent="0.3">
      <c r="B44" s="22" t="s">
        <v>356</v>
      </c>
      <c r="C44" s="22" t="str">
        <f>IF(C25&gt;=C24,"OK","REVISAR — el coste marginal de la deuda nueva no debería ser inferior al histórico")</f>
        <v>OK</v>
      </c>
    </row>
    <row r="45" spans="2:5" x14ac:dyDescent="0.3">
      <c r="B45" s="22" t="s">
        <v>357</v>
      </c>
      <c r="C45" s="22" t="str">
        <f>IF(C9&gt;C25,"OK","FALLO")</f>
        <v>OK</v>
      </c>
    </row>
    <row r="47" spans="2:5" x14ac:dyDescent="0.3">
      <c r="B47" s="101" t="s">
        <v>358</v>
      </c>
      <c r="C47" s="16"/>
      <c r="D47" s="16"/>
      <c r="E47" s="16"/>
    </row>
    <row r="48" spans="2:5" x14ac:dyDescent="0.3">
      <c r="B48" s="2" t="s">
        <v>27</v>
      </c>
      <c r="C48" s="2" t="s">
        <v>359</v>
      </c>
      <c r="D48" s="2" t="s">
        <v>360</v>
      </c>
      <c r="E48" s="2" t="s">
        <v>361</v>
      </c>
    </row>
    <row r="49" spans="2:5" ht="28.8" x14ac:dyDescent="0.3">
      <c r="B49" s="37" t="s">
        <v>362</v>
      </c>
      <c r="C49" s="102">
        <f>C5</f>
        <v>4.9599999999999998E-2</v>
      </c>
      <c r="D49" s="37" t="s">
        <v>363</v>
      </c>
      <c r="E49" s="37" t="s">
        <v>364</v>
      </c>
    </row>
    <row r="50" spans="2:5" ht="28.8" x14ac:dyDescent="0.3">
      <c r="B50" s="37" t="s">
        <v>365</v>
      </c>
      <c r="C50" s="102">
        <f>C6</f>
        <v>4.2299999999999997E-2</v>
      </c>
      <c r="D50" s="37" t="s">
        <v>366</v>
      </c>
      <c r="E50" s="37" t="s">
        <v>367</v>
      </c>
    </row>
    <row r="51" spans="2:5" ht="28.8" x14ac:dyDescent="0.3">
      <c r="B51" s="37" t="s">
        <v>368</v>
      </c>
      <c r="C51" s="103">
        <f>C12</f>
        <v>1.68</v>
      </c>
      <c r="D51" s="37" t="s">
        <v>2039</v>
      </c>
      <c r="E51" s="37" t="s">
        <v>2040</v>
      </c>
    </row>
    <row r="52" spans="2:5" ht="28.8" x14ac:dyDescent="0.3">
      <c r="B52" s="37" t="s">
        <v>369</v>
      </c>
      <c r="C52" s="102">
        <f>C25</f>
        <v>5.5500000000000001E-2</v>
      </c>
      <c r="D52" s="37" t="s">
        <v>2041</v>
      </c>
      <c r="E52" s="37" t="s">
        <v>2042</v>
      </c>
    </row>
    <row r="53" spans="2:5" ht="28.8" x14ac:dyDescent="0.3">
      <c r="B53" s="37" t="s">
        <v>370</v>
      </c>
      <c r="C53" s="102">
        <f>C31</f>
        <v>7.0000000000000007E-2</v>
      </c>
      <c r="D53" s="37" t="s">
        <v>2043</v>
      </c>
      <c r="E53" s="37" t="s">
        <v>2044</v>
      </c>
    </row>
    <row r="54" spans="2:5" ht="43.2" x14ac:dyDescent="0.3">
      <c r="B54" s="37" t="s">
        <v>371</v>
      </c>
      <c r="C54" s="102"/>
      <c r="D54" s="37" t="s">
        <v>2045</v>
      </c>
      <c r="E54" s="37" t="s">
        <v>2046</v>
      </c>
    </row>
    <row r="56" spans="2:5" x14ac:dyDescent="0.3">
      <c r="B56" s="152" t="s">
        <v>1449</v>
      </c>
      <c r="C56" s="50">
        <f>'00 Panel del Analista'!D214</f>
        <v>0</v>
      </c>
    </row>
    <row r="57" spans="2:5" ht="28.8" x14ac:dyDescent="0.3">
      <c r="B57" s="153" t="s">
        <v>1450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81233-DD3F-4DC7-BA2A-F43F1ED8449F}">
  <dimension ref="A1:M65"/>
  <sheetViews>
    <sheetView workbookViewId="0"/>
  </sheetViews>
  <sheetFormatPr baseColWidth="10" defaultRowHeight="14.4" x14ac:dyDescent="0.3"/>
  <cols>
    <col min="2" max="2" width="55.5546875" customWidth="1"/>
    <col min="3" max="3" width="151.88671875" customWidth="1"/>
    <col min="4" max="8" width="17.5546875" customWidth="1"/>
  </cols>
  <sheetData>
    <row r="1" spans="1:13" ht="18" x14ac:dyDescent="0.35">
      <c r="A1" s="4" t="s">
        <v>533</v>
      </c>
    </row>
    <row r="2" spans="1:13" x14ac:dyDescent="0.3">
      <c r="A2" s="14" t="s">
        <v>534</v>
      </c>
    </row>
    <row r="4" spans="1:13" x14ac:dyDescent="0.3">
      <c r="B4" s="5" t="s">
        <v>535</v>
      </c>
      <c r="C4" s="5"/>
      <c r="D4" s="5"/>
      <c r="E4" s="5"/>
      <c r="F4" s="5"/>
      <c r="G4" s="5"/>
      <c r="H4" s="5"/>
      <c r="M4">
        <v>123.45</v>
      </c>
    </row>
    <row r="5" spans="1:13" x14ac:dyDescent="0.3">
      <c r="B5" s="2" t="s">
        <v>540</v>
      </c>
      <c r="D5" s="117">
        <f>'06 DCF'!$F$26+-0.01</f>
        <v>1.9999999999999997E-2</v>
      </c>
      <c r="E5" s="117">
        <f>'06 DCF'!$F$26+-0.005</f>
        <v>2.4999999999999998E-2</v>
      </c>
      <c r="F5" s="117">
        <f>'06 DCF'!$F$26+0</f>
        <v>0.03</v>
      </c>
      <c r="G5" s="117">
        <f>'06 DCF'!$F$26+0.005</f>
        <v>3.4999999999999996E-2</v>
      </c>
      <c r="H5" s="117">
        <f>'06 DCF'!$F$26+0.01</f>
        <v>0.04</v>
      </c>
    </row>
    <row r="6" spans="1:13" x14ac:dyDescent="0.3">
      <c r="C6" s="116">
        <f>'07 WACC'!$C$38+-0.01</f>
        <v>0.10540544272914493</v>
      </c>
      <c r="D6" s="169" cm="1">
        <f t="array" ref="D6">(SUMPRODUCT('06 DCF'!$G$15:$P$15,1/(1+$C6)^'06 DCF'!$G$20:$P$20)+'06 DCF'!$P$10*(1+D$5)*(1-D$5/'06 DCF'!$F$27)/($C6-D$5)/(1+$C6)^'02 Assumptions'!$C$11+SUM('06 DCF'!$F$46:$F$52))/'06 DCF'!$F$54</f>
        <v>142.85601662386435</v>
      </c>
      <c r="E6" s="170" cm="1">
        <f t="array" ref="E6">(SUMPRODUCT('06 DCF'!$G$15:$P$15,1/(1+$C6)^'06 DCF'!$G$20:$P$20)+'06 DCF'!$P$10*(1+E$5)*(1-E$5/'06 DCF'!$F$27)/($C6-E$5)/(1+$C6)^'02 Assumptions'!$C$11+SUM('06 DCF'!$F$46:$F$52))/'06 DCF'!$F$54</f>
        <v>146.31007260412738</v>
      </c>
      <c r="F6" s="170" cm="1">
        <f t="array" ref="F6">(SUMPRODUCT('06 DCF'!$G$15:$P$15,1/(1+$C6)^'06 DCF'!$G$20:$P$20)+'06 DCF'!$P$10*(1+F$5)*(1-F$5/'06 DCF'!$F$27)/($C6-F$5)/(1+$C6)^'02 Assumptions'!$C$11+SUM('06 DCF'!$F$46:$F$52))/'06 DCF'!$F$54</f>
        <v>150.20802222284073</v>
      </c>
      <c r="G6" s="170" cm="1">
        <f t="array" ref="G6">(SUMPRODUCT('06 DCF'!$G$15:$P$15,1/(1+$C6)^'06 DCF'!$G$20:$P$20)+'06 DCF'!$P$10*(1+G$5)*(1-G$5/'06 DCF'!$F$27)/($C6-G$5)/(1+$C6)^'02 Assumptions'!$C$11+SUM('06 DCF'!$F$46:$F$52))/'06 DCF'!$F$54</f>
        <v>154.64443777894402</v>
      </c>
      <c r="H6" s="171" cm="1">
        <f t="array" ref="H6">(SUMPRODUCT('06 DCF'!$G$15:$P$15,1/(1+$C6)^'06 DCF'!$G$20:$P$20)+'06 DCF'!$P$10*(1+H$5)*(1-H$5/'06 DCF'!$F$27)/($C6-H$5)/(1+$C6)^'02 Assumptions'!$C$11+SUM('06 DCF'!$F$46:$F$52))/'06 DCF'!$F$54</f>
        <v>159.74281035702936</v>
      </c>
    </row>
    <row r="7" spans="1:13" x14ac:dyDescent="0.3">
      <c r="C7" s="116">
        <f>'07 WACC'!$C$38+-0.005</f>
        <v>0.11040544272914492</v>
      </c>
      <c r="D7" s="172" cm="1">
        <f t="array" ref="D7">(SUMPRODUCT('06 DCF'!$G$15:$P$15,1/(1+$C7)^'06 DCF'!$G$20:$P$20)+'06 DCF'!$P$10*(1+D$5)*(1-D$5/'06 DCF'!$F$27)/($C7-D$5)/(1+$C7)^'02 Assumptions'!$C$11+SUM('06 DCF'!$F$46:$F$52))/'06 DCF'!$F$54</f>
        <v>134.26590725715374</v>
      </c>
      <c r="E7" s="173" cm="1">
        <f t="array" ref="E7">(SUMPRODUCT('06 DCF'!$G$15:$P$15,1/(1+$C7)^'06 DCF'!$G$20:$P$20)+'06 DCF'!$P$10*(1+E$5)*(1-E$5/'06 DCF'!$F$27)/($C7-E$5)/(1+$C7)^'02 Assumptions'!$C$11+SUM('06 DCF'!$F$46:$F$52))/'06 DCF'!$F$54</f>
        <v>137.15306510827614</v>
      </c>
      <c r="F7" s="173" cm="1">
        <f t="array" ref="F7">(SUMPRODUCT('06 DCF'!$G$15:$P$15,1/(1+$C7)^'06 DCF'!$G$20:$P$20)+'06 DCF'!$P$10*(1+F$5)*(1-F$5/'06 DCF'!$F$27)/($C7-F$5)/(1+$C7)^'02 Assumptions'!$C$11+SUM('06 DCF'!$F$46:$F$52))/'06 DCF'!$F$54</f>
        <v>140.38659463100151</v>
      </c>
      <c r="G7" s="173" cm="1">
        <f t="array" ref="G7">(SUMPRODUCT('06 DCF'!$G$15:$P$15,1/(1+$C7)^'06 DCF'!$G$20:$P$20)+'06 DCF'!$P$10*(1+G$5)*(1-G$5/'06 DCF'!$F$27)/($C7-G$5)/(1+$C7)^'02 Assumptions'!$C$11+SUM('06 DCF'!$F$46:$F$52))/'06 DCF'!$F$54</f>
        <v>144.035397682888</v>
      </c>
      <c r="H7" s="174" cm="1">
        <f t="array" ref="H7">(SUMPRODUCT('06 DCF'!$G$15:$P$15,1/(1+$C7)^'06 DCF'!$G$20:$P$20)+'06 DCF'!$P$10*(1+H$5)*(1-H$5/'06 DCF'!$F$27)/($C7-H$5)/(1+$C7)^'02 Assumptions'!$C$11+SUM('06 DCF'!$F$46:$F$52))/'06 DCF'!$F$54</f>
        <v>148.1879489996374</v>
      </c>
    </row>
    <row r="8" spans="1:13" x14ac:dyDescent="0.3">
      <c r="C8" s="116">
        <f>'07 WACC'!$C$38+0</f>
        <v>0.11540544272914492</v>
      </c>
      <c r="D8" s="172" cm="1">
        <f t="array" ref="D8">(SUMPRODUCT('06 DCF'!$G$15:$P$15,1/(1+$C8)^'06 DCF'!$G$20:$P$20)+'06 DCF'!$P$10*(1+D$5)*(1-D$5/'06 DCF'!$F$27)/($C8-D$5)/(1+$C8)^'02 Assumptions'!$C$11+SUM('06 DCF'!$F$46:$F$52))/'06 DCF'!$F$54</f>
        <v>126.59333649067099</v>
      </c>
      <c r="E8" s="173" cm="1">
        <f t="array" ref="E8">(SUMPRODUCT('06 DCF'!$G$15:$P$15,1/(1+$C8)^'06 DCF'!$G$20:$P$20)+'06 DCF'!$P$10*(1+E$5)*(1-E$5/'06 DCF'!$F$27)/($C8-E$5)/(1+$C8)^'02 Assumptions'!$C$11+SUM('06 DCF'!$F$46:$F$52))/'06 DCF'!$F$54</f>
        <v>129.02215317933656</v>
      </c>
      <c r="F8" s="175" cm="1">
        <f t="array" ref="F8">(SUMPRODUCT('06 DCF'!$G$15:$P$15,1/(1+$C8)^'06 DCF'!$G$20:$P$20)+'06 DCF'!$P$10*(1+F$5)*(1-F$5/'06 DCF'!$F$27)/($C8-F$5)/(1+$C8)^'02 Assumptions'!$C$11+SUM('06 DCF'!$F$46:$F$52))/'06 DCF'!$F$54</f>
        <v>131.72392237678821</v>
      </c>
      <c r="G8" s="173" cm="1">
        <f t="array" ref="G8">(SUMPRODUCT('06 DCF'!$G$15:$P$15,1/(1+$C8)^'06 DCF'!$G$20:$P$20)+'06 DCF'!$P$10*(1+G$5)*(1-G$5/'06 DCF'!$F$27)/($C8-G$5)/(1+$C8)^'02 Assumptions'!$C$11+SUM('06 DCF'!$F$46:$F$52))/'06 DCF'!$F$54</f>
        <v>134.74956461144822</v>
      </c>
      <c r="H8" s="174" cm="1">
        <f t="array" ref="H8">(SUMPRODUCT('06 DCF'!$G$15:$P$15,1/(1+$C8)^'06 DCF'!$G$20:$P$20)+'06 DCF'!$P$10*(1+H$5)*(1-H$5/'06 DCF'!$F$27)/($C8-H$5)/(1+$C8)^'02 Assumptions'!$C$11+SUM('06 DCF'!$F$46:$F$52))/'06 DCF'!$F$54</f>
        <v>138.16350620829124</v>
      </c>
    </row>
    <row r="9" spans="1:13" x14ac:dyDescent="0.3">
      <c r="C9" s="116">
        <f>'07 WACC'!$C$38+0.005</f>
        <v>0.12040544272914493</v>
      </c>
      <c r="D9" s="172" cm="1">
        <f t="array" ref="D9">(SUMPRODUCT('06 DCF'!$G$15:$P$15,1/(1+$C9)^'06 DCF'!$G$20:$P$20)+'06 DCF'!$P$10*(1+D$5)*(1-D$5/'06 DCF'!$F$27)/($C9-D$5)/(1+$C9)^'02 Assumptions'!$C$11+SUM('06 DCF'!$F$46:$F$52))/'06 DCF'!$F$54</f>
        <v>119.70037297101614</v>
      </c>
      <c r="E9" s="173" cm="1">
        <f t="array" ref="E9">(SUMPRODUCT('06 DCF'!$G$15:$P$15,1/(1+$C9)^'06 DCF'!$G$20:$P$20)+'06 DCF'!$P$10*(1+E$5)*(1-E$5/'06 DCF'!$F$27)/($C9-E$5)/(1+$C9)^'02 Assumptions'!$C$11+SUM('06 DCF'!$F$46:$F$52))/'06 DCF'!$F$54</f>
        <v>121.755317850699</v>
      </c>
      <c r="F9" s="173" cm="1">
        <f t="array" ref="F9">(SUMPRODUCT('06 DCF'!$G$15:$P$15,1/(1+$C9)^'06 DCF'!$G$20:$P$20)+'06 DCF'!$P$10*(1+F$5)*(1-F$5/'06 DCF'!$F$27)/($C9-F$5)/(1+$C9)^'02 Assumptions'!$C$11+SUM('06 DCF'!$F$46:$F$52))/'06 DCF'!$F$54</f>
        <v>124.02723668647701</v>
      </c>
      <c r="G9" s="173" cm="1">
        <f t="array" ref="G9">(SUMPRODUCT('06 DCF'!$G$15:$P$15,1/(1+$C9)^'06 DCF'!$G$20:$P$20)+'06 DCF'!$P$10*(1+G$5)*(1-G$5/'06 DCF'!$F$27)/($C9-G$5)/(1+$C9)^'02 Assumptions'!$C$11+SUM('06 DCF'!$F$46:$F$52))/'06 DCF'!$F$54</f>
        <v>126.55423722930163</v>
      </c>
      <c r="H9" s="174" cm="1">
        <f t="array" ref="H9">(SUMPRODUCT('06 DCF'!$G$15:$P$15,1/(1+$C9)^'06 DCF'!$G$20:$P$20)+'06 DCF'!$P$10*(1+H$5)*(1-H$5/'06 DCF'!$F$27)/($C9-H$5)/(1+$C9)^'02 Assumptions'!$C$11+SUM('06 DCF'!$F$46:$F$52))/'06 DCF'!$F$54</f>
        <v>129.3839061284821</v>
      </c>
    </row>
    <row r="10" spans="1:13" x14ac:dyDescent="0.3">
      <c r="C10" s="116">
        <f>'07 WACC'!$C$38+0.01</f>
        <v>0.12540544272914492</v>
      </c>
      <c r="D10" s="176" cm="1">
        <f t="array" ref="D10">(SUMPRODUCT('06 DCF'!$G$15:$P$15,1/(1+$C10)^'06 DCF'!$G$20:$P$20)+'06 DCF'!$P$10*(1+D$5)*(1-D$5/'06 DCF'!$F$27)/($C10-D$5)/(1+$C10)^'02 Assumptions'!$C$11+SUM('06 DCF'!$F$46:$F$52))/'06 DCF'!$F$54</f>
        <v>113.47530840790658</v>
      </c>
      <c r="E10" s="177" cm="1">
        <f t="array" ref="E10">(SUMPRODUCT('06 DCF'!$G$15:$P$15,1/(1+$C10)^'06 DCF'!$G$20:$P$20)+'06 DCF'!$P$10*(1+E$5)*(1-E$5/'06 DCF'!$F$27)/($C10-E$5)/(1+$C10)^'02 Assumptions'!$C$11+SUM('06 DCF'!$F$46:$F$52))/'06 DCF'!$F$54</f>
        <v>115.22285702230018</v>
      </c>
      <c r="F10" s="177" cm="1">
        <f t="array" ref="F10">(SUMPRODUCT('06 DCF'!$G$15:$P$15,1/(1+$C10)^'06 DCF'!$G$20:$P$20)+'06 DCF'!$P$10*(1+F$5)*(1-F$5/'06 DCF'!$F$27)/($C10-F$5)/(1+$C10)^'02 Assumptions'!$C$11+SUM('06 DCF'!$F$46:$F$52))/'06 DCF'!$F$54</f>
        <v>117.14421471904301</v>
      </c>
      <c r="G10" s="177" cm="1">
        <f t="array" ref="G10">(SUMPRODUCT('06 DCF'!$G$15:$P$15,1/(1+$C10)^'06 DCF'!$G$20:$P$20)+'06 DCF'!$P$10*(1+G$5)*(1-G$5/'06 DCF'!$F$27)/($C10-G$5)/(1+$C10)^'02 Assumptions'!$C$11+SUM('06 DCF'!$F$46:$F$52))/'06 DCF'!$F$54</f>
        <v>119.26821976446659</v>
      </c>
      <c r="H10" s="178" cm="1">
        <f t="array" ref="H10">(SUMPRODUCT('06 DCF'!$G$15:$P$15,1/(1+$C10)^'06 DCF'!$G$20:$P$20)+'06 DCF'!$P$10*(1+H$5)*(1-H$5/'06 DCF'!$F$27)/($C10-H$5)/(1+$C10)^'02 Assumptions'!$C$11+SUM('06 DCF'!$F$46:$F$52))/'06 DCF'!$F$54</f>
        <v>121.63046368685148</v>
      </c>
    </row>
    <row r="13" spans="1:13" x14ac:dyDescent="0.3">
      <c r="B13" s="5" t="s">
        <v>536</v>
      </c>
      <c r="C13" s="5"/>
      <c r="D13" s="5"/>
      <c r="E13" s="5"/>
      <c r="F13" s="5"/>
      <c r="G13" s="5"/>
      <c r="H13" s="5"/>
    </row>
    <row r="14" spans="1:13" x14ac:dyDescent="0.3">
      <c r="B14" s="2" t="s">
        <v>541</v>
      </c>
      <c r="D14" s="118"/>
      <c r="E14" s="118"/>
      <c r="F14" s="118"/>
      <c r="G14" s="118"/>
      <c r="H14" s="118"/>
    </row>
    <row r="15" spans="1:13" x14ac:dyDescent="0.3">
      <c r="C15" s="116">
        <f>'07 WACC'!$C$38+-0.01</f>
        <v>0.10540544272914493</v>
      </c>
      <c r="D15" s="169" cm="1">
        <f t="array" ref="D15">(SUMPRODUCT('06 DCF'!$G$15:$P$15,1/(1+$C15)^'06 DCF'!$G$20:$P$20)+'04 Operating Model'!$P$39*D$14/(1+$C15)^'02 Assumptions'!$C$11+SUM('06 DCF'!$F$46:$F$52))/'06 DCF'!$F$54</f>
        <v>71.389440850578424</v>
      </c>
      <c r="E15" s="170" cm="1">
        <f t="array" ref="E15">(SUMPRODUCT('06 DCF'!$G$15:$P$15,1/(1+$C15)^'06 DCF'!$G$20:$P$20)+'04 Operating Model'!$P$39*E$14/(1+$C15)^'02 Assumptions'!$C$11+SUM('06 DCF'!$F$46:$F$52))/'06 DCF'!$F$54</f>
        <v>71.389440850578424</v>
      </c>
      <c r="F15" s="170" cm="1">
        <f t="array" ref="F15">(SUMPRODUCT('06 DCF'!$G$15:$P$15,1/(1+$C15)^'06 DCF'!$G$20:$P$20)+'04 Operating Model'!$P$39*F$14/(1+$C15)^'02 Assumptions'!$C$11+SUM('06 DCF'!$F$46:$F$52))/'06 DCF'!$F$54</f>
        <v>71.389440850578424</v>
      </c>
      <c r="G15" s="170" cm="1">
        <f t="array" ref="G15">(SUMPRODUCT('06 DCF'!$G$15:$P$15,1/(1+$C15)^'06 DCF'!$G$20:$P$20)+'04 Operating Model'!$P$39*G$14/(1+$C15)^'02 Assumptions'!$C$11+SUM('06 DCF'!$F$46:$F$52))/'06 DCF'!$F$54</f>
        <v>71.389440850578424</v>
      </c>
      <c r="H15" s="171" cm="1">
        <f t="array" ref="H15">(SUMPRODUCT('06 DCF'!$G$15:$P$15,1/(1+$C15)^'06 DCF'!$G$20:$P$20)+'04 Operating Model'!$P$39*H$14/(1+$C15)^'02 Assumptions'!$C$11+SUM('06 DCF'!$F$46:$F$52))/'06 DCF'!$F$54</f>
        <v>71.389440850578424</v>
      </c>
    </row>
    <row r="16" spans="1:13" x14ac:dyDescent="0.3">
      <c r="C16" s="116">
        <f>'07 WACC'!$C$38+-0.005</f>
        <v>0.11040544272914492</v>
      </c>
      <c r="D16" s="172" cm="1">
        <f t="array" ref="D16">(SUMPRODUCT('06 DCF'!$G$15:$P$15,1/(1+$C16)^'06 DCF'!$G$20:$P$20)+'04 Operating Model'!$P$39*D$14/(1+$C16)^'02 Assumptions'!$C$11+SUM('06 DCF'!$F$46:$F$52))/'06 DCF'!$F$54</f>
        <v>69.73108583967317</v>
      </c>
      <c r="E16" s="173" cm="1">
        <f t="array" ref="E16">(SUMPRODUCT('06 DCF'!$G$15:$P$15,1/(1+$C16)^'06 DCF'!$G$20:$P$20)+'04 Operating Model'!$P$39*E$14/(1+$C16)^'02 Assumptions'!$C$11+SUM('06 DCF'!$F$46:$F$52))/'06 DCF'!$F$54</f>
        <v>69.73108583967317</v>
      </c>
      <c r="F16" s="173" cm="1">
        <f t="array" ref="F16">(SUMPRODUCT('06 DCF'!$G$15:$P$15,1/(1+$C16)^'06 DCF'!$G$20:$P$20)+'04 Operating Model'!$P$39*F$14/(1+$C16)^'02 Assumptions'!$C$11+SUM('06 DCF'!$F$46:$F$52))/'06 DCF'!$F$54</f>
        <v>69.73108583967317</v>
      </c>
      <c r="G16" s="173" cm="1">
        <f t="array" ref="G16">(SUMPRODUCT('06 DCF'!$G$15:$P$15,1/(1+$C16)^'06 DCF'!$G$20:$P$20)+'04 Operating Model'!$P$39*G$14/(1+$C16)^'02 Assumptions'!$C$11+SUM('06 DCF'!$F$46:$F$52))/'06 DCF'!$F$54</f>
        <v>69.73108583967317</v>
      </c>
      <c r="H16" s="174" cm="1">
        <f t="array" ref="H16">(SUMPRODUCT('06 DCF'!$G$15:$P$15,1/(1+$C16)^'06 DCF'!$G$20:$P$20)+'04 Operating Model'!$P$39*H$14/(1+$C16)^'02 Assumptions'!$C$11+SUM('06 DCF'!$F$46:$F$52))/'06 DCF'!$F$54</f>
        <v>69.73108583967317</v>
      </c>
    </row>
    <row r="17" spans="2:8" x14ac:dyDescent="0.3">
      <c r="C17" s="116">
        <f>'07 WACC'!$C$38+0</f>
        <v>0.11540544272914492</v>
      </c>
      <c r="D17" s="172" cm="1">
        <f t="array" ref="D17">(SUMPRODUCT('06 DCF'!$G$15:$P$15,1/(1+$C17)^'06 DCF'!$G$20:$P$20)+'04 Operating Model'!$P$39*D$14/(1+$C17)^'02 Assumptions'!$C$11+SUM('06 DCF'!$F$46:$F$52))/'06 DCF'!$F$54</f>
        <v>68.127285138081305</v>
      </c>
      <c r="E17" s="173" cm="1">
        <f t="array" ref="E17">(SUMPRODUCT('06 DCF'!$G$15:$P$15,1/(1+$C17)^'06 DCF'!$G$20:$P$20)+'04 Operating Model'!$P$39*E$14/(1+$C17)^'02 Assumptions'!$C$11+SUM('06 DCF'!$F$46:$F$52))/'06 DCF'!$F$54</f>
        <v>68.127285138081305</v>
      </c>
      <c r="F17" s="175" cm="1">
        <f t="array" ref="F17">(SUMPRODUCT('06 DCF'!$G$15:$P$15,1/(1+$C17)^'06 DCF'!$G$20:$P$20)+'04 Operating Model'!$P$39*F$14/(1+$C17)^'02 Assumptions'!$C$11+SUM('06 DCF'!$F$46:$F$52))/'06 DCF'!$F$54</f>
        <v>68.127285138081305</v>
      </c>
      <c r="G17" s="173" cm="1">
        <f t="array" ref="G17">(SUMPRODUCT('06 DCF'!$G$15:$P$15,1/(1+$C17)^'06 DCF'!$G$20:$P$20)+'04 Operating Model'!$P$39*G$14/(1+$C17)^'02 Assumptions'!$C$11+SUM('06 DCF'!$F$46:$F$52))/'06 DCF'!$F$54</f>
        <v>68.127285138081305</v>
      </c>
      <c r="H17" s="174" cm="1">
        <f t="array" ref="H17">(SUMPRODUCT('06 DCF'!$G$15:$P$15,1/(1+$C17)^'06 DCF'!$G$20:$P$20)+'04 Operating Model'!$P$39*H$14/(1+$C17)^'02 Assumptions'!$C$11+SUM('06 DCF'!$F$46:$F$52))/'06 DCF'!$F$54</f>
        <v>68.127285138081305</v>
      </c>
    </row>
    <row r="18" spans="2:8" x14ac:dyDescent="0.3">
      <c r="C18" s="116">
        <f>'07 WACC'!$C$38+0.005</f>
        <v>0.12040544272914493</v>
      </c>
      <c r="D18" s="172" cm="1">
        <f t="array" ref="D18">(SUMPRODUCT('06 DCF'!$G$15:$P$15,1/(1+$C18)^'06 DCF'!$G$20:$P$20)+'04 Operating Model'!$P$39*D$14/(1+$C18)^'02 Assumptions'!$C$11+SUM('06 DCF'!$F$46:$F$52))/'06 DCF'!$F$54</f>
        <v>66.575836458192029</v>
      </c>
      <c r="E18" s="173" cm="1">
        <f t="array" ref="E18">(SUMPRODUCT('06 DCF'!$G$15:$P$15,1/(1+$C18)^'06 DCF'!$G$20:$P$20)+'04 Operating Model'!$P$39*E$14/(1+$C18)^'02 Assumptions'!$C$11+SUM('06 DCF'!$F$46:$F$52))/'06 DCF'!$F$54</f>
        <v>66.575836458192029</v>
      </c>
      <c r="F18" s="173" cm="1">
        <f t="array" ref="F18">(SUMPRODUCT('06 DCF'!$G$15:$P$15,1/(1+$C18)^'06 DCF'!$G$20:$P$20)+'04 Operating Model'!$P$39*F$14/(1+$C18)^'02 Assumptions'!$C$11+SUM('06 DCF'!$F$46:$F$52))/'06 DCF'!$F$54</f>
        <v>66.575836458192029</v>
      </c>
      <c r="G18" s="173" cm="1">
        <f t="array" ref="G18">(SUMPRODUCT('06 DCF'!$G$15:$P$15,1/(1+$C18)^'06 DCF'!$G$20:$P$20)+'04 Operating Model'!$P$39*G$14/(1+$C18)^'02 Assumptions'!$C$11+SUM('06 DCF'!$F$46:$F$52))/'06 DCF'!$F$54</f>
        <v>66.575836458192029</v>
      </c>
      <c r="H18" s="174" cm="1">
        <f t="array" ref="H18">(SUMPRODUCT('06 DCF'!$G$15:$P$15,1/(1+$C18)^'06 DCF'!$G$20:$P$20)+'04 Operating Model'!$P$39*H$14/(1+$C18)^'02 Assumptions'!$C$11+SUM('06 DCF'!$F$46:$F$52))/'06 DCF'!$F$54</f>
        <v>66.575836458192029</v>
      </c>
    </row>
    <row r="19" spans="2:8" x14ac:dyDescent="0.3">
      <c r="C19" s="116">
        <f>'07 WACC'!$C$38+0.01</f>
        <v>0.12540544272914492</v>
      </c>
      <c r="D19" s="176" cm="1">
        <f t="array" ref="D19">(SUMPRODUCT('06 DCF'!$G$15:$P$15,1/(1+$C19)^'06 DCF'!$G$20:$P$20)+'04 Operating Model'!$P$39*D$14/(1+$C19)^'02 Assumptions'!$C$11+SUM('06 DCF'!$F$46:$F$52))/'06 DCF'!$F$54</f>
        <v>65.074639932445052</v>
      </c>
      <c r="E19" s="177" cm="1">
        <f t="array" ref="E19">(SUMPRODUCT('06 DCF'!$G$15:$P$15,1/(1+$C19)^'06 DCF'!$G$20:$P$20)+'04 Operating Model'!$P$39*E$14/(1+$C19)^'02 Assumptions'!$C$11+SUM('06 DCF'!$F$46:$F$52))/'06 DCF'!$F$54</f>
        <v>65.074639932445052</v>
      </c>
      <c r="F19" s="177" cm="1">
        <f t="array" ref="F19">(SUMPRODUCT('06 DCF'!$G$15:$P$15,1/(1+$C19)^'06 DCF'!$G$20:$P$20)+'04 Operating Model'!$P$39*F$14/(1+$C19)^'02 Assumptions'!$C$11+SUM('06 DCF'!$F$46:$F$52))/'06 DCF'!$F$54</f>
        <v>65.074639932445052</v>
      </c>
      <c r="G19" s="177" cm="1">
        <f t="array" ref="G19">(SUMPRODUCT('06 DCF'!$G$15:$P$15,1/(1+$C19)^'06 DCF'!$G$20:$P$20)+'04 Operating Model'!$P$39*G$14/(1+$C19)^'02 Assumptions'!$C$11+SUM('06 DCF'!$F$46:$F$52))/'06 DCF'!$F$54</f>
        <v>65.074639932445052</v>
      </c>
      <c r="H19" s="178" cm="1">
        <f t="array" ref="H19">(SUMPRODUCT('06 DCF'!$G$15:$P$15,1/(1+$C19)^'06 DCF'!$G$20:$P$20)+'04 Operating Model'!$P$39*H$14/(1+$C19)^'02 Assumptions'!$C$11+SUM('06 DCF'!$F$46:$F$52))/'06 DCF'!$F$54</f>
        <v>65.074639932445052</v>
      </c>
    </row>
    <row r="22" spans="2:8" x14ac:dyDescent="0.3">
      <c r="B22" s="5" t="s">
        <v>537</v>
      </c>
      <c r="C22" s="5"/>
      <c r="D22" s="5"/>
      <c r="E22" s="5"/>
      <c r="F22" s="5"/>
      <c r="G22" s="5"/>
      <c r="H22" s="5"/>
    </row>
    <row r="23" spans="2:8" x14ac:dyDescent="0.3">
      <c r="B23" s="2" t="s">
        <v>1443</v>
      </c>
      <c r="D23" s="150"/>
      <c r="E23" s="150"/>
      <c r="F23" s="150"/>
      <c r="G23" s="150"/>
      <c r="H23" s="150"/>
    </row>
    <row r="24" spans="2:8" x14ac:dyDescent="0.3">
      <c r="C24" s="116">
        <f>'07 WACC'!$C$38+-0.01</f>
        <v>0.10540544272914493</v>
      </c>
      <c r="D24" s="169" cm="1">
        <f t="array" ref="D24">(SUMPRODUCT('06 DCF'!$G$15:$P$15+D$23*'04 Operating Model'!$G$11:$P$11*(1-'04 Operating Model'!$G$55:$P$55),1/(1+$C24)^'06 DCF'!$G$20:$P$20)+('06 DCF'!$P$10+D$23*'04 Operating Model'!$P$11*(1-'04 Operating Model'!$P$55))*(1+'06 DCF'!$F$26)*(1-'06 DCF'!$F$26/'06 DCF'!$F$27)/($C24-'06 DCF'!$F$26)/(1+$C24)^'02 Assumptions'!$C$11+SUM('06 DCF'!$F$46:$F$52))/'06 DCF'!$F$54</f>
        <v>150.20802222284073</v>
      </c>
      <c r="E24" s="170" cm="1">
        <f t="array" ref="E24">(SUMPRODUCT('06 DCF'!$G$15:$P$15+E$23*'04 Operating Model'!$G$11:$P$11*(1-'04 Operating Model'!$G$55:$P$55),1/(1+$C24)^'06 DCF'!$G$20:$P$20)+('06 DCF'!$P$10+E$23*'04 Operating Model'!$P$11*(1-'04 Operating Model'!$P$55))*(1+'06 DCF'!$F$26)*(1-'06 DCF'!$F$26/'06 DCF'!$F$27)/($C24-'06 DCF'!$F$26)/(1+$C24)^'02 Assumptions'!$C$11+SUM('06 DCF'!$F$46:$F$52))/'06 DCF'!$F$54</f>
        <v>150.20802222284073</v>
      </c>
      <c r="F24" s="170" cm="1">
        <f t="array" ref="F24">(SUMPRODUCT('06 DCF'!$G$15:$P$15+F$23*'04 Operating Model'!$G$11:$P$11*(1-'04 Operating Model'!$G$55:$P$55),1/(1+$C24)^'06 DCF'!$G$20:$P$20)+('06 DCF'!$P$10+F$23*'04 Operating Model'!$P$11*(1-'04 Operating Model'!$P$55))*(1+'06 DCF'!$F$26)*(1-'06 DCF'!$F$26/'06 DCF'!$F$27)/($C24-'06 DCF'!$F$26)/(1+$C24)^'02 Assumptions'!$C$11+SUM('06 DCF'!$F$46:$F$52))/'06 DCF'!$F$54</f>
        <v>150.20802222284073</v>
      </c>
      <c r="G24" s="170" cm="1">
        <f t="array" ref="G24">(SUMPRODUCT('06 DCF'!$G$15:$P$15+G$23*'04 Operating Model'!$G$11:$P$11*(1-'04 Operating Model'!$G$55:$P$55),1/(1+$C24)^'06 DCF'!$G$20:$P$20)+('06 DCF'!$P$10+G$23*'04 Operating Model'!$P$11*(1-'04 Operating Model'!$P$55))*(1+'06 DCF'!$F$26)*(1-'06 DCF'!$F$26/'06 DCF'!$F$27)/($C24-'06 DCF'!$F$26)/(1+$C24)^'02 Assumptions'!$C$11+SUM('06 DCF'!$F$46:$F$52))/'06 DCF'!$F$54</f>
        <v>150.20802222284073</v>
      </c>
      <c r="H24" s="171" cm="1">
        <f t="array" ref="H24">(SUMPRODUCT('06 DCF'!$G$15:$P$15+H$23*'04 Operating Model'!$G$11:$P$11*(1-'04 Operating Model'!$G$55:$P$55),1/(1+$C24)^'06 DCF'!$G$20:$P$20)+('06 DCF'!$P$10+H$23*'04 Operating Model'!$P$11*(1-'04 Operating Model'!$P$55))*(1+'06 DCF'!$F$26)*(1-'06 DCF'!$F$26/'06 DCF'!$F$27)/($C24-'06 DCF'!$F$26)/(1+$C24)^'02 Assumptions'!$C$11+SUM('06 DCF'!$F$46:$F$52))/'06 DCF'!$F$54</f>
        <v>150.20802222284073</v>
      </c>
    </row>
    <row r="25" spans="2:8" x14ac:dyDescent="0.3">
      <c r="C25" s="116">
        <f>'07 WACC'!$C$38+-0.005</f>
        <v>0.11040544272914492</v>
      </c>
      <c r="D25" s="172" cm="1">
        <f t="array" ref="D25">(SUMPRODUCT('06 DCF'!$G$15:$P$15+D$23*'04 Operating Model'!$G$11:$P$11*(1-'04 Operating Model'!$G$55:$P$55),1/(1+$C25)^'06 DCF'!$G$20:$P$20)+('06 DCF'!$P$10+D$23*'04 Operating Model'!$P$11*(1-'04 Operating Model'!$P$55))*(1+'06 DCF'!$F$26)*(1-'06 DCF'!$F$26/'06 DCF'!$F$27)/($C25-'06 DCF'!$F$26)/(1+$C25)^'02 Assumptions'!$C$11+SUM('06 DCF'!$F$46:$F$52))/'06 DCF'!$F$54</f>
        <v>140.38659463100151</v>
      </c>
      <c r="E25" s="173" cm="1">
        <f t="array" ref="E25">(SUMPRODUCT('06 DCF'!$G$15:$P$15+E$23*'04 Operating Model'!$G$11:$P$11*(1-'04 Operating Model'!$G$55:$P$55),1/(1+$C25)^'06 DCF'!$G$20:$P$20)+('06 DCF'!$P$10+E$23*'04 Operating Model'!$P$11*(1-'04 Operating Model'!$P$55))*(1+'06 DCF'!$F$26)*(1-'06 DCF'!$F$26/'06 DCF'!$F$27)/($C25-'06 DCF'!$F$26)/(1+$C25)^'02 Assumptions'!$C$11+SUM('06 DCF'!$F$46:$F$52))/'06 DCF'!$F$54</f>
        <v>140.38659463100151</v>
      </c>
      <c r="F25" s="173" cm="1">
        <f t="array" ref="F25">(SUMPRODUCT('06 DCF'!$G$15:$P$15+F$23*'04 Operating Model'!$G$11:$P$11*(1-'04 Operating Model'!$G$55:$P$55),1/(1+$C25)^'06 DCF'!$G$20:$P$20)+('06 DCF'!$P$10+F$23*'04 Operating Model'!$P$11*(1-'04 Operating Model'!$P$55))*(1+'06 DCF'!$F$26)*(1-'06 DCF'!$F$26/'06 DCF'!$F$27)/($C25-'06 DCF'!$F$26)/(1+$C25)^'02 Assumptions'!$C$11+SUM('06 DCF'!$F$46:$F$52))/'06 DCF'!$F$54</f>
        <v>140.38659463100151</v>
      </c>
      <c r="G25" s="173" cm="1">
        <f t="array" ref="G25">(SUMPRODUCT('06 DCF'!$G$15:$P$15+G$23*'04 Operating Model'!$G$11:$P$11*(1-'04 Operating Model'!$G$55:$P$55),1/(1+$C25)^'06 DCF'!$G$20:$P$20)+('06 DCF'!$P$10+G$23*'04 Operating Model'!$P$11*(1-'04 Operating Model'!$P$55))*(1+'06 DCF'!$F$26)*(1-'06 DCF'!$F$26/'06 DCF'!$F$27)/($C25-'06 DCF'!$F$26)/(1+$C25)^'02 Assumptions'!$C$11+SUM('06 DCF'!$F$46:$F$52))/'06 DCF'!$F$54</f>
        <v>140.38659463100151</v>
      </c>
      <c r="H25" s="174" cm="1">
        <f t="array" ref="H25">(SUMPRODUCT('06 DCF'!$G$15:$P$15+H$23*'04 Operating Model'!$G$11:$P$11*(1-'04 Operating Model'!$G$55:$P$55),1/(1+$C25)^'06 DCF'!$G$20:$P$20)+('06 DCF'!$P$10+H$23*'04 Operating Model'!$P$11*(1-'04 Operating Model'!$P$55))*(1+'06 DCF'!$F$26)*(1-'06 DCF'!$F$26/'06 DCF'!$F$27)/($C25-'06 DCF'!$F$26)/(1+$C25)^'02 Assumptions'!$C$11+SUM('06 DCF'!$F$46:$F$52))/'06 DCF'!$F$54</f>
        <v>140.38659463100151</v>
      </c>
    </row>
    <row r="26" spans="2:8" x14ac:dyDescent="0.3">
      <c r="C26" s="116">
        <f>'07 WACC'!$C$38+0</f>
        <v>0.11540544272914492</v>
      </c>
      <c r="D26" s="172" cm="1">
        <f t="array" ref="D26">(SUMPRODUCT('06 DCF'!$G$15:$P$15+D$23*'04 Operating Model'!$G$11:$P$11*(1-'04 Operating Model'!$G$55:$P$55),1/(1+$C26)^'06 DCF'!$G$20:$P$20)+('06 DCF'!$P$10+D$23*'04 Operating Model'!$P$11*(1-'04 Operating Model'!$P$55))*(1+'06 DCF'!$F$26)*(1-'06 DCF'!$F$26/'06 DCF'!$F$27)/($C26-'06 DCF'!$F$26)/(1+$C26)^'02 Assumptions'!$C$11+SUM('06 DCF'!$F$46:$F$52))/'06 DCF'!$F$54</f>
        <v>131.72392237678821</v>
      </c>
      <c r="E26" s="173" cm="1">
        <f t="array" ref="E26">(SUMPRODUCT('06 DCF'!$G$15:$P$15+E$23*'04 Operating Model'!$G$11:$P$11*(1-'04 Operating Model'!$G$55:$P$55),1/(1+$C26)^'06 DCF'!$G$20:$P$20)+('06 DCF'!$P$10+E$23*'04 Operating Model'!$P$11*(1-'04 Operating Model'!$P$55))*(1+'06 DCF'!$F$26)*(1-'06 DCF'!$F$26/'06 DCF'!$F$27)/($C26-'06 DCF'!$F$26)/(1+$C26)^'02 Assumptions'!$C$11+SUM('06 DCF'!$F$46:$F$52))/'06 DCF'!$F$54</f>
        <v>131.72392237678821</v>
      </c>
      <c r="F26" s="175" cm="1">
        <f t="array" ref="F26">(SUMPRODUCT('06 DCF'!$G$15:$P$15+F$23*'04 Operating Model'!$G$11:$P$11*(1-'04 Operating Model'!$G$55:$P$55),1/(1+$C26)^'06 DCF'!$G$20:$P$20)+('06 DCF'!$P$10+F$23*'04 Operating Model'!$P$11*(1-'04 Operating Model'!$P$55))*(1+'06 DCF'!$F$26)*(1-'06 DCF'!$F$26/'06 DCF'!$F$27)/($C26-'06 DCF'!$F$26)/(1+$C26)^'02 Assumptions'!$C$11+SUM('06 DCF'!$F$46:$F$52))/'06 DCF'!$F$54</f>
        <v>131.72392237678821</v>
      </c>
      <c r="G26" s="173" cm="1">
        <f t="array" ref="G26">(SUMPRODUCT('06 DCF'!$G$15:$P$15+G$23*'04 Operating Model'!$G$11:$P$11*(1-'04 Operating Model'!$G$55:$P$55),1/(1+$C26)^'06 DCF'!$G$20:$P$20)+('06 DCF'!$P$10+G$23*'04 Operating Model'!$P$11*(1-'04 Operating Model'!$P$55))*(1+'06 DCF'!$F$26)*(1-'06 DCF'!$F$26/'06 DCF'!$F$27)/($C26-'06 DCF'!$F$26)/(1+$C26)^'02 Assumptions'!$C$11+SUM('06 DCF'!$F$46:$F$52))/'06 DCF'!$F$54</f>
        <v>131.72392237678821</v>
      </c>
      <c r="H26" s="174" cm="1">
        <f t="array" ref="H26">(SUMPRODUCT('06 DCF'!$G$15:$P$15+H$23*'04 Operating Model'!$G$11:$P$11*(1-'04 Operating Model'!$G$55:$P$55),1/(1+$C26)^'06 DCF'!$G$20:$P$20)+('06 DCF'!$P$10+H$23*'04 Operating Model'!$P$11*(1-'04 Operating Model'!$P$55))*(1+'06 DCF'!$F$26)*(1-'06 DCF'!$F$26/'06 DCF'!$F$27)/($C26-'06 DCF'!$F$26)/(1+$C26)^'02 Assumptions'!$C$11+SUM('06 DCF'!$F$46:$F$52))/'06 DCF'!$F$54</f>
        <v>131.72392237678821</v>
      </c>
    </row>
    <row r="27" spans="2:8" x14ac:dyDescent="0.3">
      <c r="C27" s="116">
        <f>'07 WACC'!$C$38+0.005</f>
        <v>0.12040544272914493</v>
      </c>
      <c r="D27" s="172" cm="1">
        <f t="array" ref="D27">(SUMPRODUCT('06 DCF'!$G$15:$P$15+D$23*'04 Operating Model'!$G$11:$P$11*(1-'04 Operating Model'!$G$55:$P$55),1/(1+$C27)^'06 DCF'!$G$20:$P$20)+('06 DCF'!$P$10+D$23*'04 Operating Model'!$P$11*(1-'04 Operating Model'!$P$55))*(1+'06 DCF'!$F$26)*(1-'06 DCF'!$F$26/'06 DCF'!$F$27)/($C27-'06 DCF'!$F$26)/(1+$C27)^'02 Assumptions'!$C$11+SUM('06 DCF'!$F$46:$F$52))/'06 DCF'!$F$54</f>
        <v>124.02723668647701</v>
      </c>
      <c r="E27" s="173" cm="1">
        <f t="array" ref="E27">(SUMPRODUCT('06 DCF'!$G$15:$P$15+E$23*'04 Operating Model'!$G$11:$P$11*(1-'04 Operating Model'!$G$55:$P$55),1/(1+$C27)^'06 DCF'!$G$20:$P$20)+('06 DCF'!$P$10+E$23*'04 Operating Model'!$P$11*(1-'04 Operating Model'!$P$55))*(1+'06 DCF'!$F$26)*(1-'06 DCF'!$F$26/'06 DCF'!$F$27)/($C27-'06 DCF'!$F$26)/(1+$C27)^'02 Assumptions'!$C$11+SUM('06 DCF'!$F$46:$F$52))/'06 DCF'!$F$54</f>
        <v>124.02723668647701</v>
      </c>
      <c r="F27" s="173" cm="1">
        <f t="array" ref="F27">(SUMPRODUCT('06 DCF'!$G$15:$P$15+F$23*'04 Operating Model'!$G$11:$P$11*(1-'04 Operating Model'!$G$55:$P$55),1/(1+$C27)^'06 DCF'!$G$20:$P$20)+('06 DCF'!$P$10+F$23*'04 Operating Model'!$P$11*(1-'04 Operating Model'!$P$55))*(1+'06 DCF'!$F$26)*(1-'06 DCF'!$F$26/'06 DCF'!$F$27)/($C27-'06 DCF'!$F$26)/(1+$C27)^'02 Assumptions'!$C$11+SUM('06 DCF'!$F$46:$F$52))/'06 DCF'!$F$54</f>
        <v>124.02723668647701</v>
      </c>
      <c r="G27" s="173" cm="1">
        <f t="array" ref="G27">(SUMPRODUCT('06 DCF'!$G$15:$P$15+G$23*'04 Operating Model'!$G$11:$P$11*(1-'04 Operating Model'!$G$55:$P$55),1/(1+$C27)^'06 DCF'!$G$20:$P$20)+('06 DCF'!$P$10+G$23*'04 Operating Model'!$P$11*(1-'04 Operating Model'!$P$55))*(1+'06 DCF'!$F$26)*(1-'06 DCF'!$F$26/'06 DCF'!$F$27)/($C27-'06 DCF'!$F$26)/(1+$C27)^'02 Assumptions'!$C$11+SUM('06 DCF'!$F$46:$F$52))/'06 DCF'!$F$54</f>
        <v>124.02723668647701</v>
      </c>
      <c r="H27" s="174" cm="1">
        <f t="array" ref="H27">(SUMPRODUCT('06 DCF'!$G$15:$P$15+H$23*'04 Operating Model'!$G$11:$P$11*(1-'04 Operating Model'!$G$55:$P$55),1/(1+$C27)^'06 DCF'!$G$20:$P$20)+('06 DCF'!$P$10+H$23*'04 Operating Model'!$P$11*(1-'04 Operating Model'!$P$55))*(1+'06 DCF'!$F$26)*(1-'06 DCF'!$F$26/'06 DCF'!$F$27)/($C27-'06 DCF'!$F$26)/(1+$C27)^'02 Assumptions'!$C$11+SUM('06 DCF'!$F$46:$F$52))/'06 DCF'!$F$54</f>
        <v>124.02723668647701</v>
      </c>
    </row>
    <row r="28" spans="2:8" x14ac:dyDescent="0.3">
      <c r="C28" s="116">
        <f>'07 WACC'!$C$38+0.01</f>
        <v>0.12540544272914492</v>
      </c>
      <c r="D28" s="176" cm="1">
        <f t="array" ref="D28">(SUMPRODUCT('06 DCF'!$G$15:$P$15+D$23*'04 Operating Model'!$G$11:$P$11*(1-'04 Operating Model'!$G$55:$P$55),1/(1+$C28)^'06 DCF'!$G$20:$P$20)+('06 DCF'!$P$10+D$23*'04 Operating Model'!$P$11*(1-'04 Operating Model'!$P$55))*(1+'06 DCF'!$F$26)*(1-'06 DCF'!$F$26/'06 DCF'!$F$27)/($C28-'06 DCF'!$F$26)/(1+$C28)^'02 Assumptions'!$C$11+SUM('06 DCF'!$F$46:$F$52))/'06 DCF'!$F$54</f>
        <v>117.14421471904301</v>
      </c>
      <c r="E28" s="177" cm="1">
        <f t="array" ref="E28">(SUMPRODUCT('06 DCF'!$G$15:$P$15+E$23*'04 Operating Model'!$G$11:$P$11*(1-'04 Operating Model'!$G$55:$P$55),1/(1+$C28)^'06 DCF'!$G$20:$P$20)+('06 DCF'!$P$10+E$23*'04 Operating Model'!$P$11*(1-'04 Operating Model'!$P$55))*(1+'06 DCF'!$F$26)*(1-'06 DCF'!$F$26/'06 DCF'!$F$27)/($C28-'06 DCF'!$F$26)/(1+$C28)^'02 Assumptions'!$C$11+SUM('06 DCF'!$F$46:$F$52))/'06 DCF'!$F$54</f>
        <v>117.14421471904301</v>
      </c>
      <c r="F28" s="177" cm="1">
        <f t="array" ref="F28">(SUMPRODUCT('06 DCF'!$G$15:$P$15+F$23*'04 Operating Model'!$G$11:$P$11*(1-'04 Operating Model'!$G$55:$P$55),1/(1+$C28)^'06 DCF'!$G$20:$P$20)+('06 DCF'!$P$10+F$23*'04 Operating Model'!$P$11*(1-'04 Operating Model'!$P$55))*(1+'06 DCF'!$F$26)*(1-'06 DCF'!$F$26/'06 DCF'!$F$27)/($C28-'06 DCF'!$F$26)/(1+$C28)^'02 Assumptions'!$C$11+SUM('06 DCF'!$F$46:$F$52))/'06 DCF'!$F$54</f>
        <v>117.14421471904301</v>
      </c>
      <c r="G28" s="177" cm="1">
        <f t="array" ref="G28">(SUMPRODUCT('06 DCF'!$G$15:$P$15+G$23*'04 Operating Model'!$G$11:$P$11*(1-'04 Operating Model'!$G$55:$P$55),1/(1+$C28)^'06 DCF'!$G$20:$P$20)+('06 DCF'!$P$10+G$23*'04 Operating Model'!$P$11*(1-'04 Operating Model'!$P$55))*(1+'06 DCF'!$F$26)*(1-'06 DCF'!$F$26/'06 DCF'!$F$27)/($C28-'06 DCF'!$F$26)/(1+$C28)^'02 Assumptions'!$C$11+SUM('06 DCF'!$F$46:$F$52))/'06 DCF'!$F$54</f>
        <v>117.14421471904301</v>
      </c>
      <c r="H28" s="178" cm="1">
        <f t="array" ref="H28">(SUMPRODUCT('06 DCF'!$G$15:$P$15+H$23*'04 Operating Model'!$G$11:$P$11*(1-'04 Operating Model'!$G$55:$P$55),1/(1+$C28)^'06 DCF'!$G$20:$P$20)+('06 DCF'!$P$10+H$23*'04 Operating Model'!$P$11*(1-'04 Operating Model'!$P$55))*(1+'06 DCF'!$F$26)*(1-'06 DCF'!$F$26/'06 DCF'!$F$27)/($C28-'06 DCF'!$F$26)/(1+$C28)^'02 Assumptions'!$C$11+SUM('06 DCF'!$F$46:$F$52))/'06 DCF'!$F$54</f>
        <v>117.14421471904301</v>
      </c>
    </row>
    <row r="31" spans="2:8" x14ac:dyDescent="0.3">
      <c r="B31" s="5" t="s">
        <v>538</v>
      </c>
      <c r="C31" s="5"/>
      <c r="D31" s="5"/>
      <c r="E31" s="5"/>
      <c r="F31" s="5"/>
      <c r="G31" s="5"/>
      <c r="H31" s="5"/>
    </row>
    <row r="32" spans="2:8" x14ac:dyDescent="0.3">
      <c r="B32" s="2" t="s">
        <v>1444</v>
      </c>
      <c r="D32" s="150"/>
      <c r="E32" s="150"/>
      <c r="F32" s="150"/>
      <c r="G32" s="150"/>
      <c r="H32" s="150"/>
    </row>
    <row r="33" spans="2:8" x14ac:dyDescent="0.3">
      <c r="C33" s="116">
        <f>'07 WACC'!$C$38+-0.01</f>
        <v>0.10540544272914493</v>
      </c>
      <c r="D33" s="169" cm="1">
        <f t="array" ref="D33">(SUMPRODUCT('06 DCF'!$G$15:$P$15-D$32*'04 Operating Model'!$G$11:$P$11,1/(1+$C33)^'06 DCF'!$G$20:$P$20)+'06 DCF'!$P$10*(1+'06 DCF'!$F$26)*(1-'06 DCF'!$F$26/'06 DCF'!$F$27)/($C33-'06 DCF'!$F$26)/(1+$C33)^'02 Assumptions'!$C$11+SUM('06 DCF'!$F$46:$F$52))/'06 DCF'!$F$54</f>
        <v>150.20802222284073</v>
      </c>
      <c r="E33" s="170" cm="1">
        <f t="array" ref="E33">(SUMPRODUCT('06 DCF'!$G$15:$P$15-E$32*'04 Operating Model'!$G$11:$P$11,1/(1+$C33)^'06 DCF'!$G$20:$P$20)+'06 DCF'!$P$10*(1+'06 DCF'!$F$26)*(1-'06 DCF'!$F$26/'06 DCF'!$F$27)/($C33-'06 DCF'!$F$26)/(1+$C33)^'02 Assumptions'!$C$11+SUM('06 DCF'!$F$46:$F$52))/'06 DCF'!$F$54</f>
        <v>150.20802222284073</v>
      </c>
      <c r="F33" s="170" cm="1">
        <f t="array" ref="F33">(SUMPRODUCT('06 DCF'!$G$15:$P$15-F$32*'04 Operating Model'!$G$11:$P$11,1/(1+$C33)^'06 DCF'!$G$20:$P$20)+'06 DCF'!$P$10*(1+'06 DCF'!$F$26)*(1-'06 DCF'!$F$26/'06 DCF'!$F$27)/($C33-'06 DCF'!$F$26)/(1+$C33)^'02 Assumptions'!$C$11+SUM('06 DCF'!$F$46:$F$52))/'06 DCF'!$F$54</f>
        <v>150.20802222284073</v>
      </c>
      <c r="G33" s="170" cm="1">
        <f t="array" ref="G33">(SUMPRODUCT('06 DCF'!$G$15:$P$15-G$32*'04 Operating Model'!$G$11:$P$11,1/(1+$C33)^'06 DCF'!$G$20:$P$20)+'06 DCF'!$P$10*(1+'06 DCF'!$F$26)*(1-'06 DCF'!$F$26/'06 DCF'!$F$27)/($C33-'06 DCF'!$F$26)/(1+$C33)^'02 Assumptions'!$C$11+SUM('06 DCF'!$F$46:$F$52))/'06 DCF'!$F$54</f>
        <v>150.20802222284073</v>
      </c>
      <c r="H33" s="171" cm="1">
        <f t="array" ref="H33">(SUMPRODUCT('06 DCF'!$G$15:$P$15-H$32*'04 Operating Model'!$G$11:$P$11,1/(1+$C33)^'06 DCF'!$G$20:$P$20)+'06 DCF'!$P$10*(1+'06 DCF'!$F$26)*(1-'06 DCF'!$F$26/'06 DCF'!$F$27)/($C33-'06 DCF'!$F$26)/(1+$C33)^'02 Assumptions'!$C$11+SUM('06 DCF'!$F$46:$F$52))/'06 DCF'!$F$54</f>
        <v>150.20802222284073</v>
      </c>
    </row>
    <row r="34" spans="2:8" x14ac:dyDescent="0.3">
      <c r="C34" s="116">
        <f>'07 WACC'!$C$38+-0.005</f>
        <v>0.11040544272914492</v>
      </c>
      <c r="D34" s="172" cm="1">
        <f t="array" ref="D34">(SUMPRODUCT('06 DCF'!$G$15:$P$15-D$32*'04 Operating Model'!$G$11:$P$11,1/(1+$C34)^'06 DCF'!$G$20:$P$20)+'06 DCF'!$P$10*(1+'06 DCF'!$F$26)*(1-'06 DCF'!$F$26/'06 DCF'!$F$27)/($C34-'06 DCF'!$F$26)/(1+$C34)^'02 Assumptions'!$C$11+SUM('06 DCF'!$F$46:$F$52))/'06 DCF'!$F$54</f>
        <v>140.38659463100151</v>
      </c>
      <c r="E34" s="173" cm="1">
        <f t="array" ref="E34">(SUMPRODUCT('06 DCF'!$G$15:$P$15-E$32*'04 Operating Model'!$G$11:$P$11,1/(1+$C34)^'06 DCF'!$G$20:$P$20)+'06 DCF'!$P$10*(1+'06 DCF'!$F$26)*(1-'06 DCF'!$F$26/'06 DCF'!$F$27)/($C34-'06 DCF'!$F$26)/(1+$C34)^'02 Assumptions'!$C$11+SUM('06 DCF'!$F$46:$F$52))/'06 DCF'!$F$54</f>
        <v>140.38659463100151</v>
      </c>
      <c r="F34" s="173" cm="1">
        <f t="array" ref="F34">(SUMPRODUCT('06 DCF'!$G$15:$P$15-F$32*'04 Operating Model'!$G$11:$P$11,1/(1+$C34)^'06 DCF'!$G$20:$P$20)+'06 DCF'!$P$10*(1+'06 DCF'!$F$26)*(1-'06 DCF'!$F$26/'06 DCF'!$F$27)/($C34-'06 DCF'!$F$26)/(1+$C34)^'02 Assumptions'!$C$11+SUM('06 DCF'!$F$46:$F$52))/'06 DCF'!$F$54</f>
        <v>140.38659463100151</v>
      </c>
      <c r="G34" s="173" cm="1">
        <f t="array" ref="G34">(SUMPRODUCT('06 DCF'!$G$15:$P$15-G$32*'04 Operating Model'!$G$11:$P$11,1/(1+$C34)^'06 DCF'!$G$20:$P$20)+'06 DCF'!$P$10*(1+'06 DCF'!$F$26)*(1-'06 DCF'!$F$26/'06 DCF'!$F$27)/($C34-'06 DCF'!$F$26)/(1+$C34)^'02 Assumptions'!$C$11+SUM('06 DCF'!$F$46:$F$52))/'06 DCF'!$F$54</f>
        <v>140.38659463100151</v>
      </c>
      <c r="H34" s="174" cm="1">
        <f t="array" ref="H34">(SUMPRODUCT('06 DCF'!$G$15:$P$15-H$32*'04 Operating Model'!$G$11:$P$11,1/(1+$C34)^'06 DCF'!$G$20:$P$20)+'06 DCF'!$P$10*(1+'06 DCF'!$F$26)*(1-'06 DCF'!$F$26/'06 DCF'!$F$27)/($C34-'06 DCF'!$F$26)/(1+$C34)^'02 Assumptions'!$C$11+SUM('06 DCF'!$F$46:$F$52))/'06 DCF'!$F$54</f>
        <v>140.38659463100151</v>
      </c>
    </row>
    <row r="35" spans="2:8" x14ac:dyDescent="0.3">
      <c r="C35" s="116">
        <f>'07 WACC'!$C$38+0</f>
        <v>0.11540544272914492</v>
      </c>
      <c r="D35" s="172" cm="1">
        <f t="array" ref="D35">(SUMPRODUCT('06 DCF'!$G$15:$P$15-D$32*'04 Operating Model'!$G$11:$P$11,1/(1+$C35)^'06 DCF'!$G$20:$P$20)+'06 DCF'!$P$10*(1+'06 DCF'!$F$26)*(1-'06 DCF'!$F$26/'06 DCF'!$F$27)/($C35-'06 DCF'!$F$26)/(1+$C35)^'02 Assumptions'!$C$11+SUM('06 DCF'!$F$46:$F$52))/'06 DCF'!$F$54</f>
        <v>131.72392237678821</v>
      </c>
      <c r="E35" s="173" cm="1">
        <f t="array" ref="E35">(SUMPRODUCT('06 DCF'!$G$15:$P$15-E$32*'04 Operating Model'!$G$11:$P$11,1/(1+$C35)^'06 DCF'!$G$20:$P$20)+'06 DCF'!$P$10*(1+'06 DCF'!$F$26)*(1-'06 DCF'!$F$26/'06 DCF'!$F$27)/($C35-'06 DCF'!$F$26)/(1+$C35)^'02 Assumptions'!$C$11+SUM('06 DCF'!$F$46:$F$52))/'06 DCF'!$F$54</f>
        <v>131.72392237678821</v>
      </c>
      <c r="F35" s="175" cm="1">
        <f t="array" ref="F35">(SUMPRODUCT('06 DCF'!$G$15:$P$15-F$32*'04 Operating Model'!$G$11:$P$11,1/(1+$C35)^'06 DCF'!$G$20:$P$20)+'06 DCF'!$P$10*(1+'06 DCF'!$F$26)*(1-'06 DCF'!$F$26/'06 DCF'!$F$27)/($C35-'06 DCF'!$F$26)/(1+$C35)^'02 Assumptions'!$C$11+SUM('06 DCF'!$F$46:$F$52))/'06 DCF'!$F$54</f>
        <v>131.72392237678821</v>
      </c>
      <c r="G35" s="173" cm="1">
        <f t="array" ref="G35">(SUMPRODUCT('06 DCF'!$G$15:$P$15-G$32*'04 Operating Model'!$G$11:$P$11,1/(1+$C35)^'06 DCF'!$G$20:$P$20)+'06 DCF'!$P$10*(1+'06 DCF'!$F$26)*(1-'06 DCF'!$F$26/'06 DCF'!$F$27)/($C35-'06 DCF'!$F$26)/(1+$C35)^'02 Assumptions'!$C$11+SUM('06 DCF'!$F$46:$F$52))/'06 DCF'!$F$54</f>
        <v>131.72392237678821</v>
      </c>
      <c r="H35" s="174" cm="1">
        <f t="array" ref="H35">(SUMPRODUCT('06 DCF'!$G$15:$P$15-H$32*'04 Operating Model'!$G$11:$P$11,1/(1+$C35)^'06 DCF'!$G$20:$P$20)+'06 DCF'!$P$10*(1+'06 DCF'!$F$26)*(1-'06 DCF'!$F$26/'06 DCF'!$F$27)/($C35-'06 DCF'!$F$26)/(1+$C35)^'02 Assumptions'!$C$11+SUM('06 DCF'!$F$46:$F$52))/'06 DCF'!$F$54</f>
        <v>131.72392237678821</v>
      </c>
    </row>
    <row r="36" spans="2:8" x14ac:dyDescent="0.3">
      <c r="C36" s="116">
        <f>'07 WACC'!$C$38+0.005</f>
        <v>0.12040544272914493</v>
      </c>
      <c r="D36" s="172" cm="1">
        <f t="array" ref="D36">(SUMPRODUCT('06 DCF'!$G$15:$P$15-D$32*'04 Operating Model'!$G$11:$P$11,1/(1+$C36)^'06 DCF'!$G$20:$P$20)+'06 DCF'!$P$10*(1+'06 DCF'!$F$26)*(1-'06 DCF'!$F$26/'06 DCF'!$F$27)/($C36-'06 DCF'!$F$26)/(1+$C36)^'02 Assumptions'!$C$11+SUM('06 DCF'!$F$46:$F$52))/'06 DCF'!$F$54</f>
        <v>124.02723668647701</v>
      </c>
      <c r="E36" s="173" cm="1">
        <f t="array" ref="E36">(SUMPRODUCT('06 DCF'!$G$15:$P$15-E$32*'04 Operating Model'!$G$11:$P$11,1/(1+$C36)^'06 DCF'!$G$20:$P$20)+'06 DCF'!$P$10*(1+'06 DCF'!$F$26)*(1-'06 DCF'!$F$26/'06 DCF'!$F$27)/($C36-'06 DCF'!$F$26)/(1+$C36)^'02 Assumptions'!$C$11+SUM('06 DCF'!$F$46:$F$52))/'06 DCF'!$F$54</f>
        <v>124.02723668647701</v>
      </c>
      <c r="F36" s="173" cm="1">
        <f t="array" ref="F36">(SUMPRODUCT('06 DCF'!$G$15:$P$15-F$32*'04 Operating Model'!$G$11:$P$11,1/(1+$C36)^'06 DCF'!$G$20:$P$20)+'06 DCF'!$P$10*(1+'06 DCF'!$F$26)*(1-'06 DCF'!$F$26/'06 DCF'!$F$27)/($C36-'06 DCF'!$F$26)/(1+$C36)^'02 Assumptions'!$C$11+SUM('06 DCF'!$F$46:$F$52))/'06 DCF'!$F$54</f>
        <v>124.02723668647701</v>
      </c>
      <c r="G36" s="173" cm="1">
        <f t="array" ref="G36">(SUMPRODUCT('06 DCF'!$G$15:$P$15-G$32*'04 Operating Model'!$G$11:$P$11,1/(1+$C36)^'06 DCF'!$G$20:$P$20)+'06 DCF'!$P$10*(1+'06 DCF'!$F$26)*(1-'06 DCF'!$F$26/'06 DCF'!$F$27)/($C36-'06 DCF'!$F$26)/(1+$C36)^'02 Assumptions'!$C$11+SUM('06 DCF'!$F$46:$F$52))/'06 DCF'!$F$54</f>
        <v>124.02723668647701</v>
      </c>
      <c r="H36" s="174" cm="1">
        <f t="array" ref="H36">(SUMPRODUCT('06 DCF'!$G$15:$P$15-H$32*'04 Operating Model'!$G$11:$P$11,1/(1+$C36)^'06 DCF'!$G$20:$P$20)+'06 DCF'!$P$10*(1+'06 DCF'!$F$26)*(1-'06 DCF'!$F$26/'06 DCF'!$F$27)/($C36-'06 DCF'!$F$26)/(1+$C36)^'02 Assumptions'!$C$11+SUM('06 DCF'!$F$46:$F$52))/'06 DCF'!$F$54</f>
        <v>124.02723668647701</v>
      </c>
    </row>
    <row r="37" spans="2:8" x14ac:dyDescent="0.3">
      <c r="C37" s="116">
        <f>'07 WACC'!$C$38+0.01</f>
        <v>0.12540544272914492</v>
      </c>
      <c r="D37" s="176" cm="1">
        <f t="array" ref="D37">(SUMPRODUCT('06 DCF'!$G$15:$P$15-D$32*'04 Operating Model'!$G$11:$P$11,1/(1+$C37)^'06 DCF'!$G$20:$P$20)+'06 DCF'!$P$10*(1+'06 DCF'!$F$26)*(1-'06 DCF'!$F$26/'06 DCF'!$F$27)/($C37-'06 DCF'!$F$26)/(1+$C37)^'02 Assumptions'!$C$11+SUM('06 DCF'!$F$46:$F$52))/'06 DCF'!$F$54</f>
        <v>117.14421471904301</v>
      </c>
      <c r="E37" s="177" cm="1">
        <f t="array" ref="E37">(SUMPRODUCT('06 DCF'!$G$15:$P$15-E$32*'04 Operating Model'!$G$11:$P$11,1/(1+$C37)^'06 DCF'!$G$20:$P$20)+'06 DCF'!$P$10*(1+'06 DCF'!$F$26)*(1-'06 DCF'!$F$26/'06 DCF'!$F$27)/($C37-'06 DCF'!$F$26)/(1+$C37)^'02 Assumptions'!$C$11+SUM('06 DCF'!$F$46:$F$52))/'06 DCF'!$F$54</f>
        <v>117.14421471904301</v>
      </c>
      <c r="F37" s="177" cm="1">
        <f t="array" ref="F37">(SUMPRODUCT('06 DCF'!$G$15:$P$15-F$32*'04 Operating Model'!$G$11:$P$11,1/(1+$C37)^'06 DCF'!$G$20:$P$20)+'06 DCF'!$P$10*(1+'06 DCF'!$F$26)*(1-'06 DCF'!$F$26/'06 DCF'!$F$27)/($C37-'06 DCF'!$F$26)/(1+$C37)^'02 Assumptions'!$C$11+SUM('06 DCF'!$F$46:$F$52))/'06 DCF'!$F$54</f>
        <v>117.14421471904301</v>
      </c>
      <c r="G37" s="177" cm="1">
        <f t="array" ref="G37">(SUMPRODUCT('06 DCF'!$G$15:$P$15-G$32*'04 Operating Model'!$G$11:$P$11,1/(1+$C37)^'06 DCF'!$G$20:$P$20)+'06 DCF'!$P$10*(1+'06 DCF'!$F$26)*(1-'06 DCF'!$F$26/'06 DCF'!$F$27)/($C37-'06 DCF'!$F$26)/(1+$C37)^'02 Assumptions'!$C$11+SUM('06 DCF'!$F$46:$F$52))/'06 DCF'!$F$54</f>
        <v>117.14421471904301</v>
      </c>
      <c r="H37" s="178" cm="1">
        <f t="array" ref="H37">(SUMPRODUCT('06 DCF'!$G$15:$P$15-H$32*'04 Operating Model'!$G$11:$P$11,1/(1+$C37)^'06 DCF'!$G$20:$P$20)+'06 DCF'!$P$10*(1+'06 DCF'!$F$26)*(1-'06 DCF'!$F$26/'06 DCF'!$F$27)/($C37-'06 DCF'!$F$26)/(1+$C37)^'02 Assumptions'!$C$11+SUM('06 DCF'!$F$46:$F$52))/'06 DCF'!$F$54</f>
        <v>117.14421471904301</v>
      </c>
    </row>
    <row r="40" spans="2:8" x14ac:dyDescent="0.3">
      <c r="B40" s="5" t="s">
        <v>539</v>
      </c>
      <c r="C40" s="5"/>
      <c r="D40" s="5"/>
      <c r="E40" s="5"/>
      <c r="F40" s="5"/>
      <c r="G40" s="5"/>
      <c r="H40" s="5"/>
    </row>
    <row r="41" spans="2:8" x14ac:dyDescent="0.3">
      <c r="B41" s="2" t="s">
        <v>1445</v>
      </c>
      <c r="D41" s="150"/>
      <c r="E41" s="150"/>
      <c r="F41" s="150"/>
      <c r="G41" s="150"/>
      <c r="H41" s="150"/>
    </row>
    <row r="42" spans="2:8" x14ac:dyDescent="0.3">
      <c r="C42" s="116">
        <f>'07 WACC'!$C$38+-0.01</f>
        <v>0.10540544272914493</v>
      </c>
      <c r="D42" s="169" cm="1">
        <f t="array" ref="D42">(SUMPRODUCT('06 DCF'!$G$15:$P$15-D$41*'06 DCF'!$G$7:$P$7,1/(1+$C42)^'06 DCF'!$G$20:$P$20)+('06 DCF'!$P$10-D$41*'06 DCF'!$P$7)*(1+'06 DCF'!$F$26)*(1-'06 DCF'!$F$26/'06 DCF'!$F$27)/($C42-'06 DCF'!$F$26)/(1+$C42)^'02 Assumptions'!$C$11+SUM('06 DCF'!$F$46:$F$52))/'06 DCF'!$F$54</f>
        <v>150.20802222284073</v>
      </c>
      <c r="E42" s="170" cm="1">
        <f t="array" ref="E42">(SUMPRODUCT('06 DCF'!$G$15:$P$15-E$41*'06 DCF'!$G$7:$P$7,1/(1+$C42)^'06 DCF'!$G$20:$P$20)+('06 DCF'!$P$10-E$41*'06 DCF'!$P$7)*(1+'06 DCF'!$F$26)*(1-'06 DCF'!$F$26/'06 DCF'!$F$27)/($C42-'06 DCF'!$F$26)/(1+$C42)^'02 Assumptions'!$C$11+SUM('06 DCF'!$F$46:$F$52))/'06 DCF'!$F$54</f>
        <v>150.20802222284073</v>
      </c>
      <c r="F42" s="170" cm="1">
        <f t="array" ref="F42">(SUMPRODUCT('06 DCF'!$G$15:$P$15-F$41*'06 DCF'!$G$7:$P$7,1/(1+$C42)^'06 DCF'!$G$20:$P$20)+('06 DCF'!$P$10-F$41*'06 DCF'!$P$7)*(1+'06 DCF'!$F$26)*(1-'06 DCF'!$F$26/'06 DCF'!$F$27)/($C42-'06 DCF'!$F$26)/(1+$C42)^'02 Assumptions'!$C$11+SUM('06 DCF'!$F$46:$F$52))/'06 DCF'!$F$54</f>
        <v>150.20802222284073</v>
      </c>
      <c r="G42" s="170" cm="1">
        <f t="array" ref="G42">(SUMPRODUCT('06 DCF'!$G$15:$P$15-G$41*'06 DCF'!$G$7:$P$7,1/(1+$C42)^'06 DCF'!$G$20:$P$20)+('06 DCF'!$P$10-G$41*'06 DCF'!$P$7)*(1+'06 DCF'!$F$26)*(1-'06 DCF'!$F$26/'06 DCF'!$F$27)/($C42-'06 DCF'!$F$26)/(1+$C42)^'02 Assumptions'!$C$11+SUM('06 DCF'!$F$46:$F$52))/'06 DCF'!$F$54</f>
        <v>150.20802222284073</v>
      </c>
      <c r="H42" s="171" cm="1">
        <f t="array" ref="H42">(SUMPRODUCT('06 DCF'!$G$15:$P$15-H$41*'06 DCF'!$G$7:$P$7,1/(1+$C42)^'06 DCF'!$G$20:$P$20)+('06 DCF'!$P$10-H$41*'06 DCF'!$P$7)*(1+'06 DCF'!$F$26)*(1-'06 DCF'!$F$26/'06 DCF'!$F$27)/($C42-'06 DCF'!$F$26)/(1+$C42)^'02 Assumptions'!$C$11+SUM('06 DCF'!$F$46:$F$52))/'06 DCF'!$F$54</f>
        <v>150.20802222284073</v>
      </c>
    </row>
    <row r="43" spans="2:8" x14ac:dyDescent="0.3">
      <c r="C43" s="116">
        <f>'07 WACC'!$C$38+-0.005</f>
        <v>0.11040544272914492</v>
      </c>
      <c r="D43" s="172" cm="1">
        <f t="array" ref="D43">(SUMPRODUCT('06 DCF'!$G$15:$P$15-D$41*'06 DCF'!$G$7:$P$7,1/(1+$C43)^'06 DCF'!$G$20:$P$20)+('06 DCF'!$P$10-D$41*'06 DCF'!$P$7)*(1+'06 DCF'!$F$26)*(1-'06 DCF'!$F$26/'06 DCF'!$F$27)/($C43-'06 DCF'!$F$26)/(1+$C43)^'02 Assumptions'!$C$11+SUM('06 DCF'!$F$46:$F$52))/'06 DCF'!$F$54</f>
        <v>140.38659463100151</v>
      </c>
      <c r="E43" s="173" cm="1">
        <f t="array" ref="E43">(SUMPRODUCT('06 DCF'!$G$15:$P$15-E$41*'06 DCF'!$G$7:$P$7,1/(1+$C43)^'06 DCF'!$G$20:$P$20)+('06 DCF'!$P$10-E$41*'06 DCF'!$P$7)*(1+'06 DCF'!$F$26)*(1-'06 DCF'!$F$26/'06 DCF'!$F$27)/($C43-'06 DCF'!$F$26)/(1+$C43)^'02 Assumptions'!$C$11+SUM('06 DCF'!$F$46:$F$52))/'06 DCF'!$F$54</f>
        <v>140.38659463100151</v>
      </c>
      <c r="F43" s="173" cm="1">
        <f t="array" ref="F43">(SUMPRODUCT('06 DCF'!$G$15:$P$15-F$41*'06 DCF'!$G$7:$P$7,1/(1+$C43)^'06 DCF'!$G$20:$P$20)+('06 DCF'!$P$10-F$41*'06 DCF'!$P$7)*(1+'06 DCF'!$F$26)*(1-'06 DCF'!$F$26/'06 DCF'!$F$27)/($C43-'06 DCF'!$F$26)/(1+$C43)^'02 Assumptions'!$C$11+SUM('06 DCF'!$F$46:$F$52))/'06 DCF'!$F$54</f>
        <v>140.38659463100151</v>
      </c>
      <c r="G43" s="173" cm="1">
        <f t="array" ref="G43">(SUMPRODUCT('06 DCF'!$G$15:$P$15-G$41*'06 DCF'!$G$7:$P$7,1/(1+$C43)^'06 DCF'!$G$20:$P$20)+('06 DCF'!$P$10-G$41*'06 DCF'!$P$7)*(1+'06 DCF'!$F$26)*(1-'06 DCF'!$F$26/'06 DCF'!$F$27)/($C43-'06 DCF'!$F$26)/(1+$C43)^'02 Assumptions'!$C$11+SUM('06 DCF'!$F$46:$F$52))/'06 DCF'!$F$54</f>
        <v>140.38659463100151</v>
      </c>
      <c r="H43" s="174" cm="1">
        <f t="array" ref="H43">(SUMPRODUCT('06 DCF'!$G$15:$P$15-H$41*'06 DCF'!$G$7:$P$7,1/(1+$C43)^'06 DCF'!$G$20:$P$20)+('06 DCF'!$P$10-H$41*'06 DCF'!$P$7)*(1+'06 DCF'!$F$26)*(1-'06 DCF'!$F$26/'06 DCF'!$F$27)/($C43-'06 DCF'!$F$26)/(1+$C43)^'02 Assumptions'!$C$11+SUM('06 DCF'!$F$46:$F$52))/'06 DCF'!$F$54</f>
        <v>140.38659463100151</v>
      </c>
    </row>
    <row r="44" spans="2:8" x14ac:dyDescent="0.3">
      <c r="C44" s="116">
        <f>'07 WACC'!$C$38+0</f>
        <v>0.11540544272914492</v>
      </c>
      <c r="D44" s="172" cm="1">
        <f t="array" ref="D44">(SUMPRODUCT('06 DCF'!$G$15:$P$15-D$41*'06 DCF'!$G$7:$P$7,1/(1+$C44)^'06 DCF'!$G$20:$P$20)+('06 DCF'!$P$10-D$41*'06 DCF'!$P$7)*(1+'06 DCF'!$F$26)*(1-'06 DCF'!$F$26/'06 DCF'!$F$27)/($C44-'06 DCF'!$F$26)/(1+$C44)^'02 Assumptions'!$C$11+SUM('06 DCF'!$F$46:$F$52))/'06 DCF'!$F$54</f>
        <v>131.72392237678821</v>
      </c>
      <c r="E44" s="173" cm="1">
        <f t="array" ref="E44">(SUMPRODUCT('06 DCF'!$G$15:$P$15-E$41*'06 DCF'!$G$7:$P$7,1/(1+$C44)^'06 DCF'!$G$20:$P$20)+('06 DCF'!$P$10-E$41*'06 DCF'!$P$7)*(1+'06 DCF'!$F$26)*(1-'06 DCF'!$F$26/'06 DCF'!$F$27)/($C44-'06 DCF'!$F$26)/(1+$C44)^'02 Assumptions'!$C$11+SUM('06 DCF'!$F$46:$F$52))/'06 DCF'!$F$54</f>
        <v>131.72392237678821</v>
      </c>
      <c r="F44" s="175" cm="1">
        <f t="array" ref="F44">(SUMPRODUCT('06 DCF'!$G$15:$P$15-F$41*'06 DCF'!$G$7:$P$7,1/(1+$C44)^'06 DCF'!$G$20:$P$20)+('06 DCF'!$P$10-F$41*'06 DCF'!$P$7)*(1+'06 DCF'!$F$26)*(1-'06 DCF'!$F$26/'06 DCF'!$F$27)/($C44-'06 DCF'!$F$26)/(1+$C44)^'02 Assumptions'!$C$11+SUM('06 DCF'!$F$46:$F$52))/'06 DCF'!$F$54</f>
        <v>131.72392237678821</v>
      </c>
      <c r="G44" s="173" cm="1">
        <f t="array" ref="G44">(SUMPRODUCT('06 DCF'!$G$15:$P$15-G$41*'06 DCF'!$G$7:$P$7,1/(1+$C44)^'06 DCF'!$G$20:$P$20)+('06 DCF'!$P$10-G$41*'06 DCF'!$P$7)*(1+'06 DCF'!$F$26)*(1-'06 DCF'!$F$26/'06 DCF'!$F$27)/($C44-'06 DCF'!$F$26)/(1+$C44)^'02 Assumptions'!$C$11+SUM('06 DCF'!$F$46:$F$52))/'06 DCF'!$F$54</f>
        <v>131.72392237678821</v>
      </c>
      <c r="H44" s="174" cm="1">
        <f t="array" ref="H44">(SUMPRODUCT('06 DCF'!$G$15:$P$15-H$41*'06 DCF'!$G$7:$P$7,1/(1+$C44)^'06 DCF'!$G$20:$P$20)+('06 DCF'!$P$10-H$41*'06 DCF'!$P$7)*(1+'06 DCF'!$F$26)*(1-'06 DCF'!$F$26/'06 DCF'!$F$27)/($C44-'06 DCF'!$F$26)/(1+$C44)^'02 Assumptions'!$C$11+SUM('06 DCF'!$F$46:$F$52))/'06 DCF'!$F$54</f>
        <v>131.72392237678821</v>
      </c>
    </row>
    <row r="45" spans="2:8" x14ac:dyDescent="0.3">
      <c r="C45" s="116">
        <f>'07 WACC'!$C$38+0.005</f>
        <v>0.12040544272914493</v>
      </c>
      <c r="D45" s="172" cm="1">
        <f t="array" ref="D45">(SUMPRODUCT('06 DCF'!$G$15:$P$15-D$41*'06 DCF'!$G$7:$P$7,1/(1+$C45)^'06 DCF'!$G$20:$P$20)+('06 DCF'!$P$10-D$41*'06 DCF'!$P$7)*(1+'06 DCF'!$F$26)*(1-'06 DCF'!$F$26/'06 DCF'!$F$27)/($C45-'06 DCF'!$F$26)/(1+$C45)^'02 Assumptions'!$C$11+SUM('06 DCF'!$F$46:$F$52))/'06 DCF'!$F$54</f>
        <v>124.02723668647701</v>
      </c>
      <c r="E45" s="173" cm="1">
        <f t="array" ref="E45">(SUMPRODUCT('06 DCF'!$G$15:$P$15-E$41*'06 DCF'!$G$7:$P$7,1/(1+$C45)^'06 DCF'!$G$20:$P$20)+('06 DCF'!$P$10-E$41*'06 DCF'!$P$7)*(1+'06 DCF'!$F$26)*(1-'06 DCF'!$F$26/'06 DCF'!$F$27)/($C45-'06 DCF'!$F$26)/(1+$C45)^'02 Assumptions'!$C$11+SUM('06 DCF'!$F$46:$F$52))/'06 DCF'!$F$54</f>
        <v>124.02723668647701</v>
      </c>
      <c r="F45" s="173" cm="1">
        <f t="array" ref="F45">(SUMPRODUCT('06 DCF'!$G$15:$P$15-F$41*'06 DCF'!$G$7:$P$7,1/(1+$C45)^'06 DCF'!$G$20:$P$20)+('06 DCF'!$P$10-F$41*'06 DCF'!$P$7)*(1+'06 DCF'!$F$26)*(1-'06 DCF'!$F$26/'06 DCF'!$F$27)/($C45-'06 DCF'!$F$26)/(1+$C45)^'02 Assumptions'!$C$11+SUM('06 DCF'!$F$46:$F$52))/'06 DCF'!$F$54</f>
        <v>124.02723668647701</v>
      </c>
      <c r="G45" s="173" cm="1">
        <f t="array" ref="G45">(SUMPRODUCT('06 DCF'!$G$15:$P$15-G$41*'06 DCF'!$G$7:$P$7,1/(1+$C45)^'06 DCF'!$G$20:$P$20)+('06 DCF'!$P$10-G$41*'06 DCF'!$P$7)*(1+'06 DCF'!$F$26)*(1-'06 DCF'!$F$26/'06 DCF'!$F$27)/($C45-'06 DCF'!$F$26)/(1+$C45)^'02 Assumptions'!$C$11+SUM('06 DCF'!$F$46:$F$52))/'06 DCF'!$F$54</f>
        <v>124.02723668647701</v>
      </c>
      <c r="H45" s="174" cm="1">
        <f t="array" ref="H45">(SUMPRODUCT('06 DCF'!$G$15:$P$15-H$41*'06 DCF'!$G$7:$P$7,1/(1+$C45)^'06 DCF'!$G$20:$P$20)+('06 DCF'!$P$10-H$41*'06 DCF'!$P$7)*(1+'06 DCF'!$F$26)*(1-'06 DCF'!$F$26/'06 DCF'!$F$27)/($C45-'06 DCF'!$F$26)/(1+$C45)^'02 Assumptions'!$C$11+SUM('06 DCF'!$F$46:$F$52))/'06 DCF'!$F$54</f>
        <v>124.02723668647701</v>
      </c>
    </row>
    <row r="46" spans="2:8" x14ac:dyDescent="0.3">
      <c r="C46" s="116">
        <f>'07 WACC'!$C$38+0.01</f>
        <v>0.12540544272914492</v>
      </c>
      <c r="D46" s="176" cm="1">
        <f t="array" ref="D46">(SUMPRODUCT('06 DCF'!$G$15:$P$15-D$41*'06 DCF'!$G$7:$P$7,1/(1+$C46)^'06 DCF'!$G$20:$P$20)+('06 DCF'!$P$10-D$41*'06 DCF'!$P$7)*(1+'06 DCF'!$F$26)*(1-'06 DCF'!$F$26/'06 DCF'!$F$27)/($C46-'06 DCF'!$F$26)/(1+$C46)^'02 Assumptions'!$C$11+SUM('06 DCF'!$F$46:$F$52))/'06 DCF'!$F$54</f>
        <v>117.14421471904301</v>
      </c>
      <c r="E46" s="177" cm="1">
        <f t="array" ref="E46">(SUMPRODUCT('06 DCF'!$G$15:$P$15-E$41*'06 DCF'!$G$7:$P$7,1/(1+$C46)^'06 DCF'!$G$20:$P$20)+('06 DCF'!$P$10-E$41*'06 DCF'!$P$7)*(1+'06 DCF'!$F$26)*(1-'06 DCF'!$F$26/'06 DCF'!$F$27)/($C46-'06 DCF'!$F$26)/(1+$C46)^'02 Assumptions'!$C$11+SUM('06 DCF'!$F$46:$F$52))/'06 DCF'!$F$54</f>
        <v>117.14421471904301</v>
      </c>
      <c r="F46" s="177" cm="1">
        <f t="array" ref="F46">(SUMPRODUCT('06 DCF'!$G$15:$P$15-F$41*'06 DCF'!$G$7:$P$7,1/(1+$C46)^'06 DCF'!$G$20:$P$20)+('06 DCF'!$P$10-F$41*'06 DCF'!$P$7)*(1+'06 DCF'!$F$26)*(1-'06 DCF'!$F$26/'06 DCF'!$F$27)/($C46-'06 DCF'!$F$26)/(1+$C46)^'02 Assumptions'!$C$11+SUM('06 DCF'!$F$46:$F$52))/'06 DCF'!$F$54</f>
        <v>117.14421471904301</v>
      </c>
      <c r="G46" s="177" cm="1">
        <f t="array" ref="G46">(SUMPRODUCT('06 DCF'!$G$15:$P$15-G$41*'06 DCF'!$G$7:$P$7,1/(1+$C46)^'06 DCF'!$G$20:$P$20)+('06 DCF'!$P$10-G$41*'06 DCF'!$P$7)*(1+'06 DCF'!$F$26)*(1-'06 DCF'!$F$26/'06 DCF'!$F$27)/($C46-'06 DCF'!$F$26)/(1+$C46)^'02 Assumptions'!$C$11+SUM('06 DCF'!$F$46:$F$52))/'06 DCF'!$F$54</f>
        <v>117.14421471904301</v>
      </c>
      <c r="H46" s="178" cm="1">
        <f t="array" ref="H46">(SUMPRODUCT('06 DCF'!$G$15:$P$15-H$41*'06 DCF'!$G$7:$P$7,1/(1+$C46)^'06 DCF'!$G$20:$P$20)+('06 DCF'!$P$10-H$41*'06 DCF'!$P$7)*(1+'06 DCF'!$F$26)*(1-'06 DCF'!$F$26/'06 DCF'!$F$27)/($C46-'06 DCF'!$F$26)/(1+$C46)^'02 Assumptions'!$C$11+SUM('06 DCF'!$F$46:$F$52))/'06 DCF'!$F$54</f>
        <v>117.14421471904301</v>
      </c>
    </row>
    <row r="49" spans="2:8" x14ac:dyDescent="0.3">
      <c r="B49" s="5" t="s">
        <v>542</v>
      </c>
      <c r="C49" s="5"/>
      <c r="D49" s="5"/>
      <c r="E49" s="5"/>
      <c r="F49" s="5"/>
      <c r="G49" s="5"/>
      <c r="H49" s="5"/>
    </row>
    <row r="50" spans="2:8" x14ac:dyDescent="0.3">
      <c r="B50" s="2" t="s">
        <v>190</v>
      </c>
      <c r="C50" s="2" t="s">
        <v>543</v>
      </c>
      <c r="D50" s="2" t="s">
        <v>544</v>
      </c>
      <c r="E50" s="2" t="s">
        <v>545</v>
      </c>
      <c r="F50" s="2" t="s">
        <v>546</v>
      </c>
    </row>
    <row r="51" spans="2:8" x14ac:dyDescent="0.3">
      <c r="B51" t="s">
        <v>547</v>
      </c>
      <c r="C51" s="164">
        <f>MIN(D8:H8)</f>
        <v>126.59333649067099</v>
      </c>
      <c r="D51" s="164">
        <f>MAX(D8:H8)</f>
        <v>138.16350620829124</v>
      </c>
      <c r="E51" s="164">
        <f t="shared" ref="E51:E56" si="0">D51-C51</f>
        <v>11.570169717620246</v>
      </c>
      <c r="F51" s="119" t="str">
        <f t="shared" ref="F51:F56" si="1">IF(E51&gt;=LARGE($E$51:$E$56,2),"PRIMARIO",IF(E51&gt;=LARGE($E$51:$E$56,4),"SECUNDARIO","BAJO IMPACTO"))</f>
        <v>PRIMARIO</v>
      </c>
    </row>
    <row r="52" spans="2:8" x14ac:dyDescent="0.3">
      <c r="B52" t="s">
        <v>548</v>
      </c>
      <c r="C52" s="164">
        <f>MIN(D6:D10)</f>
        <v>113.47530840790658</v>
      </c>
      <c r="D52" s="164">
        <f>MAX(D6:D10)</f>
        <v>142.85601662386435</v>
      </c>
      <c r="E52" s="164">
        <f t="shared" si="0"/>
        <v>29.380708215957767</v>
      </c>
      <c r="F52" s="119" t="str">
        <f t="shared" si="1"/>
        <v>PRIMARIO</v>
      </c>
    </row>
    <row r="53" spans="2:8" x14ac:dyDescent="0.3">
      <c r="B53" t="s">
        <v>549</v>
      </c>
      <c r="C53" s="164">
        <f>MIN(D26:H26)</f>
        <v>131.72392237678821</v>
      </c>
      <c r="D53" s="164">
        <f>MAX(D26:H26)</f>
        <v>131.72392237678821</v>
      </c>
      <c r="E53" s="164">
        <f t="shared" si="0"/>
        <v>0</v>
      </c>
      <c r="F53" s="119" t="str">
        <f t="shared" si="1"/>
        <v>SECUNDARIO</v>
      </c>
    </row>
    <row r="54" spans="2:8" x14ac:dyDescent="0.3">
      <c r="B54" t="s">
        <v>550</v>
      </c>
      <c r="C54" s="164">
        <f>MIN(D44:H44)</f>
        <v>131.72392237678821</v>
      </c>
      <c r="D54" s="164">
        <f>MAX(D44:H44)</f>
        <v>131.72392237678821</v>
      </c>
      <c r="E54" s="164">
        <f t="shared" si="0"/>
        <v>0</v>
      </c>
      <c r="F54" s="119" t="str">
        <f t="shared" si="1"/>
        <v>SECUNDARIO</v>
      </c>
    </row>
    <row r="55" spans="2:8" x14ac:dyDescent="0.3">
      <c r="B55" t="s">
        <v>551</v>
      </c>
      <c r="C55" s="164">
        <f>MIN(D35:H35)</f>
        <v>131.72392237678821</v>
      </c>
      <c r="D55" s="164">
        <f>MAX(D35:H35)</f>
        <v>131.72392237678821</v>
      </c>
      <c r="E55" s="164">
        <f t="shared" si="0"/>
        <v>0</v>
      </c>
      <c r="F55" s="119" t="str">
        <f t="shared" si="1"/>
        <v>SECUNDARIO</v>
      </c>
    </row>
    <row r="56" spans="2:8" x14ac:dyDescent="0.3">
      <c r="B56" t="s">
        <v>552</v>
      </c>
      <c r="C56" s="164">
        <f>MIN(D17:H17)</f>
        <v>68.127285138081305</v>
      </c>
      <c r="D56" s="164">
        <f>MAX(D17:H17)</f>
        <v>68.127285138081305</v>
      </c>
      <c r="E56" s="164">
        <f t="shared" si="0"/>
        <v>0</v>
      </c>
      <c r="F56" s="119" t="str">
        <f t="shared" si="1"/>
        <v>SECUNDARIO</v>
      </c>
    </row>
    <row r="58" spans="2:8" x14ac:dyDescent="0.3">
      <c r="B58" s="99" t="s">
        <v>553</v>
      </c>
      <c r="C58" s="97"/>
      <c r="D58" s="97"/>
      <c r="E58" s="97"/>
      <c r="F58" s="97"/>
      <c r="G58" s="97"/>
      <c r="H58" s="97"/>
    </row>
    <row r="59" spans="2:8" x14ac:dyDescent="0.3">
      <c r="B59" s="89" t="s">
        <v>554</v>
      </c>
    </row>
    <row r="60" spans="2:8" x14ac:dyDescent="0.3">
      <c r="B60" s="37" t="s">
        <v>555</v>
      </c>
      <c r="C60" s="37" t="s">
        <v>556</v>
      </c>
    </row>
    <row r="61" spans="2:8" x14ac:dyDescent="0.3">
      <c r="B61" s="37" t="s">
        <v>557</v>
      </c>
      <c r="C61" s="37" t="s">
        <v>558</v>
      </c>
    </row>
    <row r="62" spans="2:8" x14ac:dyDescent="0.3">
      <c r="B62" s="37" t="s">
        <v>559</v>
      </c>
      <c r="C62" s="37" t="s">
        <v>560</v>
      </c>
    </row>
    <row r="63" spans="2:8" x14ac:dyDescent="0.3">
      <c r="B63" s="37" t="s">
        <v>561</v>
      </c>
      <c r="C63" s="37" t="s">
        <v>562</v>
      </c>
    </row>
    <row r="64" spans="2:8" ht="28.8" x14ac:dyDescent="0.3">
      <c r="B64" s="37" t="s">
        <v>563</v>
      </c>
      <c r="C64" s="37" t="s">
        <v>564</v>
      </c>
    </row>
    <row r="65" spans="2:3" x14ac:dyDescent="0.3">
      <c r="B65" s="37" t="s">
        <v>565</v>
      </c>
      <c r="C65" s="37" t="s">
        <v>566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03A17-6DE8-4FCF-9690-BA9DDD8429E5}">
  <dimension ref="A1:G32"/>
  <sheetViews>
    <sheetView workbookViewId="0"/>
  </sheetViews>
  <sheetFormatPr baseColWidth="10" defaultRowHeight="14.4" x14ac:dyDescent="0.3"/>
  <cols>
    <col min="2" max="2" width="61.109375" customWidth="1"/>
    <col min="3" max="3" width="129.6640625" customWidth="1"/>
    <col min="4" max="7" width="16.6640625" customWidth="1"/>
  </cols>
  <sheetData>
    <row r="1" spans="1:7" ht="18" x14ac:dyDescent="0.35">
      <c r="A1" s="4" t="s">
        <v>185</v>
      </c>
    </row>
    <row r="2" spans="1:7" x14ac:dyDescent="0.3">
      <c r="A2" s="14" t="s">
        <v>186</v>
      </c>
    </row>
    <row r="4" spans="1:7" x14ac:dyDescent="0.3">
      <c r="B4" s="40" t="s">
        <v>187</v>
      </c>
      <c r="C4" s="41">
        <f>'00 Panel del Analista'!D228</f>
        <v>2</v>
      </c>
    </row>
    <row r="5" spans="1:7" x14ac:dyDescent="0.3">
      <c r="B5" s="3" t="s">
        <v>188</v>
      </c>
      <c r="C5" s="3" t="str">
        <f>CHOOSE($C$4,"BEAR","BASE","BULL")</f>
        <v>BASE</v>
      </c>
    </row>
    <row r="7" spans="1:7" x14ac:dyDescent="0.3">
      <c r="B7" s="5" t="s">
        <v>189</v>
      </c>
      <c r="C7" s="5"/>
      <c r="D7" s="5"/>
      <c r="E7" s="5"/>
      <c r="F7" s="5"/>
      <c r="G7" s="5"/>
    </row>
    <row r="8" spans="1:7" x14ac:dyDescent="0.3">
      <c r="B8" s="2" t="s">
        <v>190</v>
      </c>
      <c r="C8" s="2" t="s">
        <v>42</v>
      </c>
      <c r="D8" s="2" t="s">
        <v>191</v>
      </c>
      <c r="E8" s="2" t="s">
        <v>192</v>
      </c>
      <c r="F8" s="2" t="s">
        <v>193</v>
      </c>
      <c r="G8" s="2" t="s">
        <v>194</v>
      </c>
    </row>
    <row r="9" spans="1:7" x14ac:dyDescent="0.3">
      <c r="B9" t="s">
        <v>1929</v>
      </c>
      <c r="C9" s="66" t="s">
        <v>145</v>
      </c>
      <c r="D9" s="43">
        <f>'00 Panel del Analista'!D218</f>
        <v>0.7</v>
      </c>
      <c r="E9" s="43">
        <f>'00 Panel del Analista'!E218</f>
        <v>1</v>
      </c>
      <c r="F9" s="43">
        <f>'00 Panel del Analista'!F218</f>
        <v>1.25</v>
      </c>
      <c r="G9" s="65">
        <f t="shared" ref="G9:G17" si="0">CHOOSE($C$4,D9,E9,F9)</f>
        <v>1</v>
      </c>
    </row>
    <row r="10" spans="1:7" x14ac:dyDescent="0.3">
      <c r="B10" t="s">
        <v>196</v>
      </c>
      <c r="C10" s="66" t="s">
        <v>23</v>
      </c>
      <c r="D10" s="51">
        <f>'00 Panel del Analista'!D219</f>
        <v>-1.4999999999999999E-2</v>
      </c>
      <c r="E10" s="51">
        <f>'00 Panel del Analista'!E219</f>
        <v>0</v>
      </c>
      <c r="F10" s="51">
        <f>'00 Panel del Analista'!F219</f>
        <v>1.4999999999999999E-2</v>
      </c>
      <c r="G10" s="52">
        <f t="shared" si="0"/>
        <v>0</v>
      </c>
    </row>
    <row r="11" spans="1:7" x14ac:dyDescent="0.3">
      <c r="B11" t="s">
        <v>197</v>
      </c>
      <c r="C11" s="66" t="s">
        <v>23</v>
      </c>
      <c r="D11" s="51">
        <f>'00 Panel del Analista'!D220</f>
        <v>-1.4999999999999999E-2</v>
      </c>
      <c r="E11" s="51">
        <f>'00 Panel del Analista'!E220</f>
        <v>0</v>
      </c>
      <c r="F11" s="51">
        <f>'00 Panel del Analista'!F220</f>
        <v>1.4999999999999999E-2</v>
      </c>
      <c r="G11" s="52">
        <f t="shared" si="0"/>
        <v>0</v>
      </c>
    </row>
    <row r="12" spans="1:7" x14ac:dyDescent="0.3">
      <c r="B12" t="s">
        <v>198</v>
      </c>
      <c r="C12" s="66" t="s">
        <v>23</v>
      </c>
      <c r="D12" s="51">
        <f>'00 Panel del Analista'!D221</f>
        <v>0.01</v>
      </c>
      <c r="E12" s="51">
        <f>'00 Panel del Analista'!E221</f>
        <v>0</v>
      </c>
      <c r="F12" s="51">
        <f>'00 Panel del Analista'!F221</f>
        <v>-0.01</v>
      </c>
      <c r="G12" s="52">
        <f t="shared" si="0"/>
        <v>0</v>
      </c>
    </row>
    <row r="13" spans="1:7" x14ac:dyDescent="0.3">
      <c r="B13" t="s">
        <v>199</v>
      </c>
      <c r="C13" s="66" t="s">
        <v>145</v>
      </c>
      <c r="D13" s="43">
        <f>'00 Panel del Analista'!D222</f>
        <v>1.1499999999999999</v>
      </c>
      <c r="E13" s="43">
        <f>'00 Panel del Analista'!E222</f>
        <v>1</v>
      </c>
      <c r="F13" s="43">
        <f>'00 Panel del Analista'!F222</f>
        <v>0.95</v>
      </c>
      <c r="G13" s="65">
        <f t="shared" si="0"/>
        <v>1</v>
      </c>
    </row>
    <row r="14" spans="1:7" x14ac:dyDescent="0.3">
      <c r="B14" t="s">
        <v>200</v>
      </c>
      <c r="C14" s="66" t="s">
        <v>149</v>
      </c>
      <c r="D14" s="45">
        <f>'00 Panel del Analista'!D223</f>
        <v>5</v>
      </c>
      <c r="E14" s="45">
        <f>'00 Panel del Analista'!E223</f>
        <v>0</v>
      </c>
      <c r="F14" s="45">
        <f>'00 Panel del Analista'!F223</f>
        <v>-3</v>
      </c>
      <c r="G14" s="55">
        <f t="shared" si="0"/>
        <v>0</v>
      </c>
    </row>
    <row r="15" spans="1:7" x14ac:dyDescent="0.3">
      <c r="B15" t="s">
        <v>201</v>
      </c>
      <c r="C15" s="66" t="s">
        <v>23</v>
      </c>
      <c r="D15" s="51">
        <f>'00 Panel del Analista'!D224</f>
        <v>0.02</v>
      </c>
      <c r="E15" s="51">
        <f>'00 Panel del Analista'!E224</f>
        <v>0</v>
      </c>
      <c r="F15" s="51">
        <f>'00 Panel del Analista'!F224</f>
        <v>-0.01</v>
      </c>
      <c r="G15" s="52">
        <f t="shared" si="0"/>
        <v>0</v>
      </c>
    </row>
    <row r="16" spans="1:7" x14ac:dyDescent="0.3">
      <c r="B16" t="s">
        <v>202</v>
      </c>
      <c r="C16" s="66" t="s">
        <v>23</v>
      </c>
      <c r="D16" s="51">
        <f>'00 Panel del Analista'!D225</f>
        <v>-7.4999999999999997E-3</v>
      </c>
      <c r="E16" s="51">
        <f>'00 Panel del Analista'!E225</f>
        <v>0</v>
      </c>
      <c r="F16" s="51">
        <f>'00 Panel del Analista'!F225</f>
        <v>5.0000000000000001E-3</v>
      </c>
      <c r="G16" s="52">
        <f t="shared" si="0"/>
        <v>0</v>
      </c>
    </row>
    <row r="17" spans="2:7" x14ac:dyDescent="0.3">
      <c r="B17" t="s">
        <v>203</v>
      </c>
      <c r="C17" s="66" t="s">
        <v>23</v>
      </c>
      <c r="D17" s="51">
        <f>'00 Panel del Analista'!D226</f>
        <v>0.01</v>
      </c>
      <c r="E17" s="51">
        <f>'00 Panel del Analista'!E226</f>
        <v>0</v>
      </c>
      <c r="F17" s="51">
        <f>'00 Panel del Analista'!F226</f>
        <v>-5.0000000000000001E-3</v>
      </c>
      <c r="G17" s="52">
        <f t="shared" si="0"/>
        <v>0</v>
      </c>
    </row>
    <row r="19" spans="2:7" x14ac:dyDescent="0.3">
      <c r="B19" s="5" t="s">
        <v>204</v>
      </c>
      <c r="C19" s="5"/>
    </row>
    <row r="20" spans="2:7" ht="28.8" x14ac:dyDescent="0.3">
      <c r="B20" s="37" t="s">
        <v>191</v>
      </c>
      <c r="C20" s="37" t="s">
        <v>205</v>
      </c>
    </row>
    <row r="21" spans="2:7" ht="28.8" x14ac:dyDescent="0.3">
      <c r="B21" s="37" t="s">
        <v>192</v>
      </c>
      <c r="C21" s="37" t="s">
        <v>2047</v>
      </c>
    </row>
    <row r="22" spans="2:7" ht="28.8" x14ac:dyDescent="0.3">
      <c r="B22" s="37" t="s">
        <v>193</v>
      </c>
      <c r="C22" s="37" t="s">
        <v>206</v>
      </c>
    </row>
    <row r="23" spans="2:7" ht="28.8" x14ac:dyDescent="0.3">
      <c r="B23" s="37" t="s">
        <v>207</v>
      </c>
      <c r="C23" s="37" t="s">
        <v>208</v>
      </c>
    </row>
    <row r="24" spans="2:7" ht="43.2" x14ac:dyDescent="0.3">
      <c r="B24" s="37" t="s">
        <v>207</v>
      </c>
      <c r="C24" s="37" t="s">
        <v>2048</v>
      </c>
    </row>
    <row r="25" spans="2:7" x14ac:dyDescent="0.3">
      <c r="B25" s="5" t="s">
        <v>209</v>
      </c>
      <c r="C25" s="5"/>
    </row>
    <row r="26" spans="2:7" x14ac:dyDescent="0.3">
      <c r="B26" s="2" t="s">
        <v>210</v>
      </c>
      <c r="C26" s="2" t="s">
        <v>211</v>
      </c>
    </row>
    <row r="27" spans="2:7" x14ac:dyDescent="0.3">
      <c r="B27" t="s">
        <v>212</v>
      </c>
      <c r="C27" s="46">
        <f>'06 DCF'!$F$44</f>
        <v>149457.62152792938</v>
      </c>
    </row>
    <row r="28" spans="2:7" x14ac:dyDescent="0.3">
      <c r="B28" t="s">
        <v>213</v>
      </c>
      <c r="C28" s="46">
        <f>'06 DCF'!$F$53</f>
        <v>143012.66152792939</v>
      </c>
    </row>
    <row r="29" spans="2:7" x14ac:dyDescent="0.3">
      <c r="B29" t="s">
        <v>214</v>
      </c>
      <c r="C29" s="20">
        <f>'06 DCF'!$F$55</f>
        <v>131.72392237678821</v>
      </c>
    </row>
    <row r="30" spans="2:7" x14ac:dyDescent="0.3">
      <c r="B30" t="s">
        <v>215</v>
      </c>
      <c r="C30" s="20">
        <f>'01 Summary'!$C$10</f>
        <v>198.27</v>
      </c>
    </row>
    <row r="31" spans="2:7" x14ac:dyDescent="0.3">
      <c r="B31" t="s">
        <v>216</v>
      </c>
      <c r="C31" s="47">
        <f>IF(C30&lt;=0,"introducir precio",C29/C30-1)</f>
        <v>-0.33563361891971455</v>
      </c>
    </row>
    <row r="32" spans="2:7" x14ac:dyDescent="0.3">
      <c r="B32" t="s">
        <v>217</v>
      </c>
      <c r="C32" s="47">
        <f>'06 DCF'!$F$45</f>
        <v>0.46198292106518363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C721B-7237-43A4-9FBA-9F6237D28B99}">
  <dimension ref="A1:P82"/>
  <sheetViews>
    <sheetView workbookViewId="0"/>
  </sheetViews>
  <sheetFormatPr baseColWidth="10" defaultRowHeight="14.4" x14ac:dyDescent="0.3"/>
  <cols>
    <col min="2" max="2" width="61.109375" customWidth="1"/>
    <col min="3" max="3" width="10.21875" customWidth="1"/>
    <col min="4" max="16" width="16.33203125" customWidth="1"/>
  </cols>
  <sheetData>
    <row r="1" spans="1:16" ht="18" x14ac:dyDescent="0.35">
      <c r="A1" s="4" t="s">
        <v>1654</v>
      </c>
    </row>
    <row r="2" spans="1:16" x14ac:dyDescent="0.3">
      <c r="A2" s="14" t="s">
        <v>1683</v>
      </c>
    </row>
    <row r="4" spans="1:16" x14ac:dyDescent="0.3">
      <c r="B4" s="15" t="s">
        <v>41</v>
      </c>
      <c r="C4" s="15" t="s">
        <v>42</v>
      </c>
      <c r="D4" s="15" t="str">
        <f>'00 Panel del Analista'!D14</f>
        <v>FY2024A</v>
      </c>
      <c r="E4" s="15" t="str">
        <f>'00 Panel del Analista'!E14</f>
        <v>FY2025A</v>
      </c>
      <c r="F4" s="15" t="str">
        <f>'00 Panel del Analista'!F14</f>
        <v>FY2026E</v>
      </c>
      <c r="G4" s="15" t="str">
        <f>'00 Panel del Analista'!G14</f>
        <v>FY2027E</v>
      </c>
      <c r="H4" s="15" t="str">
        <f>'00 Panel del Analista'!H14</f>
        <v>FY2028E</v>
      </c>
      <c r="I4" s="15" t="str">
        <f>'00 Panel del Analista'!I14</f>
        <v>FY2029E</v>
      </c>
      <c r="J4" s="15" t="str">
        <f>'00 Panel del Analista'!J14</f>
        <v>FY2030E</v>
      </c>
      <c r="K4" s="15" t="str">
        <f>'00 Panel del Analista'!K14</f>
        <v>FY2031E</v>
      </c>
      <c r="L4" s="15" t="str">
        <f>'00 Panel del Analista'!L14</f>
        <v>FY2032E</v>
      </c>
      <c r="M4" s="15" t="str">
        <f>'00 Panel del Analista'!M14</f>
        <v>FY2033E</v>
      </c>
      <c r="N4" s="15" t="str">
        <f>'00 Panel del Analista'!N14</f>
        <v>FY2034E</v>
      </c>
      <c r="O4" s="15" t="str">
        <f>'00 Panel del Analista'!O14</f>
        <v>FY2035E</v>
      </c>
      <c r="P4" s="15" t="str">
        <f>'00 Panel del Analista'!P14</f>
        <v>FY2036E</v>
      </c>
    </row>
    <row r="6" spans="1:16" x14ac:dyDescent="0.3">
      <c r="B6" s="5" t="s">
        <v>1655</v>
      </c>
      <c r="C6" s="5"/>
      <c r="D6" s="5"/>
      <c r="E6" s="5"/>
      <c r="F6" s="5"/>
      <c r="G6" s="5"/>
      <c r="H6" s="5"/>
      <c r="I6" s="5"/>
      <c r="J6" s="5"/>
      <c r="K6" s="5"/>
      <c r="L6" s="5"/>
      <c r="M6" s="5"/>
      <c r="N6" s="5"/>
      <c r="O6" s="5"/>
      <c r="P6" s="5"/>
    </row>
    <row r="7" spans="1:16" x14ac:dyDescent="0.3">
      <c r="B7" t="str">
        <f>'00 Panel del Analista'!B18</f>
        <v xml:space="preserve">  QCT IoT + Data Center y otros no reportables</v>
      </c>
      <c r="C7" t="s">
        <v>46</v>
      </c>
      <c r="D7" s="17"/>
      <c r="E7" s="17"/>
      <c r="F7" s="17">
        <f>'03 Historical'!F7</f>
        <v>7512</v>
      </c>
      <c r="G7" s="17">
        <f>F7*(1+'02 Assumptions'!G19*'09 Escenarios'!$D$9)</f>
        <v>10667.039999999999</v>
      </c>
      <c r="H7" s="17">
        <f>G7*(1+'02 Assumptions'!H19*'09 Escenarios'!$D$9)</f>
        <v>13131.126239999998</v>
      </c>
      <c r="I7" s="17">
        <f>H7*(1+'02 Assumptions'!I19*'09 Escenarios'!$D$9)</f>
        <v>15153.319680959996</v>
      </c>
      <c r="J7" s="17">
        <f>I7*(1+'02 Assumptions'!J19*'09 Escenarios'!$D$9)</f>
        <v>16744.418247460795</v>
      </c>
      <c r="K7" s="17">
        <f>J7*(1+'02 Assumptions'!K19*'09 Escenarios'!$D$9)</f>
        <v>18150.949380247504</v>
      </c>
      <c r="L7" s="17">
        <f>K7*(1+'02 Assumptions'!L19*'09 Escenarios'!$D$9)</f>
        <v>19421.51583686483</v>
      </c>
      <c r="M7" s="17">
        <f>L7*(1+'02 Assumptions'!M19*'09 Escenarios'!$D$9)</f>
        <v>20509.120723729262</v>
      </c>
      <c r="N7" s="17">
        <f>M7*(1+'02 Assumptions'!N19*'09 Escenarios'!$D$9)</f>
        <v>21370.503794125892</v>
      </c>
      <c r="O7" s="17">
        <f>N7*(1+'02 Assumptions'!O19*'09 Escenarios'!$D$9)</f>
        <v>22118.471426920296</v>
      </c>
      <c r="P7" s="17">
        <f>O7*(1+'02 Assumptions'!P19*'09 Escenarios'!$D$9)</f>
        <v>22737.788626874066</v>
      </c>
    </row>
    <row r="8" spans="1:16" x14ac:dyDescent="0.3">
      <c r="B8" t="str">
        <f>'00 Panel del Analista'!B19</f>
        <v xml:space="preserve">  QCT Handsets</v>
      </c>
      <c r="C8" t="s">
        <v>46</v>
      </c>
      <c r="D8" s="17"/>
      <c r="E8" s="17"/>
      <c r="F8" s="17">
        <f>'03 Historical'!F8</f>
        <v>24134</v>
      </c>
      <c r="G8" s="17">
        <f>F8*(1+'02 Assumptions'!G21+'09 Escenarios'!$D$10)</f>
        <v>20151.89</v>
      </c>
      <c r="H8" s="17">
        <f>G8*(1+'02 Assumptions'!H21+'09 Escenarios'!$D$10)</f>
        <v>20252.649450000001</v>
      </c>
      <c r="I8" s="17">
        <f>H8*(1+'02 Assumptions'!I21+'09 Escenarios'!$D$10)</f>
        <v>20556.439191750003</v>
      </c>
      <c r="J8" s="17">
        <f>I8*(1+'02 Assumptions'!J21+'09 Escenarios'!$D$10)</f>
        <v>20659.221387708756</v>
      </c>
      <c r="K8" s="17">
        <f>J8*(1+'02 Assumptions'!K21+'09 Escenarios'!$D$10)</f>
        <v>20762.517494647302</v>
      </c>
      <c r="L8" s="17">
        <f>K8*(1+'02 Assumptions'!L21+'09 Escenarios'!$D$10)</f>
        <v>20866.330082120541</v>
      </c>
      <c r="M8" s="17">
        <f>L8*(1+'02 Assumptions'!M21+'09 Escenarios'!$D$10)</f>
        <v>20970.661732531145</v>
      </c>
      <c r="N8" s="17">
        <f>M8*(1+'02 Assumptions'!N21+'09 Escenarios'!$D$10)</f>
        <v>21075.515041193805</v>
      </c>
      <c r="O8" s="17">
        <f>N8*(1+'02 Assumptions'!O21+'09 Escenarios'!$D$10)</f>
        <v>21286.270191605741</v>
      </c>
      <c r="P8" s="17">
        <f>O8*(1+'02 Assumptions'!P21+'09 Escenarios'!$D$10)</f>
        <v>21499.132893521797</v>
      </c>
    </row>
    <row r="9" spans="1:16" x14ac:dyDescent="0.3">
      <c r="B9" t="str">
        <f>'00 Panel del Analista'!B20</f>
        <v xml:space="preserve">  QTL Licencias (incl. ingresos no asignados)</v>
      </c>
      <c r="C9" t="s">
        <v>46</v>
      </c>
      <c r="D9" s="17"/>
      <c r="E9" s="17"/>
      <c r="F9" s="17">
        <f>'03 Historical'!F9</f>
        <v>5552</v>
      </c>
      <c r="G9" s="17">
        <f>F9*(1+'02 Assumptions'!G23+'09 Escenarios'!$D$10)</f>
        <v>5357.6799999999994</v>
      </c>
      <c r="H9" s="17">
        <f>G9*(1+'02 Assumptions'!H23+'09 Escenarios'!$D$10)</f>
        <v>5170.1611999999996</v>
      </c>
      <c r="I9" s="17">
        <f>H9*(1+'02 Assumptions'!I23+'09 Escenarios'!$D$10)</f>
        <v>5092.6087819999993</v>
      </c>
      <c r="J9" s="17">
        <f>I9*(1+'02 Assumptions'!J23+'09 Escenarios'!$D$10)</f>
        <v>5067.1457380899992</v>
      </c>
      <c r="K9" s="17">
        <f>J9*(1+'02 Assumptions'!K23+'09 Escenarios'!$D$10)</f>
        <v>5041.810009399549</v>
      </c>
      <c r="L9" s="17">
        <f>K9*(1+'02 Assumptions'!L23+'09 Escenarios'!$D$10)</f>
        <v>5016.6009593525514</v>
      </c>
      <c r="M9" s="17">
        <f>L9*(1+'02 Assumptions'!M23+'09 Escenarios'!$D$10)</f>
        <v>5016.6009593525505</v>
      </c>
      <c r="N9" s="17">
        <f>M9*(1+'02 Assumptions'!N23+'09 Escenarios'!$D$10)</f>
        <v>5016.6009593525496</v>
      </c>
      <c r="O9" s="17">
        <f>N9*(1+'02 Assumptions'!O23+'09 Escenarios'!$D$10)</f>
        <v>5041.6839641493125</v>
      </c>
      <c r="P9" s="17">
        <f>O9*(1+'02 Assumptions'!P23+'09 Escenarios'!$D$10)</f>
        <v>5066.8923839700592</v>
      </c>
    </row>
    <row r="10" spans="1:16" x14ac:dyDescent="0.3">
      <c r="B10" t="str">
        <f>'00 Panel del Analista'!B21</f>
        <v xml:space="preserve">  QCT Automoción</v>
      </c>
      <c r="C10" t="s">
        <v>46</v>
      </c>
      <c r="D10" s="17"/>
      <c r="E10" s="17"/>
      <c r="F10" s="17">
        <f>'03 Historical'!F10</f>
        <v>5700</v>
      </c>
      <c r="G10" s="17">
        <f>F10*(1+'02 Assumptions'!G25+'09 Escenarios'!$D$10)</f>
        <v>6868.5</v>
      </c>
      <c r="H10" s="17">
        <f>G10*(1+'02 Assumptions'!H25+'09 Escenarios'!$D$10)</f>
        <v>7933.1175000000003</v>
      </c>
      <c r="I10" s="17">
        <f>H10*(1+'02 Assumptions'!I25+'09 Escenarios'!$D$10)</f>
        <v>9004.0883625000006</v>
      </c>
      <c r="J10" s="17">
        <f>I10*(1+'02 Assumptions'!J25+'09 Escenarios'!$D$10)</f>
        <v>10039.558524187501</v>
      </c>
      <c r="K10" s="17">
        <f>J10*(1+'02 Assumptions'!K25+'09 Escenarios'!$D$10)</f>
        <v>10993.316583985315</v>
      </c>
      <c r="L10" s="17">
        <f>K10*(1+'02 Assumptions'!L25+'09 Escenarios'!$D$10)</f>
        <v>11817.815327784216</v>
      </c>
      <c r="M10" s="17">
        <f>L10*(1+'02 Assumptions'!M25+'09 Escenarios'!$D$10)</f>
        <v>12585.973324090191</v>
      </c>
      <c r="N10" s="17">
        <f>M10*(1+'02 Assumptions'!N25+'09 Escenarios'!$D$10)</f>
        <v>13278.201856915153</v>
      </c>
      <c r="O10" s="17">
        <f>N10*(1+'02 Assumptions'!O25+'09 Escenarios'!$D$10)</f>
        <v>13875.720940476338</v>
      </c>
      <c r="P10" s="17">
        <f>O10*(1+'02 Assumptions'!P25+'09 Escenarios'!$D$10)</f>
        <v>14361.371173393012</v>
      </c>
    </row>
    <row r="11" spans="1:16" x14ac:dyDescent="0.3">
      <c r="B11" s="3" t="s">
        <v>286</v>
      </c>
      <c r="C11" s="3" t="s">
        <v>46</v>
      </c>
      <c r="D11" s="18"/>
      <c r="E11" s="18"/>
      <c r="F11" s="18">
        <f t="shared" ref="F11:P11" si="0">SUM(F7:F10)</f>
        <v>42898</v>
      </c>
      <c r="G11" s="18">
        <f t="shared" si="0"/>
        <v>43045.11</v>
      </c>
      <c r="H11" s="18">
        <f t="shared" si="0"/>
        <v>46487.054389999998</v>
      </c>
      <c r="I11" s="18">
        <f t="shared" si="0"/>
        <v>49806.456017210003</v>
      </c>
      <c r="J11" s="18">
        <f t="shared" si="0"/>
        <v>52510.343897447055</v>
      </c>
      <c r="K11" s="18">
        <f t="shared" si="0"/>
        <v>54948.593468279665</v>
      </c>
      <c r="L11" s="18">
        <f t="shared" si="0"/>
        <v>57122.262206122141</v>
      </c>
      <c r="M11" s="18">
        <f t="shared" si="0"/>
        <v>59082.356739703151</v>
      </c>
      <c r="N11" s="18">
        <f t="shared" si="0"/>
        <v>60740.821651587408</v>
      </c>
      <c r="O11" s="18">
        <f t="shared" si="0"/>
        <v>62322.146523151692</v>
      </c>
      <c r="P11" s="18">
        <f t="shared" si="0"/>
        <v>63665.185077758928</v>
      </c>
    </row>
    <row r="12" spans="1:16" x14ac:dyDescent="0.3">
      <c r="B12" t="s">
        <v>1656</v>
      </c>
      <c r="C12" t="s">
        <v>23</v>
      </c>
      <c r="D12" s="19"/>
      <c r="E12" s="19"/>
      <c r="F12" s="19"/>
      <c r="G12" s="19">
        <f t="shared" ref="G12:P12" si="1">G11/F11-1</f>
        <v>3.4292974031424617E-3</v>
      </c>
      <c r="H12" s="19">
        <f t="shared" si="1"/>
        <v>7.9961333354706232E-2</v>
      </c>
      <c r="I12" s="19">
        <f t="shared" si="1"/>
        <v>7.1404860358802447E-2</v>
      </c>
      <c r="J12" s="19">
        <f t="shared" si="1"/>
        <v>5.4287899530590211E-2</v>
      </c>
      <c r="K12" s="19">
        <f t="shared" si="1"/>
        <v>4.64337002933084E-2</v>
      </c>
      <c r="L12" s="19">
        <f t="shared" si="1"/>
        <v>3.9558223434732254E-2</v>
      </c>
      <c r="M12" s="19">
        <f t="shared" si="1"/>
        <v>3.4314021501951952E-2</v>
      </c>
      <c r="N12" s="19">
        <f t="shared" si="1"/>
        <v>2.8070391964743147E-2</v>
      </c>
      <c r="O12" s="19">
        <f t="shared" si="1"/>
        <v>2.6033972352808243E-2</v>
      </c>
      <c r="P12" s="19">
        <f t="shared" si="1"/>
        <v>2.1549940583454053E-2</v>
      </c>
    </row>
    <row r="13" spans="1:16" x14ac:dyDescent="0.3">
      <c r="B13" s="5" t="s">
        <v>1657</v>
      </c>
      <c r="C13" s="5"/>
      <c r="D13" s="5"/>
      <c r="E13" s="5"/>
      <c r="F13" s="5"/>
      <c r="G13" s="5"/>
      <c r="H13" s="5"/>
      <c r="I13" s="5"/>
      <c r="J13" s="5"/>
      <c r="K13" s="5"/>
      <c r="L13" s="5"/>
      <c r="M13" s="5"/>
      <c r="N13" s="5"/>
      <c r="O13" s="5"/>
      <c r="P13" s="5"/>
    </row>
    <row r="14" spans="1:16" x14ac:dyDescent="0.3">
      <c r="B14" t="s">
        <v>50</v>
      </c>
      <c r="C14" t="s">
        <v>23</v>
      </c>
      <c r="D14" s="19"/>
      <c r="E14" s="19"/>
      <c r="F14" s="19"/>
      <c r="G14" s="19">
        <f>'02 Assumptions'!G29+'09 Escenarios'!$D$11</f>
        <v>0.53</v>
      </c>
      <c r="H14" s="19">
        <f>'02 Assumptions'!H29+'09 Escenarios'!$D$11</f>
        <v>0.53500000000000003</v>
      </c>
      <c r="I14" s="19">
        <f>'02 Assumptions'!I29+'09 Escenarios'!$D$11</f>
        <v>0.54</v>
      </c>
      <c r="J14" s="19">
        <f>'02 Assumptions'!J29+'09 Escenarios'!$D$11</f>
        <v>0.54</v>
      </c>
      <c r="K14" s="19">
        <f>'02 Assumptions'!K29+'09 Escenarios'!$D$11</f>
        <v>0.54</v>
      </c>
      <c r="L14" s="19">
        <f>'02 Assumptions'!L29+'09 Escenarios'!$D$11</f>
        <v>0.54</v>
      </c>
      <c r="M14" s="19">
        <f>'02 Assumptions'!M29+'09 Escenarios'!$D$11</f>
        <v>0.54</v>
      </c>
      <c r="N14" s="19">
        <f>'02 Assumptions'!N29+'09 Escenarios'!$D$11</f>
        <v>0.54</v>
      </c>
      <c r="O14" s="19">
        <f>'02 Assumptions'!O29+'09 Escenarios'!$D$11</f>
        <v>0.54</v>
      </c>
      <c r="P14" s="19">
        <f>'02 Assumptions'!P29+'09 Escenarios'!$D$11</f>
        <v>0.54</v>
      </c>
    </row>
    <row r="15" spans="1:16" x14ac:dyDescent="0.3">
      <c r="B15" t="s">
        <v>1658</v>
      </c>
      <c r="C15" t="s">
        <v>46</v>
      </c>
      <c r="D15" s="17"/>
      <c r="E15" s="17"/>
      <c r="F15" s="17"/>
      <c r="G15" s="17">
        <f t="shared" ref="G15:P15" si="2">G11*G14</f>
        <v>22813.908300000003</v>
      </c>
      <c r="H15" s="17">
        <f t="shared" si="2"/>
        <v>24870.574098649999</v>
      </c>
      <c r="I15" s="17">
        <f t="shared" si="2"/>
        <v>26895.486249293404</v>
      </c>
      <c r="J15" s="17">
        <f t="shared" si="2"/>
        <v>28355.585704621411</v>
      </c>
      <c r="K15" s="17">
        <f t="shared" si="2"/>
        <v>29672.240472871021</v>
      </c>
      <c r="L15" s="17">
        <f t="shared" si="2"/>
        <v>30846.021591305958</v>
      </c>
      <c r="M15" s="17">
        <f t="shared" si="2"/>
        <v>31904.472639439704</v>
      </c>
      <c r="N15" s="17">
        <f t="shared" si="2"/>
        <v>32800.043691857201</v>
      </c>
      <c r="O15" s="17">
        <f t="shared" si="2"/>
        <v>33653.959122501918</v>
      </c>
      <c r="P15" s="17">
        <f t="shared" si="2"/>
        <v>34379.19994198982</v>
      </c>
    </row>
    <row r="16" spans="1:16" x14ac:dyDescent="0.3">
      <c r="B16" t="s">
        <v>288</v>
      </c>
      <c r="C16" t="s">
        <v>46</v>
      </c>
      <c r="D16" s="17"/>
      <c r="E16" s="17"/>
      <c r="F16" s="17"/>
      <c r="G16" s="17">
        <f t="shared" ref="G16:P16" si="3">G11-G15</f>
        <v>20231.201699999998</v>
      </c>
      <c r="H16" s="17">
        <f t="shared" si="3"/>
        <v>21616.480291349999</v>
      </c>
      <c r="I16" s="17">
        <f t="shared" si="3"/>
        <v>22910.969767916598</v>
      </c>
      <c r="J16" s="17">
        <f t="shared" si="3"/>
        <v>24154.758192825644</v>
      </c>
      <c r="K16" s="17">
        <f t="shared" si="3"/>
        <v>25276.352995408644</v>
      </c>
      <c r="L16" s="17">
        <f t="shared" si="3"/>
        <v>26276.240614816183</v>
      </c>
      <c r="M16" s="17">
        <f t="shared" si="3"/>
        <v>27177.884100263447</v>
      </c>
      <c r="N16" s="17">
        <f t="shared" si="3"/>
        <v>27940.777959730207</v>
      </c>
      <c r="O16" s="17">
        <f t="shared" si="3"/>
        <v>28668.187400649775</v>
      </c>
      <c r="P16" s="17">
        <f t="shared" si="3"/>
        <v>29285.985135769108</v>
      </c>
    </row>
    <row r="17" spans="2:16" x14ac:dyDescent="0.3">
      <c r="B17" t="s">
        <v>51</v>
      </c>
      <c r="C17" t="s">
        <v>46</v>
      </c>
      <c r="D17" s="17"/>
      <c r="E17" s="17"/>
      <c r="F17" s="17"/>
      <c r="G17" s="17">
        <f>G11*('02 Assumptions'!G31+'09 Escenarios'!$D$12*'02 Assumptions'!$Q$32)</f>
        <v>3831.0147900000006</v>
      </c>
      <c r="H17" s="17">
        <f>H11*('02 Assumptions'!H31+'09 Escenarios'!$D$12*'02 Assumptions'!$Q$32)</f>
        <v>3904.9125687599999</v>
      </c>
      <c r="I17" s="17">
        <f>I11*('02 Assumptions'!I31+'09 Escenarios'!$D$12*'02 Assumptions'!$Q$32)</f>
        <v>4034.3229373940103</v>
      </c>
      <c r="J17" s="17">
        <f>J11*('02 Assumptions'!J31+'09 Escenarios'!$D$12*'02 Assumptions'!$Q$32)</f>
        <v>4148.3171678983172</v>
      </c>
      <c r="K17" s="17">
        <f>K11*('02 Assumptions'!K31+'09 Escenarios'!$D$12*'02 Assumptions'!$Q$32)</f>
        <v>4231.0416970575343</v>
      </c>
      <c r="L17" s="17">
        <f>L11*('02 Assumptions'!L31+'09 Escenarios'!$D$12*'02 Assumptions'!$Q$32)</f>
        <v>4341.2919276652829</v>
      </c>
      <c r="M17" s="17">
        <f>M11*('02 Assumptions'!M31+'09 Escenarios'!$D$12*'02 Assumptions'!$Q$32)</f>
        <v>4431.1767554777362</v>
      </c>
      <c r="N17" s="17">
        <f>N11*('02 Assumptions'!N31+'09 Escenarios'!$D$12*'02 Assumptions'!$Q$32)</f>
        <v>4555.5616238690554</v>
      </c>
      <c r="O17" s="17">
        <f>O11*('02 Assumptions'!O31+'09 Escenarios'!$D$12*'02 Assumptions'!$Q$32)</f>
        <v>4674.1609892363767</v>
      </c>
      <c r="P17" s="17">
        <f>P11*('02 Assumptions'!P31+'09 Escenarios'!$D$12*'02 Assumptions'!$Q$32)</f>
        <v>4774.8888808319198</v>
      </c>
    </row>
    <row r="18" spans="2:16" x14ac:dyDescent="0.3">
      <c r="B18" t="s">
        <v>1659</v>
      </c>
      <c r="C18" t="s">
        <v>46</v>
      </c>
      <c r="D18" s="17"/>
      <c r="E18" s="17"/>
      <c r="F18" s="17"/>
      <c r="G18" s="17">
        <f>G11*('02 Assumptions'!G33+'09 Escenarios'!$D$12*'02 Assumptions'!$Q$34)</f>
        <v>10373.871509999999</v>
      </c>
      <c r="H18" s="17">
        <f>H11*('02 Assumptions'!H33+'09 Escenarios'!$D$12*'02 Assumptions'!$Q$34)</f>
        <v>10738.50956409</v>
      </c>
      <c r="I18" s="17">
        <f>I11*('02 Assumptions'!I33+'09 Escenarios'!$D$12*'02 Assumptions'!$Q$34)</f>
        <v>11007.22677980341</v>
      </c>
      <c r="J18" s="17">
        <f>J11*('02 Assumptions'!J33+'09 Escenarios'!$D$12*'02 Assumptions'!$Q$34)</f>
        <v>11342.234281848563</v>
      </c>
      <c r="K18" s="17">
        <f>K11*('02 Assumptions'!K33+'09 Escenarios'!$D$12*'02 Assumptions'!$Q$34)</f>
        <v>11704.050408743569</v>
      </c>
      <c r="L18" s="17">
        <f>L11*('02 Assumptions'!L33+'09 Escenarios'!$D$12*'02 Assumptions'!$Q$34)</f>
        <v>12052.797325491771</v>
      </c>
      <c r="M18" s="17">
        <f>M11*('02 Assumptions'!M33+'09 Escenarios'!$D$12*'02 Assumptions'!$Q$34)</f>
        <v>12466.377272077365</v>
      </c>
      <c r="N18" s="17">
        <f>N11*('02 Assumptions'!N33+'09 Escenarios'!$D$12*'02 Assumptions'!$Q$34)</f>
        <v>12816.313368484944</v>
      </c>
      <c r="O18" s="17">
        <f>O11*('02 Assumptions'!O33+'09 Escenarios'!$D$12*'02 Assumptions'!$Q$34)</f>
        <v>13149.972916385006</v>
      </c>
      <c r="P18" s="17">
        <f>P11*('02 Assumptions'!P33+'09 Escenarios'!$D$12*'02 Assumptions'!$Q$34)</f>
        <v>13433.354051407134</v>
      </c>
    </row>
    <row r="19" spans="2:16" x14ac:dyDescent="0.3">
      <c r="B19" t="s">
        <v>1660</v>
      </c>
      <c r="C19" t="s">
        <v>46</v>
      </c>
      <c r="D19" s="17"/>
      <c r="E19" s="17"/>
      <c r="F19" s="17"/>
      <c r="G19" s="17">
        <f>G11*('02 Assumptions'!G35+'09 Escenarios'!$D$12*'02 Assumptions'!$Q$36)</f>
        <v>0</v>
      </c>
      <c r="H19" s="17">
        <f>H11*('02 Assumptions'!H35+'09 Escenarios'!$D$12*'02 Assumptions'!$Q$36)</f>
        <v>0</v>
      </c>
      <c r="I19" s="17">
        <f>I11*('02 Assumptions'!I35+'09 Escenarios'!$D$12*'02 Assumptions'!$Q$36)</f>
        <v>0</v>
      </c>
      <c r="J19" s="17">
        <f>J11*('02 Assumptions'!J35+'09 Escenarios'!$D$12*'02 Assumptions'!$Q$36)</f>
        <v>0</v>
      </c>
      <c r="K19" s="17">
        <f>K11*('02 Assumptions'!K35+'09 Escenarios'!$D$12*'02 Assumptions'!$Q$36)</f>
        <v>0</v>
      </c>
      <c r="L19" s="17">
        <f>L11*('02 Assumptions'!L35+'09 Escenarios'!$D$12*'02 Assumptions'!$Q$36)</f>
        <v>0</v>
      </c>
      <c r="M19" s="17">
        <f>M11*('02 Assumptions'!M35+'09 Escenarios'!$D$12*'02 Assumptions'!$Q$36)</f>
        <v>0</v>
      </c>
      <c r="N19" s="17">
        <f>N11*('02 Assumptions'!N35+'09 Escenarios'!$D$12*'02 Assumptions'!$Q$36)</f>
        <v>0</v>
      </c>
      <c r="O19" s="17">
        <f>O11*('02 Assumptions'!O35+'09 Escenarios'!$D$12*'02 Assumptions'!$Q$36)</f>
        <v>0</v>
      </c>
      <c r="P19" s="17">
        <f>P11*('02 Assumptions'!P35+'09 Escenarios'!$D$12*'02 Assumptions'!$Q$36)</f>
        <v>0</v>
      </c>
    </row>
    <row r="20" spans="2:16" x14ac:dyDescent="0.3">
      <c r="B20" t="s">
        <v>53</v>
      </c>
      <c r="C20" t="s">
        <v>46</v>
      </c>
      <c r="D20" s="17"/>
      <c r="E20" s="17"/>
      <c r="F20" s="17"/>
      <c r="G20" s="17">
        <f>'02 Assumptions'!G37</f>
        <v>430</v>
      </c>
      <c r="H20" s="17">
        <f>'02 Assumptions'!H37</f>
        <v>350</v>
      </c>
      <c r="I20" s="17">
        <f>'02 Assumptions'!I37</f>
        <v>280</v>
      </c>
      <c r="J20" s="17">
        <f>'02 Assumptions'!J37</f>
        <v>210</v>
      </c>
      <c r="K20" s="17">
        <f>'02 Assumptions'!K37</f>
        <v>140</v>
      </c>
      <c r="L20" s="17">
        <f>'02 Assumptions'!L37</f>
        <v>100</v>
      </c>
      <c r="M20" s="17">
        <f>'02 Assumptions'!M37</f>
        <v>0</v>
      </c>
      <c r="N20" s="17">
        <f>'02 Assumptions'!N37</f>
        <v>0</v>
      </c>
      <c r="O20" s="17">
        <f>'02 Assumptions'!O37</f>
        <v>0</v>
      </c>
      <c r="P20" s="17">
        <f>'02 Assumptions'!P37</f>
        <v>0</v>
      </c>
    </row>
    <row r="21" spans="2:16" x14ac:dyDescent="0.3">
      <c r="B21" t="s">
        <v>252</v>
      </c>
      <c r="C21" t="s">
        <v>46</v>
      </c>
      <c r="D21" s="17"/>
      <c r="E21" s="17"/>
      <c r="F21" s="17"/>
      <c r="G21" s="17">
        <f>'02 Assumptions'!G38</f>
        <v>100</v>
      </c>
      <c r="H21" s="17">
        <f>'02 Assumptions'!H38</f>
        <v>100</v>
      </c>
      <c r="I21" s="17">
        <f>'02 Assumptions'!I38</f>
        <v>100</v>
      </c>
      <c r="J21" s="17">
        <f>'02 Assumptions'!J38</f>
        <v>100</v>
      </c>
      <c r="K21" s="17">
        <f>'02 Assumptions'!K38</f>
        <v>100</v>
      </c>
      <c r="L21" s="17">
        <f>'02 Assumptions'!L38</f>
        <v>100</v>
      </c>
      <c r="M21" s="17">
        <f>'02 Assumptions'!M38</f>
        <v>100</v>
      </c>
      <c r="N21" s="17">
        <f>'02 Assumptions'!N38</f>
        <v>100</v>
      </c>
      <c r="O21" s="17">
        <f>'02 Assumptions'!O38</f>
        <v>100</v>
      </c>
      <c r="P21" s="17">
        <f>'02 Assumptions'!P38</f>
        <v>100</v>
      </c>
    </row>
    <row r="22" spans="2:16" x14ac:dyDescent="0.3">
      <c r="B22" t="s">
        <v>1661</v>
      </c>
      <c r="C22" t="s">
        <v>46</v>
      </c>
      <c r="D22" s="17"/>
      <c r="E22" s="17"/>
      <c r="F22" s="17"/>
      <c r="G22" s="17">
        <f t="shared" ref="G22:P22" si="4">SUM(G17:G21)</f>
        <v>14734.8863</v>
      </c>
      <c r="H22" s="17">
        <f t="shared" si="4"/>
        <v>15093.422132849999</v>
      </c>
      <c r="I22" s="17">
        <f t="shared" si="4"/>
        <v>15421.54971719742</v>
      </c>
      <c r="J22" s="17">
        <f t="shared" si="4"/>
        <v>15800.551449746879</v>
      </c>
      <c r="K22" s="17">
        <f t="shared" si="4"/>
        <v>16175.092105801104</v>
      </c>
      <c r="L22" s="17">
        <f t="shared" si="4"/>
        <v>16594.089253157053</v>
      </c>
      <c r="M22" s="17">
        <f t="shared" si="4"/>
        <v>16997.554027555103</v>
      </c>
      <c r="N22" s="17">
        <f t="shared" si="4"/>
        <v>17471.874992353998</v>
      </c>
      <c r="O22" s="17">
        <f t="shared" si="4"/>
        <v>17924.133905621384</v>
      </c>
      <c r="P22" s="17">
        <f t="shared" si="4"/>
        <v>18308.242932239053</v>
      </c>
    </row>
    <row r="23" spans="2:16" x14ac:dyDescent="0.3">
      <c r="B23" s="3" t="s">
        <v>291</v>
      </c>
      <c r="C23" s="3" t="s">
        <v>46</v>
      </c>
      <c r="D23" s="18"/>
      <c r="E23" s="18"/>
      <c r="F23" s="18"/>
      <c r="G23" s="18">
        <f t="shared" ref="G23:P23" si="5">G15-G22</f>
        <v>8079.0220000000027</v>
      </c>
      <c r="H23" s="18">
        <f t="shared" si="5"/>
        <v>9777.1519657999997</v>
      </c>
      <c r="I23" s="18">
        <f t="shared" si="5"/>
        <v>11473.936532095984</v>
      </c>
      <c r="J23" s="18">
        <f t="shared" si="5"/>
        <v>12555.034254874532</v>
      </c>
      <c r="K23" s="18">
        <f t="shared" si="5"/>
        <v>13497.148367069916</v>
      </c>
      <c r="L23" s="18">
        <f t="shared" si="5"/>
        <v>14251.932338148905</v>
      </c>
      <c r="M23" s="18">
        <f t="shared" si="5"/>
        <v>14906.918611884601</v>
      </c>
      <c r="N23" s="18">
        <f t="shared" si="5"/>
        <v>15328.168699503203</v>
      </c>
      <c r="O23" s="18">
        <f t="shared" si="5"/>
        <v>15729.825216880534</v>
      </c>
      <c r="P23" s="18">
        <f t="shared" si="5"/>
        <v>16070.957009750768</v>
      </c>
    </row>
    <row r="24" spans="2:16" x14ac:dyDescent="0.3">
      <c r="B24" s="3" t="s">
        <v>1662</v>
      </c>
      <c r="C24" s="3" t="s">
        <v>46</v>
      </c>
      <c r="D24" s="18"/>
      <c r="E24" s="18"/>
      <c r="F24" s="18"/>
      <c r="G24" s="18">
        <f t="shared" ref="G24:P24" si="6">G23+G21</f>
        <v>8179.0220000000027</v>
      </c>
      <c r="H24" s="18">
        <f t="shared" si="6"/>
        <v>9877.1519657999997</v>
      </c>
      <c r="I24" s="18">
        <f t="shared" si="6"/>
        <v>11573.936532095984</v>
      </c>
      <c r="J24" s="18">
        <f t="shared" si="6"/>
        <v>12655.034254874532</v>
      </c>
      <c r="K24" s="18">
        <f t="shared" si="6"/>
        <v>13597.148367069916</v>
      </c>
      <c r="L24" s="18">
        <f t="shared" si="6"/>
        <v>14351.932338148905</v>
      </c>
      <c r="M24" s="18">
        <f t="shared" si="6"/>
        <v>15006.918611884601</v>
      </c>
      <c r="N24" s="18">
        <f t="shared" si="6"/>
        <v>15428.168699503203</v>
      </c>
      <c r="O24" s="18">
        <f t="shared" si="6"/>
        <v>15829.825216880534</v>
      </c>
      <c r="P24" s="18">
        <f t="shared" si="6"/>
        <v>16170.957009750768</v>
      </c>
    </row>
    <row r="25" spans="2:16" x14ac:dyDescent="0.3">
      <c r="B25" t="s">
        <v>293</v>
      </c>
      <c r="C25" t="s">
        <v>23</v>
      </c>
      <c r="D25" s="19"/>
      <c r="E25" s="19"/>
      <c r="F25" s="19"/>
      <c r="G25" s="19">
        <f t="shared" ref="G25:P25" si="7">G24/G11</f>
        <v>0.19001047970373411</v>
      </c>
      <c r="H25" s="19">
        <f t="shared" si="7"/>
        <v>0.21247102221053418</v>
      </c>
      <c r="I25" s="19">
        <f t="shared" si="7"/>
        <v>0.23237823883909256</v>
      </c>
      <c r="J25" s="19">
        <f t="shared" si="7"/>
        <v>0.24100078795122487</v>
      </c>
      <c r="K25" s="19">
        <f t="shared" si="7"/>
        <v>0.24745216408349346</v>
      </c>
      <c r="L25" s="19">
        <f t="shared" si="7"/>
        <v>0.25124936905266193</v>
      </c>
      <c r="M25" s="19">
        <f t="shared" si="7"/>
        <v>0.254</v>
      </c>
      <c r="N25" s="19">
        <f t="shared" si="7"/>
        <v>0.254</v>
      </c>
      <c r="O25" s="19">
        <f t="shared" si="7"/>
        <v>0.25400000000000006</v>
      </c>
      <c r="P25" s="19">
        <f t="shared" si="7"/>
        <v>0.254</v>
      </c>
    </row>
    <row r="26" spans="2:16" x14ac:dyDescent="0.3">
      <c r="B26" s="5" t="s">
        <v>253</v>
      </c>
      <c r="C26" s="5"/>
      <c r="D26" s="5"/>
      <c r="E26" s="5"/>
      <c r="F26" s="5"/>
      <c r="G26" s="5"/>
      <c r="H26" s="5"/>
      <c r="I26" s="5"/>
      <c r="J26" s="5"/>
      <c r="K26" s="5"/>
      <c r="L26" s="5"/>
      <c r="M26" s="5"/>
      <c r="N26" s="5"/>
      <c r="O26" s="5"/>
      <c r="P26" s="5"/>
    </row>
    <row r="27" spans="2:16" x14ac:dyDescent="0.3">
      <c r="B27" t="s">
        <v>295</v>
      </c>
      <c r="C27" t="s">
        <v>46</v>
      </c>
      <c r="D27" s="17"/>
      <c r="E27" s="17"/>
      <c r="F27" s="17"/>
      <c r="G27" s="17">
        <f t="shared" ref="G27:P27" si="8">F30</f>
        <v>5217</v>
      </c>
      <c r="H27" s="17">
        <f t="shared" si="8"/>
        <v>6037.7417266666662</v>
      </c>
      <c r="I27" s="17">
        <f t="shared" si="8"/>
        <v>6501.7851446011846</v>
      </c>
      <c r="J27" s="17">
        <f t="shared" si="8"/>
        <v>6787.9950504879534</v>
      </c>
      <c r="K27" s="17">
        <f t="shared" si="8"/>
        <v>6889.8689187901182</v>
      </c>
      <c r="L27" s="17">
        <f t="shared" si="8"/>
        <v>7043.8771365306684</v>
      </c>
      <c r="M27" s="17">
        <f t="shared" si="8"/>
        <v>7230.3204805115993</v>
      </c>
      <c r="N27" s="17">
        <f t="shared" si="8"/>
        <v>7435.4415359710283</v>
      </c>
      <c r="O27" s="17">
        <f t="shared" si="8"/>
        <v>7645.8397252928125</v>
      </c>
      <c r="P27" s="17">
        <f t="shared" si="8"/>
        <v>7857.9767241599502</v>
      </c>
    </row>
    <row r="28" spans="2:16" x14ac:dyDescent="0.3">
      <c r="B28" t="s">
        <v>142</v>
      </c>
      <c r="C28" t="s">
        <v>46</v>
      </c>
      <c r="D28" s="17"/>
      <c r="E28" s="17"/>
      <c r="F28" s="17"/>
      <c r="G28" s="17">
        <f>G11*'02 Assumptions'!G41*'09 Escenarios'!$D$13</f>
        <v>2227.5844424999996</v>
      </c>
      <c r="H28" s="17">
        <f>H11*'02 Assumptions'!H41*'09 Escenarios'!$D$13</f>
        <v>2031.4842768429996</v>
      </c>
      <c r="I28" s="17">
        <f>I11*'02 Assumptions'!I41*'09 Escenarios'!$D$13</f>
        <v>1947.432430272911</v>
      </c>
      <c r="J28" s="17">
        <f>J11*'02 Assumptions'!J41*'09 Escenarios'!$D$13</f>
        <v>1811.6068644619231</v>
      </c>
      <c r="K28" s="17">
        <f>K11*'02 Assumptions'!K41*'09 Escenarios'!$D$13</f>
        <v>1895.7264746556482</v>
      </c>
      <c r="L28" s="17">
        <f>L11*'02 Assumptions'!L41*'09 Escenarios'!$D$13</f>
        <v>1970.7180461112137</v>
      </c>
      <c r="M28" s="17">
        <f>M11*'02 Assumptions'!M41*'09 Escenarios'!$D$13</f>
        <v>2038.3413075197584</v>
      </c>
      <c r="N28" s="17">
        <f>N11*'02 Assumptions'!N41*'09 Escenarios'!$D$13</f>
        <v>2095.5583469797652</v>
      </c>
      <c r="O28" s="17">
        <f>O11*'02 Assumptions'!O41*'09 Escenarios'!$D$13</f>
        <v>2150.114055048733</v>
      </c>
      <c r="P28" s="17">
        <f>P11*'02 Assumptions'!P41*'09 Escenarios'!$D$13</f>
        <v>2196.4488851826827</v>
      </c>
    </row>
    <row r="29" spans="2:16" x14ac:dyDescent="0.3">
      <c r="B29" t="s">
        <v>104</v>
      </c>
      <c r="C29" t="s">
        <v>46</v>
      </c>
      <c r="D29" s="17"/>
      <c r="E29" s="17"/>
      <c r="F29" s="17"/>
      <c r="G29" s="17">
        <f>(G27+G28/2)/'02 Assumptions'!$C$43</f>
        <v>1406.8427158333334</v>
      </c>
      <c r="H29" s="17">
        <f>(H27+H28/2)/'02 Assumptions'!$C$43</f>
        <v>1567.4408589084812</v>
      </c>
      <c r="I29" s="17">
        <f>(I27+I28/2)/'02 Assumptions'!$C$43</f>
        <v>1661.2225243861421</v>
      </c>
      <c r="J29" s="17">
        <f>(J27+J28/2)/'02 Assumptions'!$C$43</f>
        <v>1709.7329961597588</v>
      </c>
      <c r="K29" s="17">
        <f>(K27+K28/2)/'02 Assumptions'!$C$43</f>
        <v>1741.7182569150982</v>
      </c>
      <c r="L29" s="17">
        <f>(L27+L28/2)/'02 Assumptions'!$C$43</f>
        <v>1784.2747021302832</v>
      </c>
      <c r="M29" s="17">
        <f>(M27+M28/2)/'02 Assumptions'!$C$43</f>
        <v>1833.2202520603287</v>
      </c>
      <c r="N29" s="17">
        <f>(N27+N28/2)/'02 Assumptions'!$C$43</f>
        <v>1885.1601576579803</v>
      </c>
      <c r="O29" s="17">
        <f>(O27+O28/2)/'02 Assumptions'!$C$43</f>
        <v>1937.9770561815956</v>
      </c>
      <c r="P29" s="17">
        <f>(P27+P28/2)/'02 Assumptions'!$C$43</f>
        <v>1990.2669259447316</v>
      </c>
    </row>
    <row r="30" spans="2:16" x14ac:dyDescent="0.3">
      <c r="B30" t="s">
        <v>297</v>
      </c>
      <c r="C30" t="s">
        <v>46</v>
      </c>
      <c r="D30" s="17"/>
      <c r="E30" s="17"/>
      <c r="F30" s="17">
        <f>'03 Historical'!F48</f>
        <v>5217</v>
      </c>
      <c r="G30" s="17">
        <f t="shared" ref="G30:P30" si="9">G27+G28-G29</f>
        <v>6037.7417266666662</v>
      </c>
      <c r="H30" s="17">
        <f t="shared" si="9"/>
        <v>6501.7851446011846</v>
      </c>
      <c r="I30" s="17">
        <f t="shared" si="9"/>
        <v>6787.9950504879534</v>
      </c>
      <c r="J30" s="17">
        <f t="shared" si="9"/>
        <v>6889.8689187901182</v>
      </c>
      <c r="K30" s="17">
        <f t="shared" si="9"/>
        <v>7043.8771365306684</v>
      </c>
      <c r="L30" s="17">
        <f t="shared" si="9"/>
        <v>7230.3204805115993</v>
      </c>
      <c r="M30" s="17">
        <f t="shared" si="9"/>
        <v>7435.4415359710283</v>
      </c>
      <c r="N30" s="17">
        <f t="shared" si="9"/>
        <v>7645.8397252928125</v>
      </c>
      <c r="O30" s="17">
        <f t="shared" si="9"/>
        <v>7857.9767241599502</v>
      </c>
      <c r="P30" s="17">
        <f t="shared" si="9"/>
        <v>8064.1586833979018</v>
      </c>
    </row>
    <row r="31" spans="2:16" x14ac:dyDescent="0.3">
      <c r="B31" t="s">
        <v>1663</v>
      </c>
      <c r="C31" t="s">
        <v>46</v>
      </c>
      <c r="D31" s="17"/>
      <c r="E31" s="17"/>
      <c r="F31" s="17"/>
      <c r="G31" s="17">
        <f t="shared" ref="G31:P31" si="10">G29+G20</f>
        <v>1836.8427158333334</v>
      </c>
      <c r="H31" s="17">
        <f t="shared" si="10"/>
        <v>1917.4408589084812</v>
      </c>
      <c r="I31" s="17">
        <f t="shared" si="10"/>
        <v>1941.2225243861421</v>
      </c>
      <c r="J31" s="17">
        <f t="shared" si="10"/>
        <v>1919.7329961597588</v>
      </c>
      <c r="K31" s="17">
        <f t="shared" si="10"/>
        <v>1881.7182569150982</v>
      </c>
      <c r="L31" s="17">
        <f t="shared" si="10"/>
        <v>1884.2747021302832</v>
      </c>
      <c r="M31" s="17">
        <f t="shared" si="10"/>
        <v>1833.2202520603287</v>
      </c>
      <c r="N31" s="17">
        <f t="shared" si="10"/>
        <v>1885.1601576579803</v>
      </c>
      <c r="O31" s="17">
        <f t="shared" si="10"/>
        <v>1937.9770561815956</v>
      </c>
      <c r="P31" s="17">
        <f t="shared" si="10"/>
        <v>1990.2669259447316</v>
      </c>
    </row>
    <row r="32" spans="2:16" x14ac:dyDescent="0.3">
      <c r="B32" s="3" t="s">
        <v>1664</v>
      </c>
      <c r="C32" s="3" t="s">
        <v>46</v>
      </c>
      <c r="D32" s="18"/>
      <c r="E32" s="18"/>
      <c r="F32" s="18"/>
      <c r="G32" s="18">
        <f t="shared" ref="G32:P32" si="11">G24+G31</f>
        <v>10015.864715833337</v>
      </c>
      <c r="H32" s="18">
        <f t="shared" si="11"/>
        <v>11794.592824708481</v>
      </c>
      <c r="I32" s="18">
        <f t="shared" si="11"/>
        <v>13515.159056482127</v>
      </c>
      <c r="J32" s="18">
        <f t="shared" si="11"/>
        <v>14574.767251034291</v>
      </c>
      <c r="K32" s="18">
        <f t="shared" si="11"/>
        <v>15478.866623985014</v>
      </c>
      <c r="L32" s="18">
        <f t="shared" si="11"/>
        <v>16236.207040279189</v>
      </c>
      <c r="M32" s="18">
        <f t="shared" si="11"/>
        <v>16840.138863944929</v>
      </c>
      <c r="N32" s="18">
        <f t="shared" si="11"/>
        <v>17313.328857161185</v>
      </c>
      <c r="O32" s="18">
        <f t="shared" si="11"/>
        <v>17767.802273062131</v>
      </c>
      <c r="P32" s="18">
        <f t="shared" si="11"/>
        <v>18161.2239356955</v>
      </c>
    </row>
    <row r="33" spans="2:16" x14ac:dyDescent="0.3">
      <c r="B33" s="5" t="s">
        <v>1665</v>
      </c>
      <c r="C33" s="5"/>
      <c r="D33" s="5"/>
      <c r="E33" s="5"/>
      <c r="F33" s="5"/>
      <c r="G33" s="5"/>
      <c r="H33" s="5"/>
      <c r="I33" s="5"/>
      <c r="J33" s="5"/>
      <c r="K33" s="5"/>
      <c r="L33" s="5"/>
      <c r="M33" s="5"/>
      <c r="N33" s="5"/>
      <c r="O33" s="5"/>
      <c r="P33" s="5"/>
    </row>
    <row r="34" spans="2:16" x14ac:dyDescent="0.3">
      <c r="B34" t="s">
        <v>1666</v>
      </c>
      <c r="C34" t="s">
        <v>46</v>
      </c>
      <c r="D34" s="17"/>
      <c r="E34" s="17"/>
      <c r="F34" s="17"/>
      <c r="G34" s="17">
        <f>('02 Assumptions'!G47+'09 Escenarios'!$D$14)/365*G11</f>
        <v>5071.0677534246579</v>
      </c>
      <c r="H34" s="17">
        <f>('02 Assumptions'!H47+'09 Escenarios'!$D$14)/365*H11</f>
        <v>5476.5570925205475</v>
      </c>
      <c r="I34" s="17">
        <f>('02 Assumptions'!I47+'09 Escenarios'!$D$14)/365*I11</f>
        <v>5867.6098869589869</v>
      </c>
      <c r="J34" s="17">
        <f>('02 Assumptions'!J47+'09 Escenarios'!$D$14)/365*J11</f>
        <v>6186.1501029869132</v>
      </c>
      <c r="K34" s="17">
        <f>('02 Assumptions'!K47+'09 Escenarios'!$D$14)/365*K11</f>
        <v>6473.395942838426</v>
      </c>
      <c r="L34" s="17">
        <f>('02 Assumptions'!L47+'09 Escenarios'!$D$14)/365*L11</f>
        <v>6729.4719859267179</v>
      </c>
      <c r="M34" s="17">
        <f>('02 Assumptions'!M47+'09 Escenarios'!$D$14)/365*M11</f>
        <v>6960.3872323485903</v>
      </c>
      <c r="N34" s="17">
        <f>('02 Assumptions'!N47+'09 Escenarios'!$D$14)/365*N11</f>
        <v>7155.7680301870096</v>
      </c>
      <c r="O34" s="17">
        <f>('02 Assumptions'!O47+'09 Escenarios'!$D$14)/365*O11</f>
        <v>7342.0610972480081</v>
      </c>
      <c r="P34" s="17">
        <f>('02 Assumptions'!P47+'09 Escenarios'!$D$14)/365*P11</f>
        <v>7500.2820776537919</v>
      </c>
    </row>
    <row r="35" spans="2:16" x14ac:dyDescent="0.3">
      <c r="B35" t="s">
        <v>302</v>
      </c>
      <c r="C35" t="s">
        <v>46</v>
      </c>
      <c r="D35" s="17"/>
      <c r="E35" s="17"/>
      <c r="F35" s="17"/>
      <c r="G35" s="17">
        <f>G11*'02 Assumptions'!G51</f>
        <v>9039.4730999999992</v>
      </c>
      <c r="H35" s="17">
        <f>H11*'02 Assumptions'!H51</f>
        <v>9297.4108780000006</v>
      </c>
      <c r="I35" s="17">
        <f>I11*'02 Assumptions'!I51</f>
        <v>9961.2912034420006</v>
      </c>
      <c r="J35" s="17">
        <f>J11*'02 Assumptions'!J51</f>
        <v>10502.068779489411</v>
      </c>
      <c r="K35" s="17">
        <f>K11*'02 Assumptions'!K51</f>
        <v>10989.718693655934</v>
      </c>
      <c r="L35" s="17">
        <f>L11*'02 Assumptions'!L51</f>
        <v>11424.452441224428</v>
      </c>
      <c r="M35" s="17">
        <f>M11*'02 Assumptions'!M51</f>
        <v>11816.471347940631</v>
      </c>
      <c r="N35" s="17">
        <f>N11*'02 Assumptions'!N51</f>
        <v>12148.164330317482</v>
      </c>
      <c r="O35" s="17">
        <f>O11*'02 Assumptions'!O51</f>
        <v>12464.429304630339</v>
      </c>
      <c r="P35" s="17">
        <f>P11*'02 Assumptions'!P51</f>
        <v>12733.037015551787</v>
      </c>
    </row>
    <row r="36" spans="2:16" x14ac:dyDescent="0.3">
      <c r="B36" t="s">
        <v>85</v>
      </c>
      <c r="C36" t="s">
        <v>46</v>
      </c>
      <c r="D36" s="17"/>
      <c r="E36" s="17"/>
      <c r="F36" s="17"/>
      <c r="G36" s="17">
        <f>(G16+G28)*'02 Assumptions'!G49</f>
        <v>3009.4773430949999</v>
      </c>
      <c r="H36" s="17">
        <f>(H16+H28)*'02 Assumptions'!H49</f>
        <v>3168.8272521378617</v>
      </c>
      <c r="I36" s="17">
        <f>(I16+I28)*'02 Assumptions'!I49</f>
        <v>3331.0258945573946</v>
      </c>
      <c r="J36" s="17">
        <f>(J16+J28)*'02 Assumptions'!J49</f>
        <v>3479.492917676534</v>
      </c>
      <c r="K36" s="17">
        <f>(K16+K28)*'02 Assumptions'!K49</f>
        <v>3641.058648988615</v>
      </c>
      <c r="L36" s="17">
        <f>(L16+L28)*'02 Assumptions'!L49</f>
        <v>3785.0924605642713</v>
      </c>
      <c r="M36" s="17">
        <f>(M16+M28)*'02 Assumptions'!M49</f>
        <v>3914.9742046429496</v>
      </c>
      <c r="N36" s="17">
        <f>(N16+N28)*'02 Assumptions'!N49</f>
        <v>4024.8690650991362</v>
      </c>
      <c r="O36" s="17">
        <f>(O16+O28)*'02 Assumptions'!O49</f>
        <v>4129.6523950636001</v>
      </c>
      <c r="P36" s="17">
        <f>(P16+P28)*'02 Assumptions'!P49</f>
        <v>4218.6461588075399</v>
      </c>
    </row>
    <row r="37" spans="2:16" x14ac:dyDescent="0.3">
      <c r="B37" t="s">
        <v>303</v>
      </c>
      <c r="C37" t="s">
        <v>46</v>
      </c>
      <c r="D37" s="17"/>
      <c r="E37" s="17"/>
      <c r="F37" s="17"/>
      <c r="G37" s="17">
        <f>G11*'02 Assumptions'!G52</f>
        <v>1635.7141799999999</v>
      </c>
      <c r="H37" s="17">
        <f>H11*'02 Assumptions'!H52</f>
        <v>1766.5080668199998</v>
      </c>
      <c r="I37" s="17">
        <f>I11*'02 Assumptions'!I52</f>
        <v>1892.64532865398</v>
      </c>
      <c r="J37" s="17">
        <f>J11*'02 Assumptions'!J52</f>
        <v>1995.3930681029881</v>
      </c>
      <c r="K37" s="17">
        <f>K11*'02 Assumptions'!K52</f>
        <v>2088.0465517946272</v>
      </c>
      <c r="L37" s="17">
        <f>L11*'02 Assumptions'!L52</f>
        <v>2170.6459638326414</v>
      </c>
      <c r="M37" s="17">
        <f>M11*'02 Assumptions'!M52</f>
        <v>2245.1295561087195</v>
      </c>
      <c r="N37" s="17">
        <f>N11*'02 Assumptions'!N52</f>
        <v>2308.1512227603216</v>
      </c>
      <c r="O37" s="17">
        <f>O11*'02 Assumptions'!O52</f>
        <v>2368.2415678797643</v>
      </c>
      <c r="P37" s="17">
        <f>P11*'02 Assumptions'!P52</f>
        <v>2419.2770329548393</v>
      </c>
    </row>
    <row r="38" spans="2:16" x14ac:dyDescent="0.3">
      <c r="B38" t="s">
        <v>87</v>
      </c>
      <c r="C38" t="s">
        <v>46</v>
      </c>
      <c r="D38" s="17"/>
      <c r="E38" s="17"/>
      <c r="F38" s="17"/>
      <c r="G38" s="17">
        <f>G11*'02 Assumptions'!G50</f>
        <v>301.31576999999999</v>
      </c>
      <c r="H38" s="17">
        <f>H11*'02 Assumptions'!H50</f>
        <v>325.40938073000001</v>
      </c>
      <c r="I38" s="17">
        <f>I11*'02 Assumptions'!I50</f>
        <v>348.64519212047003</v>
      </c>
      <c r="J38" s="17">
        <f>J11*'02 Assumptions'!J50</f>
        <v>367.5724072821294</v>
      </c>
      <c r="K38" s="17">
        <f>K11*'02 Assumptions'!K50</f>
        <v>384.64015427795766</v>
      </c>
      <c r="L38" s="17">
        <f>L11*'02 Assumptions'!L50</f>
        <v>399.85583544285498</v>
      </c>
      <c r="M38" s="17">
        <f>M11*'02 Assumptions'!M50</f>
        <v>413.57649717792208</v>
      </c>
      <c r="N38" s="17">
        <f>N11*'02 Assumptions'!N50</f>
        <v>425.18575156111189</v>
      </c>
      <c r="O38" s="17">
        <f>O11*'02 Assumptions'!O50</f>
        <v>436.25502566206188</v>
      </c>
      <c r="P38" s="17">
        <f>P11*'02 Assumptions'!P50</f>
        <v>445.65629554431251</v>
      </c>
    </row>
    <row r="39" spans="2:16" x14ac:dyDescent="0.3">
      <c r="B39" t="s">
        <v>88</v>
      </c>
      <c r="C39" t="s">
        <v>46</v>
      </c>
      <c r="D39" s="17"/>
      <c r="E39" s="17"/>
      <c r="F39" s="17"/>
      <c r="G39" s="17">
        <f>G11*'02 Assumptions'!G53</f>
        <v>4175.3756700000004</v>
      </c>
      <c r="H39" s="17">
        <f>H11*'02 Assumptions'!H53</f>
        <v>4509.2442758300003</v>
      </c>
      <c r="I39" s="17">
        <f>I11*'02 Assumptions'!I53</f>
        <v>4831.2262336693702</v>
      </c>
      <c r="J39" s="17">
        <f>J11*'02 Assumptions'!J53</f>
        <v>5093.5033580523641</v>
      </c>
      <c r="K39" s="17">
        <f>K11*'02 Assumptions'!K53</f>
        <v>5330.0135664231275</v>
      </c>
      <c r="L39" s="17">
        <f>L11*'02 Assumptions'!L53</f>
        <v>5540.8594339938481</v>
      </c>
      <c r="M39" s="17">
        <f>M11*'02 Assumptions'!M53</f>
        <v>5730.988603751206</v>
      </c>
      <c r="N39" s="17">
        <f>N11*'02 Assumptions'!N53</f>
        <v>5891.8597002039787</v>
      </c>
      <c r="O39" s="17">
        <f>O11*'02 Assumptions'!O53</f>
        <v>6045.2482127457142</v>
      </c>
      <c r="P39" s="17">
        <f>P11*'02 Assumptions'!P53</f>
        <v>6175.5229525426166</v>
      </c>
    </row>
    <row r="40" spans="2:16" x14ac:dyDescent="0.3">
      <c r="B40" s="3" t="s">
        <v>1667</v>
      </c>
      <c r="C40" s="3" t="s">
        <v>46</v>
      </c>
      <c r="D40" s="18"/>
      <c r="E40" s="18"/>
      <c r="F40" s="18">
        <f>'04 Operating Model'!F50</f>
        <v>5776</v>
      </c>
      <c r="G40" s="18">
        <f t="shared" ref="G40:P40" si="12">G34+G35-G36-G37-G38-G39</f>
        <v>4988.6578903296568</v>
      </c>
      <c r="H40" s="18">
        <f t="shared" si="12"/>
        <v>5003.9789950026861</v>
      </c>
      <c r="I40" s="18">
        <f t="shared" si="12"/>
        <v>5425.3584413997733</v>
      </c>
      <c r="J40" s="18">
        <f t="shared" si="12"/>
        <v>5752.2571313623093</v>
      </c>
      <c r="K40" s="18">
        <f t="shared" si="12"/>
        <v>6019.3557150100314</v>
      </c>
      <c r="L40" s="18">
        <f t="shared" si="12"/>
        <v>6257.4707333175284</v>
      </c>
      <c r="M40" s="18">
        <f t="shared" si="12"/>
        <v>6472.1897186084225</v>
      </c>
      <c r="N40" s="18">
        <f t="shared" si="12"/>
        <v>6653.8666208799441</v>
      </c>
      <c r="O40" s="18">
        <f t="shared" si="12"/>
        <v>6827.0932005272089</v>
      </c>
      <c r="P40" s="18">
        <f t="shared" si="12"/>
        <v>6974.2166533562704</v>
      </c>
    </row>
    <row r="41" spans="2:16" x14ac:dyDescent="0.3">
      <c r="B41" t="s">
        <v>1668</v>
      </c>
      <c r="C41" t="s">
        <v>46</v>
      </c>
      <c r="D41" s="17"/>
      <c r="E41" s="17"/>
      <c r="F41" s="17"/>
      <c r="G41" s="17">
        <f t="shared" ref="G41:P41" si="13">G40-F40</f>
        <v>-787.34210967034323</v>
      </c>
      <c r="H41" s="17">
        <f t="shared" si="13"/>
        <v>15.321104673029367</v>
      </c>
      <c r="I41" s="17">
        <f t="shared" si="13"/>
        <v>421.37944639708712</v>
      </c>
      <c r="J41" s="17">
        <f t="shared" si="13"/>
        <v>326.89868996253608</v>
      </c>
      <c r="K41" s="17">
        <f t="shared" si="13"/>
        <v>267.09858364772208</v>
      </c>
      <c r="L41" s="17">
        <f t="shared" si="13"/>
        <v>238.11501830749694</v>
      </c>
      <c r="M41" s="17">
        <f t="shared" si="13"/>
        <v>214.71898529089412</v>
      </c>
      <c r="N41" s="17">
        <f t="shared" si="13"/>
        <v>181.67690227152161</v>
      </c>
      <c r="O41" s="17">
        <f t="shared" si="13"/>
        <v>173.22657964726477</v>
      </c>
      <c r="P41" s="17">
        <f t="shared" si="13"/>
        <v>147.12345282906153</v>
      </c>
    </row>
    <row r="42" spans="2:16" x14ac:dyDescent="0.3">
      <c r="B42" s="5" t="s">
        <v>381</v>
      </c>
      <c r="C42" s="5"/>
      <c r="D42" s="5"/>
      <c r="E42" s="5"/>
      <c r="F42" s="5"/>
      <c r="G42" s="5"/>
      <c r="H42" s="5"/>
      <c r="I42" s="5"/>
      <c r="J42" s="5"/>
      <c r="K42" s="5"/>
      <c r="L42" s="5"/>
      <c r="M42" s="5"/>
      <c r="N42" s="5"/>
      <c r="O42" s="5"/>
      <c r="P42" s="5"/>
    </row>
    <row r="43" spans="2:16" x14ac:dyDescent="0.3">
      <c r="B43" t="s">
        <v>309</v>
      </c>
      <c r="C43" t="s">
        <v>23</v>
      </c>
      <c r="D43" s="19"/>
      <c r="E43" s="19"/>
      <c r="F43" s="19"/>
      <c r="G43" s="19">
        <f>'02 Assumptions'!G56+'09 Escenarios'!$D$15</f>
        <v>0.16</v>
      </c>
      <c r="H43" s="19">
        <f>'02 Assumptions'!H56+'09 Escenarios'!$D$15</f>
        <v>0.16499999999999998</v>
      </c>
      <c r="I43" s="19">
        <f>'02 Assumptions'!I56+'09 Escenarios'!$D$15</f>
        <v>0.16999999999999998</v>
      </c>
      <c r="J43" s="19">
        <f>'02 Assumptions'!J56+'09 Escenarios'!$D$15</f>
        <v>0.17499999999999999</v>
      </c>
      <c r="K43" s="19">
        <f>'02 Assumptions'!K56+'09 Escenarios'!$D$15</f>
        <v>0.18</v>
      </c>
      <c r="L43" s="19">
        <f>'02 Assumptions'!L56+'09 Escenarios'!$D$15</f>
        <v>0.185</v>
      </c>
      <c r="M43" s="19">
        <f>'02 Assumptions'!M56+'09 Escenarios'!$D$15</f>
        <v>0.19</v>
      </c>
      <c r="N43" s="19">
        <f>'02 Assumptions'!N56+'09 Escenarios'!$D$15</f>
        <v>0.19</v>
      </c>
      <c r="O43" s="19">
        <f>'02 Assumptions'!O56+'09 Escenarios'!$D$15</f>
        <v>0.19</v>
      </c>
      <c r="P43" s="19">
        <f>'02 Assumptions'!P56+'09 Escenarios'!$D$15</f>
        <v>0.19</v>
      </c>
    </row>
    <row r="44" spans="2:16" x14ac:dyDescent="0.3">
      <c r="B44" t="s">
        <v>375</v>
      </c>
      <c r="C44" t="s">
        <v>46</v>
      </c>
      <c r="D44" s="17"/>
      <c r="E44" s="17"/>
      <c r="F44" s="17"/>
      <c r="G44" s="17">
        <f t="shared" ref="G44:P44" si="14">-G24*G43</f>
        <v>-1308.6435200000005</v>
      </c>
      <c r="H44" s="17">
        <f t="shared" si="14"/>
        <v>-1629.7300743569997</v>
      </c>
      <c r="I44" s="17">
        <f t="shared" si="14"/>
        <v>-1967.569210456317</v>
      </c>
      <c r="J44" s="17">
        <f t="shared" si="14"/>
        <v>-2214.6309946030428</v>
      </c>
      <c r="K44" s="17">
        <f t="shared" si="14"/>
        <v>-2447.4867060725846</v>
      </c>
      <c r="L44" s="17">
        <f t="shared" si="14"/>
        <v>-2655.1074825575474</v>
      </c>
      <c r="M44" s="17">
        <f t="shared" si="14"/>
        <v>-2851.3145362580744</v>
      </c>
      <c r="N44" s="17">
        <f t="shared" si="14"/>
        <v>-2931.3520529056086</v>
      </c>
      <c r="O44" s="17">
        <f t="shared" si="14"/>
        <v>-3007.6667912073017</v>
      </c>
      <c r="P44" s="17">
        <f t="shared" si="14"/>
        <v>-3072.4818318526459</v>
      </c>
    </row>
    <row r="45" spans="2:16" x14ac:dyDescent="0.3">
      <c r="B45" s="3" t="s">
        <v>376</v>
      </c>
      <c r="C45" s="3" t="s">
        <v>46</v>
      </c>
      <c r="D45" s="18"/>
      <c r="E45" s="18"/>
      <c r="F45" s="18"/>
      <c r="G45" s="18">
        <f t="shared" ref="G45:P45" si="15">G24+G44</f>
        <v>6870.3784800000021</v>
      </c>
      <c r="H45" s="18">
        <f t="shared" si="15"/>
        <v>8247.4218914430003</v>
      </c>
      <c r="I45" s="18">
        <f t="shared" si="15"/>
        <v>9606.3673216396674</v>
      </c>
      <c r="J45" s="18">
        <f t="shared" si="15"/>
        <v>10440.403260271489</v>
      </c>
      <c r="K45" s="18">
        <f t="shared" si="15"/>
        <v>11149.661660997332</v>
      </c>
      <c r="L45" s="18">
        <f t="shared" si="15"/>
        <v>11696.824855591358</v>
      </c>
      <c r="M45" s="18">
        <f t="shared" si="15"/>
        <v>12155.604075626527</v>
      </c>
      <c r="N45" s="18">
        <f t="shared" si="15"/>
        <v>12496.816646597596</v>
      </c>
      <c r="O45" s="18">
        <f t="shared" si="15"/>
        <v>12822.158425673231</v>
      </c>
      <c r="P45" s="18">
        <f t="shared" si="15"/>
        <v>13098.475177898123</v>
      </c>
    </row>
    <row r="46" spans="2:16" x14ac:dyDescent="0.3">
      <c r="B46" t="s">
        <v>377</v>
      </c>
      <c r="C46" t="s">
        <v>46</v>
      </c>
      <c r="D46" s="17"/>
      <c r="E46" s="17"/>
      <c r="F46" s="17"/>
      <c r="G46" s="17">
        <f t="shared" ref="G46:P46" si="16">G31</f>
        <v>1836.8427158333334</v>
      </c>
      <c r="H46" s="17">
        <f t="shared" si="16"/>
        <v>1917.4408589084812</v>
      </c>
      <c r="I46" s="17">
        <f t="shared" si="16"/>
        <v>1941.2225243861421</v>
      </c>
      <c r="J46" s="17">
        <f t="shared" si="16"/>
        <v>1919.7329961597588</v>
      </c>
      <c r="K46" s="17">
        <f t="shared" si="16"/>
        <v>1881.7182569150982</v>
      </c>
      <c r="L46" s="17">
        <f t="shared" si="16"/>
        <v>1884.2747021302832</v>
      </c>
      <c r="M46" s="17">
        <f t="shared" si="16"/>
        <v>1833.2202520603287</v>
      </c>
      <c r="N46" s="17">
        <f t="shared" si="16"/>
        <v>1885.1601576579803</v>
      </c>
      <c r="O46" s="17">
        <f t="shared" si="16"/>
        <v>1937.9770561815956</v>
      </c>
      <c r="P46" s="17">
        <f t="shared" si="16"/>
        <v>1990.2669259447316</v>
      </c>
    </row>
    <row r="47" spans="2:16" x14ac:dyDescent="0.3">
      <c r="B47" t="s">
        <v>378</v>
      </c>
      <c r="C47" t="s">
        <v>46</v>
      </c>
      <c r="D47" s="17"/>
      <c r="E47" s="17"/>
      <c r="F47" s="17"/>
      <c r="G47" s="17">
        <f t="shared" ref="G47:P47" si="17">-G28</f>
        <v>-2227.5844424999996</v>
      </c>
      <c r="H47" s="17">
        <f t="shared" si="17"/>
        <v>-2031.4842768429996</v>
      </c>
      <c r="I47" s="17">
        <f t="shared" si="17"/>
        <v>-1947.432430272911</v>
      </c>
      <c r="J47" s="17">
        <f t="shared" si="17"/>
        <v>-1811.6068644619231</v>
      </c>
      <c r="K47" s="17">
        <f t="shared" si="17"/>
        <v>-1895.7264746556482</v>
      </c>
      <c r="L47" s="17">
        <f t="shared" si="17"/>
        <v>-1970.7180461112137</v>
      </c>
      <c r="M47" s="17">
        <f t="shared" si="17"/>
        <v>-2038.3413075197584</v>
      </c>
      <c r="N47" s="17">
        <f t="shared" si="17"/>
        <v>-2095.5583469797652</v>
      </c>
      <c r="O47" s="17">
        <f t="shared" si="17"/>
        <v>-2150.114055048733</v>
      </c>
      <c r="P47" s="17">
        <f t="shared" si="17"/>
        <v>-2196.4488851826827</v>
      </c>
    </row>
    <row r="48" spans="2:16" x14ac:dyDescent="0.3">
      <c r="B48" t="s">
        <v>1669</v>
      </c>
      <c r="C48" t="s">
        <v>46</v>
      </c>
      <c r="D48" s="17"/>
      <c r="E48" s="17"/>
      <c r="F48" s="17"/>
      <c r="G48" s="17">
        <f t="shared" ref="G48:P48" si="18">-G41</f>
        <v>787.34210967034323</v>
      </c>
      <c r="H48" s="17">
        <f t="shared" si="18"/>
        <v>-15.321104673029367</v>
      </c>
      <c r="I48" s="17">
        <f t="shared" si="18"/>
        <v>-421.37944639708712</v>
      </c>
      <c r="J48" s="17">
        <f t="shared" si="18"/>
        <v>-326.89868996253608</v>
      </c>
      <c r="K48" s="17">
        <f t="shared" si="18"/>
        <v>-267.09858364772208</v>
      </c>
      <c r="L48" s="17">
        <f t="shared" si="18"/>
        <v>-238.11501830749694</v>
      </c>
      <c r="M48" s="17">
        <f t="shared" si="18"/>
        <v>-214.71898529089412</v>
      </c>
      <c r="N48" s="17">
        <f t="shared" si="18"/>
        <v>-181.67690227152161</v>
      </c>
      <c r="O48" s="17">
        <f t="shared" si="18"/>
        <v>-173.22657964726477</v>
      </c>
      <c r="P48" s="17">
        <f t="shared" si="18"/>
        <v>-147.12345282906153</v>
      </c>
    </row>
    <row r="49" spans="2:16" x14ac:dyDescent="0.3">
      <c r="B49" t="s">
        <v>1670</v>
      </c>
      <c r="C49" t="s">
        <v>46</v>
      </c>
      <c r="D49" s="17"/>
      <c r="E49" s="17"/>
      <c r="F49" s="17"/>
      <c r="G49" s="17">
        <f t="shared" ref="G49:P49" si="19">-G21</f>
        <v>-100</v>
      </c>
      <c r="H49" s="17">
        <f t="shared" si="19"/>
        <v>-100</v>
      </c>
      <c r="I49" s="17">
        <f t="shared" si="19"/>
        <v>-100</v>
      </c>
      <c r="J49" s="17">
        <f t="shared" si="19"/>
        <v>-100</v>
      </c>
      <c r="K49" s="17">
        <f t="shared" si="19"/>
        <v>-100</v>
      </c>
      <c r="L49" s="17">
        <f t="shared" si="19"/>
        <v>-100</v>
      </c>
      <c r="M49" s="17">
        <f t="shared" si="19"/>
        <v>-100</v>
      </c>
      <c r="N49" s="17">
        <f t="shared" si="19"/>
        <v>-100</v>
      </c>
      <c r="O49" s="17">
        <f t="shared" si="19"/>
        <v>-100</v>
      </c>
      <c r="P49" s="17">
        <f t="shared" si="19"/>
        <v>-100</v>
      </c>
    </row>
    <row r="50" spans="2:16" x14ac:dyDescent="0.3">
      <c r="B50" s="75" t="s">
        <v>381</v>
      </c>
      <c r="C50" s="75" t="s">
        <v>46</v>
      </c>
      <c r="D50" s="105"/>
      <c r="E50" s="105"/>
      <c r="F50" s="105"/>
      <c r="G50" s="105">
        <f t="shared" ref="G50:P50" si="20">SUM(G45:G49)</f>
        <v>7166.9788630036792</v>
      </c>
      <c r="H50" s="105">
        <f t="shared" si="20"/>
        <v>8018.0573688354525</v>
      </c>
      <c r="I50" s="105">
        <f t="shared" si="20"/>
        <v>9078.7779693558114</v>
      </c>
      <c r="J50" s="105">
        <f t="shared" si="20"/>
        <v>10121.630702006789</v>
      </c>
      <c r="K50" s="105">
        <f t="shared" si="20"/>
        <v>10768.554859609059</v>
      </c>
      <c r="L50" s="105">
        <f t="shared" si="20"/>
        <v>11272.266493302932</v>
      </c>
      <c r="M50" s="105">
        <f t="shared" si="20"/>
        <v>11635.764034876203</v>
      </c>
      <c r="N50" s="105">
        <f t="shared" si="20"/>
        <v>12004.741555004288</v>
      </c>
      <c r="O50" s="105">
        <f t="shared" si="20"/>
        <v>12336.794847158828</v>
      </c>
      <c r="P50" s="105">
        <f t="shared" si="20"/>
        <v>12645.16976583111</v>
      </c>
    </row>
    <row r="51" spans="2:16" x14ac:dyDescent="0.3">
      <c r="B51" s="5" t="s">
        <v>1684</v>
      </c>
      <c r="C51" s="5"/>
      <c r="D51" s="5"/>
      <c r="E51" s="5"/>
      <c r="F51" s="5"/>
      <c r="G51" s="5"/>
      <c r="H51" s="5"/>
      <c r="I51" s="5"/>
      <c r="J51" s="5"/>
      <c r="K51" s="5"/>
      <c r="L51" s="5"/>
      <c r="M51" s="5"/>
      <c r="N51" s="5"/>
      <c r="O51" s="5"/>
      <c r="P51" s="5"/>
    </row>
    <row r="52" spans="2:16" x14ac:dyDescent="0.3">
      <c r="B52" t="s">
        <v>1671</v>
      </c>
      <c r="C52" t="s">
        <v>23</v>
      </c>
      <c r="D52" s="19"/>
      <c r="E52" s="19"/>
      <c r="F52" s="19"/>
      <c r="G52" s="19">
        <f>'07 WACC'!$C$36+'09 Escenarios'!$D$17</f>
        <v>0.12540544272914492</v>
      </c>
      <c r="H52" s="19">
        <f>'07 WACC'!$C$36+'09 Escenarios'!$D$17</f>
        <v>0.12540544272914492</v>
      </c>
      <c r="I52" s="19">
        <f>'07 WACC'!$C$36+'09 Escenarios'!$D$17</f>
        <v>0.12540544272914492</v>
      </c>
      <c r="J52" s="19">
        <f>'07 WACC'!$C$36+'09 Escenarios'!$D$17</f>
        <v>0.12540544272914492</v>
      </c>
      <c r="K52" s="19">
        <f>'07 WACC'!$C$36+'09 Escenarios'!$D$17</f>
        <v>0.12540544272914492</v>
      </c>
      <c r="L52" s="19">
        <f>'07 WACC'!$C$36+'09 Escenarios'!$D$17</f>
        <v>0.12540544272914492</v>
      </c>
      <c r="M52" s="19">
        <f>'07 WACC'!$C$36+'09 Escenarios'!$D$17</f>
        <v>0.12540544272914492</v>
      </c>
      <c r="N52" s="19">
        <f>'07 WACC'!$C$36+'09 Escenarios'!$D$17</f>
        <v>0.12540544272914492</v>
      </c>
      <c r="O52" s="19">
        <f>'07 WACC'!$C$36+'09 Escenarios'!$D$17</f>
        <v>0.12540544272914492</v>
      </c>
      <c r="P52" s="19">
        <f>'07 WACC'!$C$36+'09 Escenarios'!$D$17</f>
        <v>0.12540544272914492</v>
      </c>
    </row>
    <row r="53" spans="2:16" x14ac:dyDescent="0.3">
      <c r="B53" t="s">
        <v>353</v>
      </c>
      <c r="C53" t="s">
        <v>23</v>
      </c>
      <c r="D53" s="19"/>
      <c r="E53" s="19"/>
      <c r="F53" s="19"/>
      <c r="G53" s="19">
        <f>'02 Assumptions'!$C$62+'09 Escenarios'!$D$16</f>
        <v>2.2499999999999999E-2</v>
      </c>
      <c r="H53" s="19">
        <f>'02 Assumptions'!$C$62+'09 Escenarios'!$D$16</f>
        <v>2.2499999999999999E-2</v>
      </c>
      <c r="I53" s="19">
        <f>'02 Assumptions'!$C$62+'09 Escenarios'!$D$16</f>
        <v>2.2499999999999999E-2</v>
      </c>
      <c r="J53" s="19">
        <f>'02 Assumptions'!$C$62+'09 Escenarios'!$D$16</f>
        <v>2.2499999999999999E-2</v>
      </c>
      <c r="K53" s="19">
        <f>'02 Assumptions'!$C$62+'09 Escenarios'!$D$16</f>
        <v>2.2499999999999999E-2</v>
      </c>
      <c r="L53" s="19">
        <f>'02 Assumptions'!$C$62+'09 Escenarios'!$D$16</f>
        <v>2.2499999999999999E-2</v>
      </c>
      <c r="M53" s="19">
        <f>'02 Assumptions'!$C$62+'09 Escenarios'!$D$16</f>
        <v>2.2499999999999999E-2</v>
      </c>
      <c r="N53" s="19">
        <f>'02 Assumptions'!$C$62+'09 Escenarios'!$D$16</f>
        <v>2.2499999999999999E-2</v>
      </c>
      <c r="O53" s="19">
        <f>'02 Assumptions'!$C$62+'09 Escenarios'!$D$16</f>
        <v>2.2499999999999999E-2</v>
      </c>
      <c r="P53" s="19">
        <f>'02 Assumptions'!$C$62+'09 Escenarios'!$D$16</f>
        <v>2.2499999999999999E-2</v>
      </c>
    </row>
    <row r="54" spans="2:16" x14ac:dyDescent="0.3">
      <c r="B54" t="s">
        <v>389</v>
      </c>
      <c r="C54" t="s">
        <v>23</v>
      </c>
      <c r="D54" s="19"/>
      <c r="E54" s="19"/>
      <c r="F54" s="19"/>
      <c r="G54" s="19">
        <f>'02 Assumptions'!$C$66</f>
        <v>0.3</v>
      </c>
      <c r="H54" s="19">
        <f>'02 Assumptions'!$C$66</f>
        <v>0.3</v>
      </c>
      <c r="I54" s="19">
        <f>'02 Assumptions'!$C$66</f>
        <v>0.3</v>
      </c>
      <c r="J54" s="19">
        <f>'02 Assumptions'!$C$66</f>
        <v>0.3</v>
      </c>
      <c r="K54" s="19">
        <f>'02 Assumptions'!$C$66</f>
        <v>0.3</v>
      </c>
      <c r="L54" s="19">
        <f>'02 Assumptions'!$C$66</f>
        <v>0.3</v>
      </c>
      <c r="M54" s="19">
        <f>'02 Assumptions'!$C$66</f>
        <v>0.3</v>
      </c>
      <c r="N54" s="19">
        <f>'02 Assumptions'!$C$66</f>
        <v>0.3</v>
      </c>
      <c r="O54" s="19">
        <f>'02 Assumptions'!$C$66</f>
        <v>0.3</v>
      </c>
      <c r="P54" s="19">
        <f>'02 Assumptions'!$C$66</f>
        <v>0.3</v>
      </c>
    </row>
    <row r="55" spans="2:16" x14ac:dyDescent="0.3">
      <c r="B55" t="s">
        <v>1672</v>
      </c>
      <c r="C55" t="s">
        <v>238</v>
      </c>
      <c r="D55" s="26"/>
      <c r="E55" s="26"/>
      <c r="F55" s="26"/>
      <c r="G55" s="26">
        <f>COLUMNS($G55:G55)-IF('02 Assumptions'!$C$12=2,0.5,0)</f>
        <v>0.5</v>
      </c>
      <c r="H55" s="26">
        <f>COLUMNS($G55:H55)-IF('02 Assumptions'!$C$12=2,0.5,0)</f>
        <v>1.5</v>
      </c>
      <c r="I55" s="26">
        <f>COLUMNS($G55:I55)-IF('02 Assumptions'!$C$12=2,0.5,0)</f>
        <v>2.5</v>
      </c>
      <c r="J55" s="26">
        <f>COLUMNS($G55:J55)-IF('02 Assumptions'!$C$12=2,0.5,0)</f>
        <v>3.5</v>
      </c>
      <c r="K55" s="26">
        <f>COLUMNS($G55:K55)-IF('02 Assumptions'!$C$12=2,0.5,0)</f>
        <v>4.5</v>
      </c>
      <c r="L55" s="26">
        <f>COLUMNS($G55:L55)-IF('02 Assumptions'!$C$12=2,0.5,0)</f>
        <v>5.5</v>
      </c>
      <c r="M55" s="26">
        <f>COLUMNS($G55:M55)-IF('02 Assumptions'!$C$12=2,0.5,0)</f>
        <v>6.5</v>
      </c>
      <c r="N55" s="26">
        <f>COLUMNS($G55:N55)-IF('02 Assumptions'!$C$12=2,0.5,0)</f>
        <v>7.5</v>
      </c>
      <c r="O55" s="26">
        <f>COLUMNS($G55:O55)-IF('02 Assumptions'!$C$12=2,0.5,0)</f>
        <v>8.5</v>
      </c>
      <c r="P55" s="26">
        <f>COLUMNS($G55:P55)-IF('02 Assumptions'!$C$12=2,0.5,0)</f>
        <v>9.5</v>
      </c>
    </row>
    <row r="56" spans="2:16" x14ac:dyDescent="0.3">
      <c r="B56" t="s">
        <v>1673</v>
      </c>
      <c r="C56" t="s">
        <v>145</v>
      </c>
      <c r="D56" s="44"/>
      <c r="E56" s="44"/>
      <c r="F56" s="44"/>
      <c r="G56" s="44">
        <f t="shared" ref="G56:P56" si="21">1/(1+G52)^G55</f>
        <v>0.9426391963464148</v>
      </c>
      <c r="H56" s="44">
        <f t="shared" si="21"/>
        <v>0.8375996423657629</v>
      </c>
      <c r="I56" s="44">
        <f t="shared" si="21"/>
        <v>0.74426478721709077</v>
      </c>
      <c r="J56" s="44">
        <f t="shared" si="21"/>
        <v>0.66133036056074546</v>
      </c>
      <c r="K56" s="44">
        <f t="shared" si="21"/>
        <v>0.58763742865593194</v>
      </c>
      <c r="L56" s="44">
        <f t="shared" si="21"/>
        <v>0.52215619930795087</v>
      </c>
      <c r="M56" s="44">
        <f t="shared" si="21"/>
        <v>0.46397163145195486</v>
      </c>
      <c r="N56" s="44">
        <f t="shared" si="21"/>
        <v>0.41227064828015092</v>
      </c>
      <c r="O56" s="44">
        <f t="shared" si="21"/>
        <v>0.36633077522744256</v>
      </c>
      <c r="P56" s="44">
        <f t="shared" si="21"/>
        <v>0.32551004404161982</v>
      </c>
    </row>
    <row r="57" spans="2:16" x14ac:dyDescent="0.3">
      <c r="B57" t="s">
        <v>1674</v>
      </c>
      <c r="C57" t="s">
        <v>46</v>
      </c>
      <c r="D57" s="17"/>
      <c r="E57" s="17"/>
      <c r="F57" s="17"/>
      <c r="G57" s="17">
        <f t="shared" ref="G57:P57" si="22">G50*G56</f>
        <v>6755.8751956535298</v>
      </c>
      <c r="H57" s="17">
        <f t="shared" si="22"/>
        <v>6715.9219846047445</v>
      </c>
      <c r="I57" s="17">
        <f t="shared" si="22"/>
        <v>6757.0147535538144</v>
      </c>
      <c r="J57" s="17">
        <f t="shared" si="22"/>
        <v>6693.7416816208606</v>
      </c>
      <c r="K57" s="17">
        <f t="shared" si="22"/>
        <v>6328.0058880410079</v>
      </c>
      <c r="L57" s="17">
        <f t="shared" si="22"/>
        <v>5885.8838297294224</v>
      </c>
      <c r="M57" s="17">
        <f t="shared" si="22"/>
        <v>5398.664422451493</v>
      </c>
      <c r="N57" s="17">
        <f t="shared" si="22"/>
        <v>4949.2025833172847</v>
      </c>
      <c r="O57" s="17">
        <f t="shared" si="22"/>
        <v>4519.347620181612</v>
      </c>
      <c r="P57" s="17">
        <f t="shared" si="22"/>
        <v>4116.1297673894442</v>
      </c>
    </row>
    <row r="59" spans="2:16" x14ac:dyDescent="0.3">
      <c r="B59" t="s">
        <v>1689</v>
      </c>
      <c r="C59" t="s">
        <v>46</v>
      </c>
      <c r="D59" s="17"/>
      <c r="E59" s="17"/>
      <c r="F59" s="17">
        <f>SUM(G57:P57)</f>
        <v>58119.787726543203</v>
      </c>
      <c r="G59" s="17"/>
      <c r="H59" s="17"/>
      <c r="I59" s="17"/>
      <c r="J59" s="17"/>
      <c r="K59" s="17"/>
      <c r="L59" s="17"/>
      <c r="M59" s="17"/>
      <c r="N59" s="17"/>
      <c r="O59" s="17"/>
      <c r="P59" s="17"/>
    </row>
    <row r="60" spans="2:16" x14ac:dyDescent="0.3">
      <c r="B60" t="s">
        <v>1675</v>
      </c>
      <c r="C60" t="s">
        <v>23</v>
      </c>
      <c r="D60" s="19"/>
      <c r="E60" s="19"/>
      <c r="F60" s="19">
        <f>P53/P54</f>
        <v>7.4999999999999997E-2</v>
      </c>
      <c r="G60" s="19"/>
      <c r="H60" s="19"/>
      <c r="I60" s="19"/>
      <c r="J60" s="19"/>
      <c r="K60" s="19"/>
      <c r="L60" s="19"/>
      <c r="M60" s="19"/>
      <c r="N60" s="19"/>
      <c r="O60" s="19"/>
      <c r="P60" s="19"/>
    </row>
    <row r="61" spans="2:16" x14ac:dyDescent="0.3">
      <c r="B61" t="s">
        <v>1676</v>
      </c>
      <c r="C61" t="s">
        <v>46</v>
      </c>
      <c r="D61" s="17"/>
      <c r="E61" s="17"/>
      <c r="F61" s="17">
        <f>P45*(1+P53)</f>
        <v>13393.190869400831</v>
      </c>
      <c r="G61" s="17"/>
      <c r="H61" s="17"/>
      <c r="I61" s="17"/>
      <c r="J61" s="17"/>
      <c r="K61" s="17"/>
      <c r="L61" s="17"/>
      <c r="M61" s="17"/>
      <c r="N61" s="17"/>
      <c r="O61" s="17"/>
      <c r="P61" s="17"/>
    </row>
    <row r="62" spans="2:16" x14ac:dyDescent="0.3">
      <c r="B62" t="s">
        <v>1677</v>
      </c>
      <c r="C62" t="s">
        <v>46</v>
      </c>
      <c r="D62" s="17"/>
      <c r="E62" s="17"/>
      <c r="F62" s="17">
        <f>F61*(1-F60)</f>
        <v>12388.70155419577</v>
      </c>
      <c r="G62" s="17"/>
      <c r="H62" s="17"/>
      <c r="I62" s="17"/>
      <c r="J62" s="17"/>
      <c r="K62" s="17"/>
      <c r="L62" s="17"/>
      <c r="M62" s="17"/>
      <c r="N62" s="17"/>
      <c r="O62" s="17"/>
      <c r="P62" s="17"/>
    </row>
    <row r="63" spans="2:16" x14ac:dyDescent="0.3">
      <c r="B63" t="s">
        <v>1678</v>
      </c>
      <c r="C63" t="s">
        <v>46</v>
      </c>
      <c r="D63" s="17"/>
      <c r="E63" s="17"/>
      <c r="F63" s="17">
        <f>IF(P52&lt;=P53,"FALLO: WACC&lt;=g",F62/(P52-P53))</f>
        <v>120389.17695348525</v>
      </c>
      <c r="G63" s="17"/>
      <c r="H63" s="17"/>
      <c r="I63" s="17"/>
      <c r="J63" s="17"/>
      <c r="K63" s="17"/>
      <c r="L63" s="17"/>
      <c r="M63" s="17"/>
      <c r="N63" s="17"/>
      <c r="O63" s="17"/>
      <c r="P63" s="17"/>
    </row>
    <row r="64" spans="2:16" x14ac:dyDescent="0.3">
      <c r="B64" t="s">
        <v>1679</v>
      </c>
      <c r="C64" t="s">
        <v>145</v>
      </c>
      <c r="D64" s="44"/>
      <c r="E64" s="44"/>
      <c r="F64" s="44">
        <f>1/(1+P52)^'02 Assumptions'!$C$11</f>
        <v>0.30683852631807867</v>
      </c>
      <c r="G64" s="44"/>
      <c r="H64" s="44"/>
      <c r="I64" s="44"/>
      <c r="J64" s="44"/>
      <c r="K64" s="44"/>
      <c r="L64" s="44"/>
      <c r="M64" s="44"/>
      <c r="N64" s="44"/>
      <c r="O64" s="44"/>
      <c r="P64" s="44"/>
    </row>
    <row r="65" spans="2:16" x14ac:dyDescent="0.3">
      <c r="B65" t="s">
        <v>404</v>
      </c>
      <c r="C65" t="s">
        <v>46</v>
      </c>
      <c r="D65" s="17"/>
      <c r="E65" s="17"/>
      <c r="F65" s="17">
        <f>F63*F64</f>
        <v>36940.037641053816</v>
      </c>
      <c r="G65" s="17"/>
      <c r="H65" s="17"/>
      <c r="I65" s="17"/>
      <c r="J65" s="17"/>
      <c r="K65" s="17"/>
      <c r="L65" s="17"/>
      <c r="M65" s="17"/>
      <c r="N65" s="17"/>
      <c r="O65" s="17"/>
      <c r="P65" s="17"/>
    </row>
    <row r="66" spans="2:16" x14ac:dyDescent="0.3">
      <c r="B66" s="99" t="s">
        <v>405</v>
      </c>
      <c r="C66" s="99" t="s">
        <v>46</v>
      </c>
      <c r="D66" s="106"/>
      <c r="E66" s="106"/>
      <c r="F66" s="106">
        <f>F59+F65</f>
        <v>95059.825367597019</v>
      </c>
      <c r="G66" s="18"/>
      <c r="H66" s="18"/>
      <c r="I66" s="18"/>
      <c r="J66" s="18"/>
      <c r="K66" s="18"/>
      <c r="L66" s="18"/>
      <c r="M66" s="18"/>
      <c r="N66" s="18"/>
      <c r="O66" s="18"/>
      <c r="P66" s="18"/>
    </row>
    <row r="67" spans="2:16" x14ac:dyDescent="0.3">
      <c r="B67" t="s">
        <v>406</v>
      </c>
      <c r="C67" t="s">
        <v>23</v>
      </c>
      <c r="D67" s="19"/>
      <c r="E67" s="19"/>
      <c r="F67" s="19">
        <f>F65/F66</f>
        <v>0.38859778563874303</v>
      </c>
      <c r="G67" s="19"/>
      <c r="H67" s="19"/>
      <c r="I67" s="19"/>
      <c r="J67" s="19"/>
      <c r="K67" s="19"/>
      <c r="L67" s="19"/>
      <c r="M67" s="19"/>
      <c r="N67" s="19"/>
      <c r="O67" s="19"/>
      <c r="P67" s="19"/>
    </row>
    <row r="68" spans="2:16" x14ac:dyDescent="0.3">
      <c r="B68" t="s">
        <v>450</v>
      </c>
      <c r="C68" t="s">
        <v>145</v>
      </c>
      <c r="D68" s="44"/>
      <c r="E68" s="44"/>
      <c r="F68" s="44">
        <f>IFERROR(F63/P32,"n/a")</f>
        <v>6.6289131932822478</v>
      </c>
      <c r="G68" s="44"/>
      <c r="H68" s="44"/>
      <c r="I68" s="44"/>
      <c r="J68" s="44"/>
      <c r="K68" s="44"/>
      <c r="L68" s="44"/>
      <c r="M68" s="44"/>
      <c r="N68" s="44"/>
      <c r="O68" s="44"/>
      <c r="P68" s="44"/>
    </row>
    <row r="69" spans="2:16" x14ac:dyDescent="0.3">
      <c r="B69" t="s">
        <v>1690</v>
      </c>
      <c r="C69" t="s">
        <v>46</v>
      </c>
      <c r="D69" s="17"/>
      <c r="E69" s="17"/>
      <c r="F69" s="17">
        <f>SUM('06 DCF'!$F$46:$F$52)</f>
        <v>-6444.9599999999991</v>
      </c>
      <c r="G69" s="17"/>
      <c r="H69" s="17"/>
      <c r="I69" s="17"/>
      <c r="J69" s="17"/>
      <c r="K69" s="17"/>
      <c r="L69" s="17"/>
      <c r="M69" s="17"/>
      <c r="N69" s="17"/>
      <c r="O69" s="17"/>
      <c r="P69" s="17"/>
    </row>
    <row r="70" spans="2:16" x14ac:dyDescent="0.3">
      <c r="B70" s="99" t="s">
        <v>413</v>
      </c>
      <c r="C70" s="99" t="s">
        <v>46</v>
      </c>
      <c r="D70" s="106"/>
      <c r="E70" s="106"/>
      <c r="F70" s="106">
        <f>F66+F69</f>
        <v>88614.865367597027</v>
      </c>
      <c r="G70" s="18"/>
      <c r="H70" s="18"/>
      <c r="I70" s="18"/>
      <c r="J70" s="18"/>
      <c r="K70" s="18"/>
      <c r="L70" s="18"/>
      <c r="M70" s="18"/>
      <c r="N70" s="18"/>
      <c r="O70" s="18"/>
      <c r="P70" s="18"/>
    </row>
    <row r="71" spans="2:16" x14ac:dyDescent="0.3">
      <c r="B71" t="s">
        <v>414</v>
      </c>
      <c r="C71" t="s">
        <v>69</v>
      </c>
      <c r="D71" s="21"/>
      <c r="E71" s="21"/>
      <c r="F71" s="21">
        <f>'02 Assumptions'!$C$69</f>
        <v>1085.6999924345589</v>
      </c>
      <c r="G71" s="21"/>
      <c r="H71" s="21"/>
      <c r="I71" s="21"/>
      <c r="J71" s="21"/>
      <c r="K71" s="21"/>
      <c r="L71" s="21"/>
      <c r="M71" s="21"/>
      <c r="N71" s="21"/>
      <c r="O71" s="21"/>
      <c r="P71" s="21"/>
    </row>
    <row r="72" spans="2:16" ht="15.6" x14ac:dyDescent="0.3">
      <c r="B72" s="107" t="s">
        <v>415</v>
      </c>
      <c r="C72" s="107" t="s">
        <v>66</v>
      </c>
      <c r="D72" s="168"/>
      <c r="E72" s="168"/>
      <c r="F72" s="168">
        <f>F70/F71</f>
        <v>81.620029460337619</v>
      </c>
      <c r="G72" s="186"/>
      <c r="H72" s="186"/>
      <c r="I72" s="186"/>
      <c r="J72" s="186"/>
      <c r="K72" s="186"/>
      <c r="L72" s="186"/>
      <c r="M72" s="186"/>
      <c r="N72" s="186"/>
      <c r="O72" s="186"/>
      <c r="P72" s="186"/>
    </row>
    <row r="73" spans="2:16" x14ac:dyDescent="0.3">
      <c r="B73" t="s">
        <v>570</v>
      </c>
      <c r="C73" t="s">
        <v>66</v>
      </c>
      <c r="D73" s="164"/>
      <c r="E73" s="164"/>
      <c r="F73" s="164">
        <f>'01 Summary'!$C$10</f>
        <v>198.27</v>
      </c>
      <c r="G73" s="164"/>
      <c r="H73" s="164"/>
      <c r="I73" s="164"/>
      <c r="J73" s="164"/>
      <c r="K73" s="164"/>
      <c r="L73" s="164"/>
      <c r="M73" s="164"/>
      <c r="N73" s="164"/>
      <c r="O73" s="164"/>
      <c r="P73" s="164"/>
    </row>
    <row r="74" spans="2:16" x14ac:dyDescent="0.3">
      <c r="B74" t="s">
        <v>417</v>
      </c>
      <c r="C74" t="s">
        <v>23</v>
      </c>
      <c r="D74" s="19"/>
      <c r="E74" s="19"/>
      <c r="F74" s="19">
        <f>IF(F73&lt;=0,"introducir precio",F72/F73-1)</f>
        <v>-0.5883389849178513</v>
      </c>
      <c r="G74" s="19"/>
      <c r="H74" s="19"/>
      <c r="I74" s="19"/>
      <c r="J74" s="19"/>
      <c r="K74" s="19"/>
      <c r="L74" s="19"/>
      <c r="M74" s="19"/>
      <c r="N74" s="19"/>
      <c r="O74" s="19"/>
      <c r="P74" s="19"/>
    </row>
    <row r="75" spans="2:16" x14ac:dyDescent="0.3">
      <c r="B75" t="s">
        <v>1691</v>
      </c>
      <c r="C75" t="s">
        <v>46</v>
      </c>
      <c r="D75" s="17"/>
      <c r="E75" s="17"/>
      <c r="F75" s="17">
        <f>P11</f>
        <v>63665.185077758928</v>
      </c>
      <c r="G75" s="17"/>
      <c r="H75" s="17"/>
      <c r="I75" s="17"/>
      <c r="J75" s="17"/>
      <c r="K75" s="17"/>
      <c r="L75" s="17"/>
      <c r="M75" s="17"/>
      <c r="N75" s="17"/>
      <c r="O75" s="17"/>
      <c r="P75" s="17"/>
    </row>
    <row r="77" spans="2:16" x14ac:dyDescent="0.3">
      <c r="B77" s="5" t="s">
        <v>1680</v>
      </c>
      <c r="C77" s="5"/>
      <c r="D77" s="5"/>
      <c r="E77" s="5"/>
      <c r="F77" s="5"/>
      <c r="G77" s="5"/>
      <c r="H77" s="5"/>
      <c r="I77" s="5"/>
      <c r="J77" s="5"/>
      <c r="K77" s="5"/>
      <c r="L77" s="5"/>
      <c r="M77" s="5"/>
      <c r="N77" s="5"/>
      <c r="O77" s="5"/>
      <c r="P77" s="5"/>
    </row>
    <row r="78" spans="2:16" x14ac:dyDescent="0.3">
      <c r="B78" s="101" t="s">
        <v>354</v>
      </c>
      <c r="C78" s="101"/>
      <c r="D78" s="101"/>
      <c r="E78" s="101"/>
      <c r="F78" s="101" t="str">
        <f>IF(P52&gt;P53,"OK","FALLO")</f>
        <v>OK</v>
      </c>
      <c r="G78" s="5"/>
      <c r="H78" s="5"/>
      <c r="I78" s="5"/>
      <c r="J78" s="5"/>
      <c r="K78" s="5"/>
      <c r="L78" s="5"/>
      <c r="M78" s="5"/>
      <c r="N78" s="5"/>
      <c r="O78" s="5"/>
      <c r="P78" s="5"/>
    </row>
    <row r="79" spans="2:16" x14ac:dyDescent="0.3">
      <c r="B79" s="101" t="s">
        <v>1681</v>
      </c>
      <c r="C79" s="101"/>
      <c r="D79" s="101"/>
      <c r="E79" s="101"/>
      <c r="F79" s="101" t="str">
        <f>IF(P50&gt;0,"OK","FALLO")</f>
        <v>OK</v>
      </c>
      <c r="G79" s="5"/>
      <c r="H79" s="5"/>
      <c r="I79" s="5"/>
      <c r="J79" s="5"/>
      <c r="K79" s="5"/>
      <c r="L79" s="5"/>
      <c r="M79" s="5"/>
      <c r="N79" s="5"/>
      <c r="O79" s="5"/>
      <c r="P79" s="5"/>
    </row>
    <row r="80" spans="2:16" x14ac:dyDescent="0.3">
      <c r="B80" s="101" t="s">
        <v>1682</v>
      </c>
      <c r="C80" s="101"/>
      <c r="D80" s="101"/>
      <c r="E80" s="101"/>
      <c r="F80" s="101" t="str">
        <f>IF(P12&gt;=P53,"OK","AVISO: el último año explícito crece menos que la perpetuidad")</f>
        <v>AVISO: el último año explícito crece menos que la perpetuidad</v>
      </c>
      <c r="G80" s="5"/>
      <c r="H80" s="5"/>
      <c r="I80" s="5"/>
      <c r="J80" s="5"/>
      <c r="K80" s="5"/>
      <c r="L80" s="5"/>
      <c r="M80" s="5"/>
      <c r="N80" s="5"/>
      <c r="O80" s="5"/>
      <c r="P80" s="5"/>
    </row>
    <row r="81" spans="2:16" x14ac:dyDescent="0.3">
      <c r="B81" s="101" t="s">
        <v>1692</v>
      </c>
      <c r="C81" s="101"/>
      <c r="D81" s="101"/>
      <c r="E81" s="101"/>
      <c r="F81" s="101" t="str" cm="1">
        <f t="array" ref="F81">IF(SUMPRODUCT(--ISERROR($G$7:$P$57))=0,"OK","FALLO")</f>
        <v>OK</v>
      </c>
      <c r="G81" s="5"/>
      <c r="H81" s="5"/>
      <c r="I81" s="5"/>
      <c r="J81" s="5"/>
      <c r="K81" s="5"/>
      <c r="L81" s="5"/>
      <c r="M81" s="5"/>
      <c r="N81" s="5"/>
      <c r="O81" s="5"/>
      <c r="P81" s="5"/>
    </row>
    <row r="82" spans="2:16" x14ac:dyDescent="0.3">
      <c r="B82" s="101" t="s">
        <v>1693</v>
      </c>
      <c r="C82" s="101"/>
      <c r="D82" s="101"/>
      <c r="E82" s="101"/>
      <c r="F82" s="101" t="s">
        <v>1694</v>
      </c>
      <c r="G82" s="5"/>
      <c r="H82" s="5"/>
      <c r="I82" s="5"/>
      <c r="J82" s="5"/>
      <c r="K82" s="5"/>
      <c r="L82" s="5"/>
      <c r="M82" s="5"/>
      <c r="N82" s="5"/>
      <c r="O82" s="5"/>
      <c r="P82"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CA970-814E-4B67-BE19-4DC63D539165}">
  <dimension ref="A1:P82"/>
  <sheetViews>
    <sheetView workbookViewId="0"/>
  </sheetViews>
  <sheetFormatPr baseColWidth="10" defaultRowHeight="14.4" x14ac:dyDescent="0.3"/>
  <cols>
    <col min="2" max="2" width="61.109375" customWidth="1"/>
    <col min="3" max="3" width="10.21875" customWidth="1"/>
    <col min="4" max="16" width="16.33203125" customWidth="1"/>
  </cols>
  <sheetData>
    <row r="1" spans="1:16" ht="18" x14ac:dyDescent="0.35">
      <c r="A1" s="4" t="s">
        <v>1685</v>
      </c>
    </row>
    <row r="2" spans="1:16" x14ac:dyDescent="0.3">
      <c r="A2" s="14" t="s">
        <v>1686</v>
      </c>
    </row>
    <row r="4" spans="1:16" x14ac:dyDescent="0.3">
      <c r="B4" s="15" t="s">
        <v>41</v>
      </c>
      <c r="C4" s="15" t="s">
        <v>42</v>
      </c>
      <c r="D4" s="15" t="str">
        <f>'00 Panel del Analista'!D14</f>
        <v>FY2024A</v>
      </c>
      <c r="E4" s="15" t="str">
        <f>'00 Panel del Analista'!E14</f>
        <v>FY2025A</v>
      </c>
      <c r="F4" s="15" t="str">
        <f>'00 Panel del Analista'!F14</f>
        <v>FY2026E</v>
      </c>
      <c r="G4" s="15" t="str">
        <f>'00 Panel del Analista'!G14</f>
        <v>FY2027E</v>
      </c>
      <c r="H4" s="15" t="str">
        <f>'00 Panel del Analista'!H14</f>
        <v>FY2028E</v>
      </c>
      <c r="I4" s="15" t="str">
        <f>'00 Panel del Analista'!I14</f>
        <v>FY2029E</v>
      </c>
      <c r="J4" s="15" t="str">
        <f>'00 Panel del Analista'!J14</f>
        <v>FY2030E</v>
      </c>
      <c r="K4" s="15" t="str">
        <f>'00 Panel del Analista'!K14</f>
        <v>FY2031E</v>
      </c>
      <c r="L4" s="15" t="str">
        <f>'00 Panel del Analista'!L14</f>
        <v>FY2032E</v>
      </c>
      <c r="M4" s="15" t="str">
        <f>'00 Panel del Analista'!M14</f>
        <v>FY2033E</v>
      </c>
      <c r="N4" s="15" t="str">
        <f>'00 Panel del Analista'!N14</f>
        <v>FY2034E</v>
      </c>
      <c r="O4" s="15" t="str">
        <f>'00 Panel del Analista'!O14</f>
        <v>FY2035E</v>
      </c>
      <c r="P4" s="15" t="str">
        <f>'00 Panel del Analista'!P14</f>
        <v>FY2036E</v>
      </c>
    </row>
    <row r="6" spans="1:16" x14ac:dyDescent="0.3">
      <c r="B6" s="5" t="s">
        <v>1655</v>
      </c>
      <c r="C6" s="5"/>
      <c r="D6" s="5"/>
      <c r="E6" s="5"/>
      <c r="F6" s="5"/>
      <c r="G6" s="5"/>
      <c r="H6" s="5"/>
      <c r="I6" s="5"/>
      <c r="J6" s="5"/>
      <c r="K6" s="5"/>
      <c r="L6" s="5"/>
      <c r="M6" s="5"/>
      <c r="N6" s="5"/>
      <c r="O6" s="5"/>
      <c r="P6" s="5"/>
    </row>
    <row r="7" spans="1:16" x14ac:dyDescent="0.3">
      <c r="B7" t="str">
        <f>'00 Panel del Analista'!B18</f>
        <v xml:space="preserve">  QCT IoT + Data Center y otros no reportables</v>
      </c>
      <c r="C7" t="s">
        <v>46</v>
      </c>
      <c r="D7" s="17"/>
      <c r="E7" s="17"/>
      <c r="F7" s="17">
        <f>'03 Historical'!F7</f>
        <v>7512</v>
      </c>
      <c r="G7" s="17">
        <f>F7*(1+'02 Assumptions'!G19*'09 Escenarios'!$E$9)</f>
        <v>12019.2</v>
      </c>
      <c r="H7" s="17">
        <f>G7*(1+'02 Assumptions'!H19*'09 Escenarios'!$E$9)</f>
        <v>15985.536000000002</v>
      </c>
      <c r="I7" s="17">
        <f>H7*(1+'02 Assumptions'!I19*'09 Escenarios'!$E$9)</f>
        <v>19502.353920000001</v>
      </c>
      <c r="J7" s="17">
        <f>I7*(1+'02 Assumptions'!J19*'09 Escenarios'!$E$9)</f>
        <v>22427.707008000001</v>
      </c>
      <c r="K7" s="17">
        <f>J7*(1+'02 Assumptions'!K19*'09 Escenarios'!$E$9)</f>
        <v>25119.031848960003</v>
      </c>
      <c r="L7" s="17">
        <f>K7*(1+'02 Assumptions'!L19*'09 Escenarios'!$E$9)</f>
        <v>27630.935033856007</v>
      </c>
      <c r="M7" s="17">
        <f>L7*(1+'02 Assumptions'!M19*'09 Escenarios'!$E$9)</f>
        <v>29841.40983656449</v>
      </c>
      <c r="N7" s="17">
        <f>M7*(1+'02 Assumptions'!N19*'09 Escenarios'!$E$9)</f>
        <v>31631.894426758361</v>
      </c>
      <c r="O7" s="17">
        <f>N7*(1+'02 Assumptions'!O19*'09 Escenarios'!$E$9)</f>
        <v>33213.489148096283</v>
      </c>
      <c r="P7" s="17">
        <f>O7*(1+'02 Assumptions'!P19*'09 Escenarios'!$E$9)</f>
        <v>34542.028714020133</v>
      </c>
    </row>
    <row r="8" spans="1:16" x14ac:dyDescent="0.3">
      <c r="B8" t="str">
        <f>'00 Panel del Analista'!B19</f>
        <v xml:space="preserve">  QCT Handsets</v>
      </c>
      <c r="C8" t="s">
        <v>46</v>
      </c>
      <c r="D8" s="17"/>
      <c r="E8" s="17"/>
      <c r="F8" s="17">
        <f>'03 Historical'!F8</f>
        <v>24134</v>
      </c>
      <c r="G8" s="17">
        <f>F8*(1+'02 Assumptions'!G21+'09 Escenarios'!$E$10)</f>
        <v>20513.899999999998</v>
      </c>
      <c r="H8" s="17">
        <f>G8*(1+'02 Assumptions'!H21+'09 Escenarios'!$E$10)</f>
        <v>20924.178</v>
      </c>
      <c r="I8" s="17">
        <f>H8*(1+'02 Assumptions'!I21+'09 Escenarios'!$E$10)</f>
        <v>21551.903340000001</v>
      </c>
      <c r="J8" s="17">
        <f>I8*(1+'02 Assumptions'!J21+'09 Escenarios'!$E$10)</f>
        <v>21982.941406800001</v>
      </c>
      <c r="K8" s="17">
        <f>J8*(1+'02 Assumptions'!K21+'09 Escenarios'!$E$10)</f>
        <v>22422.600234936002</v>
      </c>
      <c r="L8" s="17">
        <f>K8*(1+'02 Assumptions'!L21+'09 Escenarios'!$E$10)</f>
        <v>22871.052239634722</v>
      </c>
      <c r="M8" s="17">
        <f>L8*(1+'02 Assumptions'!M21+'09 Escenarios'!$E$10)</f>
        <v>23328.473284427419</v>
      </c>
      <c r="N8" s="17">
        <f>M8*(1+'02 Assumptions'!N21+'09 Escenarios'!$E$10)</f>
        <v>23795.042750115968</v>
      </c>
      <c r="O8" s="17">
        <f>N8*(1+'02 Assumptions'!O21+'09 Escenarios'!$E$10)</f>
        <v>24389.918818868864</v>
      </c>
      <c r="P8" s="17">
        <f>O8*(1+'02 Assumptions'!P21+'09 Escenarios'!$E$10)</f>
        <v>24999.666789340583</v>
      </c>
    </row>
    <row r="9" spans="1:16" x14ac:dyDescent="0.3">
      <c r="B9" t="str">
        <f>'00 Panel del Analista'!B20</f>
        <v xml:space="preserve">  QTL Licencias (incl. ingresos no asignados)</v>
      </c>
      <c r="C9" t="s">
        <v>46</v>
      </c>
      <c r="D9" s="17"/>
      <c r="E9" s="17"/>
      <c r="F9" s="17">
        <f>'03 Historical'!F9</f>
        <v>5552</v>
      </c>
      <c r="G9" s="17">
        <f>F9*(1+'02 Assumptions'!G23+'09 Escenarios'!$E$10)</f>
        <v>5440.96</v>
      </c>
      <c r="H9" s="17">
        <f>G9*(1+'02 Assumptions'!H23+'09 Escenarios'!$E$10)</f>
        <v>5332.1408000000001</v>
      </c>
      <c r="I9" s="17">
        <f>H9*(1+'02 Assumptions'!I23+'09 Escenarios'!$E$10)</f>
        <v>5332.1408000000001</v>
      </c>
      <c r="J9" s="17">
        <f>I9*(1+'02 Assumptions'!J23+'09 Escenarios'!$E$10)</f>
        <v>5385.4622079999999</v>
      </c>
      <c r="K9" s="17">
        <f>J9*(1+'02 Assumptions'!K23+'09 Escenarios'!$E$10)</f>
        <v>5439.3168300799998</v>
      </c>
      <c r="L9" s="17">
        <f>K9*(1+'02 Assumptions'!L23+'09 Escenarios'!$E$10)</f>
        <v>5493.7099983808002</v>
      </c>
      <c r="M9" s="17">
        <f>L9*(1+'02 Assumptions'!M23+'09 Escenarios'!$E$10)</f>
        <v>5576.1156483565119</v>
      </c>
      <c r="N9" s="17">
        <f>M9*(1+'02 Assumptions'!N23+'09 Escenarios'!$E$10)</f>
        <v>5659.7573830818592</v>
      </c>
      <c r="O9" s="17">
        <f>N9*(1+'02 Assumptions'!O23+'09 Escenarios'!$E$10)</f>
        <v>5772.952530743496</v>
      </c>
      <c r="P9" s="17">
        <f>O9*(1+'02 Assumptions'!P23+'09 Escenarios'!$E$10)</f>
        <v>5888.4115813583658</v>
      </c>
    </row>
    <row r="10" spans="1:16" x14ac:dyDescent="0.3">
      <c r="B10" t="str">
        <f>'00 Panel del Analista'!B21</f>
        <v xml:space="preserve">  QCT Automoción</v>
      </c>
      <c r="C10" t="s">
        <v>46</v>
      </c>
      <c r="D10" s="17"/>
      <c r="E10" s="17"/>
      <c r="F10" s="17">
        <f>'03 Historical'!F10</f>
        <v>5700</v>
      </c>
      <c r="G10" s="17">
        <f>F10*(1+'02 Assumptions'!G25+'09 Escenarios'!$E$10)</f>
        <v>6954</v>
      </c>
      <c r="H10" s="17">
        <f>G10*(1+'02 Assumptions'!H25+'09 Escenarios'!$E$10)</f>
        <v>8136.1799999999994</v>
      </c>
      <c r="I10" s="17">
        <f>H10*(1+'02 Assumptions'!I25+'09 Escenarios'!$E$10)</f>
        <v>9356.6069999999982</v>
      </c>
      <c r="J10" s="17">
        <f>I10*(1+'02 Assumptions'!J25+'09 Escenarios'!$E$10)</f>
        <v>10572.965909999997</v>
      </c>
      <c r="K10" s="17">
        <f>J10*(1+'02 Assumptions'!K25+'09 Escenarios'!$E$10)</f>
        <v>11735.992160099999</v>
      </c>
      <c r="L10" s="17">
        <f>K10*(1+'02 Assumptions'!L25+'09 Escenarios'!$E$10)</f>
        <v>12792.231454508999</v>
      </c>
      <c r="M10" s="17">
        <f>L10*(1+'02 Assumptions'!M25+'09 Escenarios'!$E$10)</f>
        <v>13815.60997086972</v>
      </c>
      <c r="N10" s="17">
        <f>M10*(1+'02 Assumptions'!N25+'09 Escenarios'!$E$10)</f>
        <v>14782.702668830601</v>
      </c>
      <c r="O10" s="17">
        <f>N10*(1+'02 Assumptions'!O25+'09 Escenarios'!$E$10)</f>
        <v>15669.664828960438</v>
      </c>
      <c r="P10" s="17">
        <f>O10*(1+'02 Assumptions'!P25+'09 Escenarios'!$E$10)</f>
        <v>16453.148070408461</v>
      </c>
    </row>
    <row r="11" spans="1:16" x14ac:dyDescent="0.3">
      <c r="B11" s="3" t="s">
        <v>286</v>
      </c>
      <c r="C11" s="3" t="s">
        <v>46</v>
      </c>
      <c r="D11" s="18"/>
      <c r="E11" s="18"/>
      <c r="F11" s="18">
        <f t="shared" ref="F11:P11" si="0">SUM(F7:F10)</f>
        <v>42898</v>
      </c>
      <c r="G11" s="18">
        <f t="shared" si="0"/>
        <v>44928.06</v>
      </c>
      <c r="H11" s="18">
        <f t="shared" si="0"/>
        <v>50378.034800000001</v>
      </c>
      <c r="I11" s="18">
        <f t="shared" si="0"/>
        <v>55743.005059999996</v>
      </c>
      <c r="J11" s="18">
        <f t="shared" si="0"/>
        <v>60369.076532799998</v>
      </c>
      <c r="K11" s="18">
        <f t="shared" si="0"/>
        <v>64716.941074076007</v>
      </c>
      <c r="L11" s="18">
        <f t="shared" si="0"/>
        <v>68787.928726380531</v>
      </c>
      <c r="M11" s="18">
        <f t="shared" si="0"/>
        <v>72561.608740218144</v>
      </c>
      <c r="N11" s="18">
        <f t="shared" si="0"/>
        <v>75869.397228786795</v>
      </c>
      <c r="O11" s="18">
        <f t="shared" si="0"/>
        <v>79046.025326669085</v>
      </c>
      <c r="P11" s="18">
        <f t="shared" si="0"/>
        <v>81883.255155127539</v>
      </c>
    </row>
    <row r="12" spans="1:16" x14ac:dyDescent="0.3">
      <c r="B12" t="s">
        <v>1656</v>
      </c>
      <c r="C12" t="s">
        <v>23</v>
      </c>
      <c r="D12" s="19"/>
      <c r="E12" s="19"/>
      <c r="F12" s="19"/>
      <c r="G12" s="19">
        <f t="shared" ref="G12:P12" si="1">G11/F11-1</f>
        <v>4.7322952118979744E-2</v>
      </c>
      <c r="H12" s="19">
        <f t="shared" si="1"/>
        <v>0.12130447653426391</v>
      </c>
      <c r="I12" s="19">
        <f t="shared" si="1"/>
        <v>0.1064942346659381</v>
      </c>
      <c r="J12" s="19">
        <f t="shared" si="1"/>
        <v>8.2989273144148612E-2</v>
      </c>
      <c r="K12" s="19">
        <f t="shared" si="1"/>
        <v>7.2021385632985657E-2</v>
      </c>
      <c r="L12" s="19">
        <f t="shared" si="1"/>
        <v>6.2904512863869888E-2</v>
      </c>
      <c r="M12" s="19">
        <f t="shared" si="1"/>
        <v>5.485962557250823E-2</v>
      </c>
      <c r="N12" s="19">
        <f t="shared" si="1"/>
        <v>4.5585930990188706E-2</v>
      </c>
      <c r="O12" s="19">
        <f t="shared" si="1"/>
        <v>4.1869689412492139E-2</v>
      </c>
      <c r="P12" s="19">
        <f t="shared" si="1"/>
        <v>3.5893390170260941E-2</v>
      </c>
    </row>
    <row r="13" spans="1:16" x14ac:dyDescent="0.3">
      <c r="B13" s="5" t="s">
        <v>1657</v>
      </c>
      <c r="C13" s="5"/>
      <c r="D13" s="5"/>
      <c r="E13" s="5"/>
      <c r="F13" s="5"/>
      <c r="G13" s="5"/>
      <c r="H13" s="5"/>
      <c r="I13" s="5"/>
      <c r="J13" s="5"/>
      <c r="K13" s="5"/>
      <c r="L13" s="5"/>
      <c r="M13" s="5"/>
      <c r="N13" s="5"/>
      <c r="O13" s="5"/>
      <c r="P13" s="5"/>
    </row>
    <row r="14" spans="1:16" x14ac:dyDescent="0.3">
      <c r="B14" t="s">
        <v>50</v>
      </c>
      <c r="C14" t="s">
        <v>23</v>
      </c>
      <c r="D14" s="19"/>
      <c r="E14" s="19"/>
      <c r="F14" s="19"/>
      <c r="G14" s="19">
        <f>'02 Assumptions'!G29+'09 Escenarios'!$E$11</f>
        <v>0.54500000000000004</v>
      </c>
      <c r="H14" s="19">
        <f>'02 Assumptions'!H29+'09 Escenarios'!$E$11</f>
        <v>0.55000000000000004</v>
      </c>
      <c r="I14" s="19">
        <f>'02 Assumptions'!I29+'09 Escenarios'!$E$11</f>
        <v>0.55500000000000005</v>
      </c>
      <c r="J14" s="19">
        <f>'02 Assumptions'!J29+'09 Escenarios'!$E$11</f>
        <v>0.55500000000000005</v>
      </c>
      <c r="K14" s="19">
        <f>'02 Assumptions'!K29+'09 Escenarios'!$E$11</f>
        <v>0.55500000000000005</v>
      </c>
      <c r="L14" s="19">
        <f>'02 Assumptions'!L29+'09 Escenarios'!$E$11</f>
        <v>0.55500000000000005</v>
      </c>
      <c r="M14" s="19">
        <f>'02 Assumptions'!M29+'09 Escenarios'!$E$11</f>
        <v>0.55500000000000005</v>
      </c>
      <c r="N14" s="19">
        <f>'02 Assumptions'!N29+'09 Escenarios'!$E$11</f>
        <v>0.55500000000000005</v>
      </c>
      <c r="O14" s="19">
        <f>'02 Assumptions'!O29+'09 Escenarios'!$E$11</f>
        <v>0.55500000000000005</v>
      </c>
      <c r="P14" s="19">
        <f>'02 Assumptions'!P29+'09 Escenarios'!$E$11</f>
        <v>0.55500000000000005</v>
      </c>
    </row>
    <row r="15" spans="1:16" x14ac:dyDescent="0.3">
      <c r="B15" t="s">
        <v>1658</v>
      </c>
      <c r="C15" t="s">
        <v>46</v>
      </c>
      <c r="D15" s="17"/>
      <c r="E15" s="17"/>
      <c r="F15" s="17"/>
      <c r="G15" s="17">
        <f t="shared" ref="G15:P15" si="2">G11*G14</f>
        <v>24485.792700000002</v>
      </c>
      <c r="H15" s="17">
        <f t="shared" si="2"/>
        <v>27707.919140000002</v>
      </c>
      <c r="I15" s="17">
        <f t="shared" si="2"/>
        <v>30937.367808300001</v>
      </c>
      <c r="J15" s="17">
        <f t="shared" si="2"/>
        <v>33504.837475704</v>
      </c>
      <c r="K15" s="17">
        <f t="shared" si="2"/>
        <v>35917.902296112188</v>
      </c>
      <c r="L15" s="17">
        <f t="shared" si="2"/>
        <v>38177.300443141197</v>
      </c>
      <c r="M15" s="17">
        <f t="shared" si="2"/>
        <v>40271.692850821077</v>
      </c>
      <c r="N15" s="17">
        <f t="shared" si="2"/>
        <v>42107.515461976676</v>
      </c>
      <c r="O15" s="17">
        <f t="shared" si="2"/>
        <v>43870.544056301347</v>
      </c>
      <c r="P15" s="17">
        <f t="shared" si="2"/>
        <v>45445.206611095789</v>
      </c>
    </row>
    <row r="16" spans="1:16" x14ac:dyDescent="0.3">
      <c r="B16" t="s">
        <v>288</v>
      </c>
      <c r="C16" t="s">
        <v>46</v>
      </c>
      <c r="D16" s="17"/>
      <c r="E16" s="17"/>
      <c r="F16" s="17"/>
      <c r="G16" s="17">
        <f t="shared" ref="G16:P16" si="3">G11-G15</f>
        <v>20442.267299999996</v>
      </c>
      <c r="H16" s="17">
        <f t="shared" si="3"/>
        <v>22670.115659999999</v>
      </c>
      <c r="I16" s="17">
        <f t="shared" si="3"/>
        <v>24805.637251699995</v>
      </c>
      <c r="J16" s="17">
        <f t="shared" si="3"/>
        <v>26864.239057095998</v>
      </c>
      <c r="K16" s="17">
        <f t="shared" si="3"/>
        <v>28799.038777963819</v>
      </c>
      <c r="L16" s="17">
        <f t="shared" si="3"/>
        <v>30610.628283239334</v>
      </c>
      <c r="M16" s="17">
        <f t="shared" si="3"/>
        <v>32289.915889397067</v>
      </c>
      <c r="N16" s="17">
        <f t="shared" si="3"/>
        <v>33761.881766810118</v>
      </c>
      <c r="O16" s="17">
        <f t="shared" si="3"/>
        <v>35175.481270367738</v>
      </c>
      <c r="P16" s="17">
        <f t="shared" si="3"/>
        <v>36438.04854403175</v>
      </c>
    </row>
    <row r="17" spans="2:16" x14ac:dyDescent="0.3">
      <c r="B17" t="s">
        <v>51</v>
      </c>
      <c r="C17" t="s">
        <v>46</v>
      </c>
      <c r="D17" s="17"/>
      <c r="E17" s="17"/>
      <c r="F17" s="17"/>
      <c r="G17" s="17">
        <f>G11*('02 Assumptions'!G31+'09 Escenarios'!$E$12*'02 Assumptions'!$Q$32)</f>
        <v>3818.8851</v>
      </c>
      <c r="H17" s="17">
        <f>H11*('02 Assumptions'!H31+'09 Escenarios'!$E$12*'02 Assumptions'!$Q$32)</f>
        <v>4030.242784</v>
      </c>
      <c r="I17" s="17">
        <f>I11*('02 Assumptions'!I31+'09 Escenarios'!$E$12*'02 Assumptions'!$Q$32)</f>
        <v>4292.2113896199999</v>
      </c>
      <c r="J17" s="17">
        <f>J11*('02 Assumptions'!J31+'09 Escenarios'!$E$12*'02 Assumptions'!$Q$32)</f>
        <v>4527.6807399599993</v>
      </c>
      <c r="K17" s="17">
        <f>K11*('02 Assumptions'!K31+'09 Escenarios'!$E$12*'02 Assumptions'!$Q$32)</f>
        <v>4724.3366984075483</v>
      </c>
      <c r="L17" s="17">
        <f>L11*('02 Assumptions'!L31+'09 Escenarios'!$E$12*'02 Assumptions'!$Q$32)</f>
        <v>4952.730868299398</v>
      </c>
      <c r="M17" s="17">
        <f>M11*('02 Assumptions'!M31+'09 Escenarios'!$E$12*'02 Assumptions'!$Q$32)</f>
        <v>5151.8742205554881</v>
      </c>
      <c r="N17" s="17">
        <f>N11*('02 Assumptions'!N31+'09 Escenarios'!$E$12*'02 Assumptions'!$Q$32)</f>
        <v>5386.7272032438623</v>
      </c>
      <c r="O17" s="17">
        <f>O11*('02 Assumptions'!O31+'09 Escenarios'!$E$12*'02 Assumptions'!$Q$32)</f>
        <v>5612.2677981935049</v>
      </c>
      <c r="P17" s="17">
        <f>P11*('02 Assumptions'!P31+'09 Escenarios'!$E$12*'02 Assumptions'!$Q$32)</f>
        <v>5813.7111160140548</v>
      </c>
    </row>
    <row r="18" spans="2:16" x14ac:dyDescent="0.3">
      <c r="B18" t="s">
        <v>1659</v>
      </c>
      <c r="C18" t="s">
        <v>46</v>
      </c>
      <c r="D18" s="17"/>
      <c r="E18" s="17"/>
      <c r="F18" s="17"/>
      <c r="G18" s="17">
        <f>G11*('02 Assumptions'!G33+'09 Escenarios'!$E$12*'02 Assumptions'!$Q$34)</f>
        <v>10558.094099999998</v>
      </c>
      <c r="H18" s="17">
        <f>H11*('02 Assumptions'!H33+'09 Escenarios'!$E$12*'02 Assumptions'!$Q$34)</f>
        <v>11335.05783</v>
      </c>
      <c r="I18" s="17">
        <f>I11*('02 Assumptions'!I33+'09 Escenarios'!$E$12*'02 Assumptions'!$Q$34)</f>
        <v>11984.746087899999</v>
      </c>
      <c r="J18" s="17">
        <f>J11*('02 Assumptions'!J33+'09 Escenarios'!$E$12*'02 Assumptions'!$Q$34)</f>
        <v>12677.506071887999</v>
      </c>
      <c r="K18" s="17">
        <f>K11*('02 Assumptions'!K33+'09 Escenarios'!$E$12*'02 Assumptions'!$Q$34)</f>
        <v>13396.406802333733</v>
      </c>
      <c r="L18" s="17">
        <f>L11*('02 Assumptions'!L33+'09 Escenarios'!$E$12*'02 Assumptions'!$Q$34)</f>
        <v>14101.525388908009</v>
      </c>
      <c r="M18" s="17">
        <f>M11*('02 Assumptions'!M33+'09 Escenarios'!$E$12*'02 Assumptions'!$Q$34)</f>
        <v>14875.129791744719</v>
      </c>
      <c r="N18" s="17">
        <f>N11*('02 Assumptions'!N33+'09 Escenarios'!$E$12*'02 Assumptions'!$Q$34)</f>
        <v>15553.226431901292</v>
      </c>
      <c r="O18" s="17">
        <f>O11*('02 Assumptions'!O33+'09 Escenarios'!$E$12*'02 Assumptions'!$Q$34)</f>
        <v>16204.435191967161</v>
      </c>
      <c r="P18" s="17">
        <f>P11*('02 Assumptions'!P33+'09 Escenarios'!$E$12*'02 Assumptions'!$Q$34)</f>
        <v>16786.067306801146</v>
      </c>
    </row>
    <row r="19" spans="2:16" x14ac:dyDescent="0.3">
      <c r="B19" t="s">
        <v>1660</v>
      </c>
      <c r="C19" t="s">
        <v>46</v>
      </c>
      <c r="D19" s="17"/>
      <c r="E19" s="17"/>
      <c r="F19" s="17"/>
      <c r="G19" s="17">
        <f>G11*('02 Assumptions'!G35+'09 Escenarios'!$E$12*'02 Assumptions'!$Q$36)</f>
        <v>0</v>
      </c>
      <c r="H19" s="17">
        <f>H11*('02 Assumptions'!H35+'09 Escenarios'!$E$12*'02 Assumptions'!$Q$36)</f>
        <v>0</v>
      </c>
      <c r="I19" s="17">
        <f>I11*('02 Assumptions'!I35+'09 Escenarios'!$E$12*'02 Assumptions'!$Q$36)</f>
        <v>0</v>
      </c>
      <c r="J19" s="17">
        <f>J11*('02 Assumptions'!J35+'09 Escenarios'!$E$12*'02 Assumptions'!$Q$36)</f>
        <v>0</v>
      </c>
      <c r="K19" s="17">
        <f>K11*('02 Assumptions'!K35+'09 Escenarios'!$E$12*'02 Assumptions'!$Q$36)</f>
        <v>0</v>
      </c>
      <c r="L19" s="17">
        <f>L11*('02 Assumptions'!L35+'09 Escenarios'!$E$12*'02 Assumptions'!$Q$36)</f>
        <v>0</v>
      </c>
      <c r="M19" s="17">
        <f>M11*('02 Assumptions'!M35+'09 Escenarios'!$E$12*'02 Assumptions'!$Q$36)</f>
        <v>0</v>
      </c>
      <c r="N19" s="17">
        <f>N11*('02 Assumptions'!N35+'09 Escenarios'!$E$12*'02 Assumptions'!$Q$36)</f>
        <v>0</v>
      </c>
      <c r="O19" s="17">
        <f>O11*('02 Assumptions'!O35+'09 Escenarios'!$E$12*'02 Assumptions'!$Q$36)</f>
        <v>0</v>
      </c>
      <c r="P19" s="17">
        <f>P11*('02 Assumptions'!P35+'09 Escenarios'!$E$12*'02 Assumptions'!$Q$36)</f>
        <v>0</v>
      </c>
    </row>
    <row r="20" spans="2:16" x14ac:dyDescent="0.3">
      <c r="B20" t="s">
        <v>53</v>
      </c>
      <c r="C20" t="s">
        <v>46</v>
      </c>
      <c r="D20" s="17"/>
      <c r="E20" s="17"/>
      <c r="F20" s="17"/>
      <c r="G20" s="17">
        <f>'02 Assumptions'!G37</f>
        <v>430</v>
      </c>
      <c r="H20" s="17">
        <f>'02 Assumptions'!H37</f>
        <v>350</v>
      </c>
      <c r="I20" s="17">
        <f>'02 Assumptions'!I37</f>
        <v>280</v>
      </c>
      <c r="J20" s="17">
        <f>'02 Assumptions'!J37</f>
        <v>210</v>
      </c>
      <c r="K20" s="17">
        <f>'02 Assumptions'!K37</f>
        <v>140</v>
      </c>
      <c r="L20" s="17">
        <f>'02 Assumptions'!L37</f>
        <v>100</v>
      </c>
      <c r="M20" s="17">
        <f>'02 Assumptions'!M37</f>
        <v>0</v>
      </c>
      <c r="N20" s="17">
        <f>'02 Assumptions'!N37</f>
        <v>0</v>
      </c>
      <c r="O20" s="17">
        <f>'02 Assumptions'!O37</f>
        <v>0</v>
      </c>
      <c r="P20" s="17">
        <f>'02 Assumptions'!P37</f>
        <v>0</v>
      </c>
    </row>
    <row r="21" spans="2:16" x14ac:dyDescent="0.3">
      <c r="B21" t="s">
        <v>252</v>
      </c>
      <c r="C21" t="s">
        <v>46</v>
      </c>
      <c r="D21" s="17"/>
      <c r="E21" s="17"/>
      <c r="F21" s="17"/>
      <c r="G21" s="17">
        <f>'02 Assumptions'!G38</f>
        <v>100</v>
      </c>
      <c r="H21" s="17">
        <f>'02 Assumptions'!H38</f>
        <v>100</v>
      </c>
      <c r="I21" s="17">
        <f>'02 Assumptions'!I38</f>
        <v>100</v>
      </c>
      <c r="J21" s="17">
        <f>'02 Assumptions'!J38</f>
        <v>100</v>
      </c>
      <c r="K21" s="17">
        <f>'02 Assumptions'!K38</f>
        <v>100</v>
      </c>
      <c r="L21" s="17">
        <f>'02 Assumptions'!L38</f>
        <v>100</v>
      </c>
      <c r="M21" s="17">
        <f>'02 Assumptions'!M38</f>
        <v>100</v>
      </c>
      <c r="N21" s="17">
        <f>'02 Assumptions'!N38</f>
        <v>100</v>
      </c>
      <c r="O21" s="17">
        <f>'02 Assumptions'!O38</f>
        <v>100</v>
      </c>
      <c r="P21" s="17">
        <f>'02 Assumptions'!P38</f>
        <v>100</v>
      </c>
    </row>
    <row r="22" spans="2:16" x14ac:dyDescent="0.3">
      <c r="B22" t="s">
        <v>1661</v>
      </c>
      <c r="C22" t="s">
        <v>46</v>
      </c>
      <c r="D22" s="17"/>
      <c r="E22" s="17"/>
      <c r="F22" s="17"/>
      <c r="G22" s="17">
        <f t="shared" ref="G22:P22" si="4">SUM(G17:G21)</f>
        <v>14906.979199999998</v>
      </c>
      <c r="H22" s="17">
        <f t="shared" si="4"/>
        <v>15815.300614</v>
      </c>
      <c r="I22" s="17">
        <f t="shared" si="4"/>
        <v>16656.957477519998</v>
      </c>
      <c r="J22" s="17">
        <f t="shared" si="4"/>
        <v>17515.186811847998</v>
      </c>
      <c r="K22" s="17">
        <f t="shared" si="4"/>
        <v>18360.743500741282</v>
      </c>
      <c r="L22" s="17">
        <f t="shared" si="4"/>
        <v>19254.256257207406</v>
      </c>
      <c r="M22" s="17">
        <f t="shared" si="4"/>
        <v>20127.004012300207</v>
      </c>
      <c r="N22" s="17">
        <f t="shared" si="4"/>
        <v>21039.953635145153</v>
      </c>
      <c r="O22" s="17">
        <f t="shared" si="4"/>
        <v>21916.702990160666</v>
      </c>
      <c r="P22" s="17">
        <f t="shared" si="4"/>
        <v>22699.778422815201</v>
      </c>
    </row>
    <row r="23" spans="2:16" x14ac:dyDescent="0.3">
      <c r="B23" s="3" t="s">
        <v>291</v>
      </c>
      <c r="C23" s="3" t="s">
        <v>46</v>
      </c>
      <c r="D23" s="18"/>
      <c r="E23" s="18"/>
      <c r="F23" s="18"/>
      <c r="G23" s="18">
        <f t="shared" ref="G23:P23" si="5">G15-G22</f>
        <v>9578.8135000000038</v>
      </c>
      <c r="H23" s="18">
        <f t="shared" si="5"/>
        <v>11892.618526000002</v>
      </c>
      <c r="I23" s="18">
        <f t="shared" si="5"/>
        <v>14280.410330780003</v>
      </c>
      <c r="J23" s="18">
        <f t="shared" si="5"/>
        <v>15989.650663856002</v>
      </c>
      <c r="K23" s="18">
        <f t="shared" si="5"/>
        <v>17557.158795370906</v>
      </c>
      <c r="L23" s="18">
        <f t="shared" si="5"/>
        <v>18923.044185933792</v>
      </c>
      <c r="M23" s="18">
        <f t="shared" si="5"/>
        <v>20144.688838520869</v>
      </c>
      <c r="N23" s="18">
        <f t="shared" si="5"/>
        <v>21067.561826831523</v>
      </c>
      <c r="O23" s="18">
        <f t="shared" si="5"/>
        <v>21953.841066140682</v>
      </c>
      <c r="P23" s="18">
        <f t="shared" si="5"/>
        <v>22745.428188280588</v>
      </c>
    </row>
    <row r="24" spans="2:16" x14ac:dyDescent="0.3">
      <c r="B24" s="3" t="s">
        <v>1662</v>
      </c>
      <c r="C24" s="3" t="s">
        <v>46</v>
      </c>
      <c r="D24" s="18"/>
      <c r="E24" s="18"/>
      <c r="F24" s="18"/>
      <c r="G24" s="18">
        <f t="shared" ref="G24:P24" si="6">G23+G21</f>
        <v>9678.8135000000038</v>
      </c>
      <c r="H24" s="18">
        <f t="shared" si="6"/>
        <v>11992.618526000002</v>
      </c>
      <c r="I24" s="18">
        <f t="shared" si="6"/>
        <v>14380.410330780003</v>
      </c>
      <c r="J24" s="18">
        <f t="shared" si="6"/>
        <v>16089.650663856002</v>
      </c>
      <c r="K24" s="18">
        <f t="shared" si="6"/>
        <v>17657.158795370906</v>
      </c>
      <c r="L24" s="18">
        <f t="shared" si="6"/>
        <v>19023.044185933792</v>
      </c>
      <c r="M24" s="18">
        <f t="shared" si="6"/>
        <v>20244.688838520869</v>
      </c>
      <c r="N24" s="18">
        <f t="shared" si="6"/>
        <v>21167.561826831523</v>
      </c>
      <c r="O24" s="18">
        <f t="shared" si="6"/>
        <v>22053.841066140682</v>
      </c>
      <c r="P24" s="18">
        <f t="shared" si="6"/>
        <v>22845.428188280588</v>
      </c>
    </row>
    <row r="25" spans="2:16" x14ac:dyDescent="0.3">
      <c r="B25" t="s">
        <v>293</v>
      </c>
      <c r="C25" t="s">
        <v>23</v>
      </c>
      <c r="D25" s="19"/>
      <c r="E25" s="19"/>
      <c r="F25" s="19"/>
      <c r="G25" s="19">
        <f t="shared" ref="G25:P25" si="7">G24/G11</f>
        <v>0.21542914383572326</v>
      </c>
      <c r="H25" s="19">
        <f t="shared" si="7"/>
        <v>0.23805252772583343</v>
      </c>
      <c r="I25" s="19">
        <f t="shared" si="7"/>
        <v>0.25797694823415757</v>
      </c>
      <c r="J25" s="19">
        <f t="shared" si="7"/>
        <v>0.26652139784040096</v>
      </c>
      <c r="K25" s="19">
        <f t="shared" si="7"/>
        <v>0.27283673335487613</v>
      </c>
      <c r="L25" s="19">
        <f t="shared" si="7"/>
        <v>0.27654625656199405</v>
      </c>
      <c r="M25" s="19">
        <f t="shared" si="7"/>
        <v>0.27900000000000008</v>
      </c>
      <c r="N25" s="19">
        <f t="shared" si="7"/>
        <v>0.27900000000000008</v>
      </c>
      <c r="O25" s="19">
        <f t="shared" si="7"/>
        <v>0.27900000000000008</v>
      </c>
      <c r="P25" s="19">
        <f t="shared" si="7"/>
        <v>0.27900000000000008</v>
      </c>
    </row>
    <row r="26" spans="2:16" x14ac:dyDescent="0.3">
      <c r="B26" s="5" t="s">
        <v>253</v>
      </c>
      <c r="C26" s="5"/>
      <c r="D26" s="5"/>
      <c r="E26" s="5"/>
      <c r="F26" s="5"/>
      <c r="G26" s="5"/>
      <c r="H26" s="5"/>
      <c r="I26" s="5"/>
      <c r="J26" s="5"/>
      <c r="K26" s="5"/>
      <c r="L26" s="5"/>
      <c r="M26" s="5"/>
      <c r="N26" s="5"/>
      <c r="O26" s="5"/>
      <c r="P26" s="5"/>
    </row>
    <row r="27" spans="2:16" x14ac:dyDescent="0.3">
      <c r="B27" t="s">
        <v>295</v>
      </c>
      <c r="C27" t="s">
        <v>46</v>
      </c>
      <c r="D27" s="17"/>
      <c r="E27" s="17"/>
      <c r="F27" s="17"/>
      <c r="G27" s="17">
        <f t="shared" ref="G27:P27" si="8">F30</f>
        <v>5217</v>
      </c>
      <c r="H27" s="17">
        <f t="shared" si="8"/>
        <v>5854.7890666666663</v>
      </c>
      <c r="I27" s="17">
        <f t="shared" si="8"/>
        <v>6255.3828939851846</v>
      </c>
      <c r="J27" s="17">
        <f t="shared" si="8"/>
        <v>6549.9752926906995</v>
      </c>
      <c r="K27" s="17">
        <f t="shared" si="8"/>
        <v>6704.2672685229882</v>
      </c>
      <c r="L27" s="17">
        <f t="shared" si="8"/>
        <v>6940.2151930487962</v>
      </c>
      <c r="M27" s="17">
        <f t="shared" si="8"/>
        <v>7232.2899161858777</v>
      </c>
      <c r="N27" s="17">
        <f t="shared" si="8"/>
        <v>7560.0906123281675</v>
      </c>
      <c r="O27" s="17">
        <f t="shared" si="8"/>
        <v>7903.2544023562232</v>
      </c>
      <c r="P27" s="17">
        <f t="shared" si="8"/>
        <v>8254.869654988237</v>
      </c>
    </row>
    <row r="28" spans="2:16" x14ac:dyDescent="0.3">
      <c r="B28" t="s">
        <v>142</v>
      </c>
      <c r="C28" t="s">
        <v>46</v>
      </c>
      <c r="D28" s="17"/>
      <c r="E28" s="17"/>
      <c r="F28" s="17"/>
      <c r="G28" s="17">
        <f>G11*'02 Assumptions'!G41*'09 Escenarios'!$E$13</f>
        <v>2021.7626999999998</v>
      </c>
      <c r="H28" s="17">
        <f>H11*'02 Assumptions'!H41*'09 Escenarios'!$E$13</f>
        <v>1914.3653224</v>
      </c>
      <c r="I28" s="17">
        <f>I11*'02 Assumptions'!I41*'09 Escenarios'!$E$13</f>
        <v>1895.26217204</v>
      </c>
      <c r="J28" s="17">
        <f>J11*'02 Assumptions'!J41*'09 Escenarios'!$E$13</f>
        <v>1811.0722959839998</v>
      </c>
      <c r="K28" s="17">
        <f>K11*'02 Assumptions'!K41*'09 Escenarios'!$E$13</f>
        <v>1941.5082322222802</v>
      </c>
      <c r="L28" s="17">
        <f>L11*'02 Assumptions'!L41*'09 Escenarios'!$E$13</f>
        <v>2063.6378617914161</v>
      </c>
      <c r="M28" s="17">
        <f>M11*'02 Assumptions'!M41*'09 Escenarios'!$E$13</f>
        <v>2176.8482622065444</v>
      </c>
      <c r="N28" s="17">
        <f>N11*'02 Assumptions'!N41*'09 Escenarios'!$E$13</f>
        <v>2276.081916863604</v>
      </c>
      <c r="O28" s="17">
        <f>O11*'02 Assumptions'!O41*'09 Escenarios'!$E$13</f>
        <v>2371.3807598000726</v>
      </c>
      <c r="P28" s="17">
        <f>P11*'02 Assumptions'!P41*'09 Escenarios'!$E$13</f>
        <v>2456.497654653826</v>
      </c>
    </row>
    <row r="29" spans="2:16" x14ac:dyDescent="0.3">
      <c r="B29" t="s">
        <v>104</v>
      </c>
      <c r="C29" t="s">
        <v>46</v>
      </c>
      <c r="D29" s="17"/>
      <c r="E29" s="17"/>
      <c r="F29" s="17"/>
      <c r="G29" s="17">
        <f>(G27+G28/2)/'02 Assumptions'!$C$43</f>
        <v>1383.9736333333333</v>
      </c>
      <c r="H29" s="17">
        <f>(H27+H28/2)/'02 Assumptions'!$C$43</f>
        <v>1513.7714950814816</v>
      </c>
      <c r="I29" s="17">
        <f>(I27+I28/2)/'02 Assumptions'!$C$43</f>
        <v>1600.6697733344854</v>
      </c>
      <c r="J29" s="17">
        <f>(J27+J28/2)/'02 Assumptions'!$C$43</f>
        <v>1656.7803201517111</v>
      </c>
      <c r="K29" s="17">
        <f>(K27+K28/2)/'02 Assumptions'!$C$43</f>
        <v>1705.560307696473</v>
      </c>
      <c r="L29" s="17">
        <f>(L27+L28/2)/'02 Assumptions'!$C$43</f>
        <v>1771.5631386543344</v>
      </c>
      <c r="M29" s="17">
        <f>(M27+M28/2)/'02 Assumptions'!$C$43</f>
        <v>1849.0475660642555</v>
      </c>
      <c r="N29" s="17">
        <f>(N27+N28/2)/'02 Assumptions'!$C$43</f>
        <v>1932.9181268355487</v>
      </c>
      <c r="O29" s="17">
        <f>(O27+O28/2)/'02 Assumptions'!$C$43</f>
        <v>2019.7655071680576</v>
      </c>
      <c r="P29" s="17">
        <f>(P27+P28/2)/'02 Assumptions'!$C$43</f>
        <v>2107.3596627367001</v>
      </c>
    </row>
    <row r="30" spans="2:16" x14ac:dyDescent="0.3">
      <c r="B30" t="s">
        <v>297</v>
      </c>
      <c r="C30" t="s">
        <v>46</v>
      </c>
      <c r="D30" s="17"/>
      <c r="E30" s="17"/>
      <c r="F30" s="17">
        <f>'03 Historical'!F48</f>
        <v>5217</v>
      </c>
      <c r="G30" s="17">
        <f t="shared" ref="G30:P30" si="9">G27+G28-G29</f>
        <v>5854.7890666666663</v>
      </c>
      <c r="H30" s="17">
        <f t="shared" si="9"/>
        <v>6255.3828939851846</v>
      </c>
      <c r="I30" s="17">
        <f t="shared" si="9"/>
        <v>6549.9752926906995</v>
      </c>
      <c r="J30" s="17">
        <f t="shared" si="9"/>
        <v>6704.2672685229882</v>
      </c>
      <c r="K30" s="17">
        <f t="shared" si="9"/>
        <v>6940.2151930487962</v>
      </c>
      <c r="L30" s="17">
        <f t="shared" si="9"/>
        <v>7232.2899161858777</v>
      </c>
      <c r="M30" s="17">
        <f t="shared" si="9"/>
        <v>7560.0906123281675</v>
      </c>
      <c r="N30" s="17">
        <f t="shared" si="9"/>
        <v>7903.2544023562232</v>
      </c>
      <c r="O30" s="17">
        <f t="shared" si="9"/>
        <v>8254.869654988237</v>
      </c>
      <c r="P30" s="17">
        <f t="shared" si="9"/>
        <v>8604.007646905362</v>
      </c>
    </row>
    <row r="31" spans="2:16" x14ac:dyDescent="0.3">
      <c r="B31" t="s">
        <v>1663</v>
      </c>
      <c r="C31" t="s">
        <v>46</v>
      </c>
      <c r="D31" s="17"/>
      <c r="E31" s="17"/>
      <c r="F31" s="17"/>
      <c r="G31" s="17">
        <f t="shared" ref="G31:P31" si="10">G29+G20</f>
        <v>1813.9736333333333</v>
      </c>
      <c r="H31" s="17">
        <f t="shared" si="10"/>
        <v>1863.7714950814816</v>
      </c>
      <c r="I31" s="17">
        <f t="shared" si="10"/>
        <v>1880.6697733344854</v>
      </c>
      <c r="J31" s="17">
        <f t="shared" si="10"/>
        <v>1866.7803201517111</v>
      </c>
      <c r="K31" s="17">
        <f t="shared" si="10"/>
        <v>1845.560307696473</v>
      </c>
      <c r="L31" s="17">
        <f t="shared" si="10"/>
        <v>1871.5631386543344</v>
      </c>
      <c r="M31" s="17">
        <f t="shared" si="10"/>
        <v>1849.0475660642555</v>
      </c>
      <c r="N31" s="17">
        <f t="shared" si="10"/>
        <v>1932.9181268355487</v>
      </c>
      <c r="O31" s="17">
        <f t="shared" si="10"/>
        <v>2019.7655071680576</v>
      </c>
      <c r="P31" s="17">
        <f t="shared" si="10"/>
        <v>2107.3596627367001</v>
      </c>
    </row>
    <row r="32" spans="2:16" x14ac:dyDescent="0.3">
      <c r="B32" s="3" t="s">
        <v>1664</v>
      </c>
      <c r="C32" s="3" t="s">
        <v>46</v>
      </c>
      <c r="D32" s="18"/>
      <c r="E32" s="18"/>
      <c r="F32" s="18"/>
      <c r="G32" s="18">
        <f t="shared" ref="G32:P32" si="11">G24+G31</f>
        <v>11492.787133333337</v>
      </c>
      <c r="H32" s="18">
        <f t="shared" si="11"/>
        <v>13856.390021081483</v>
      </c>
      <c r="I32" s="18">
        <f t="shared" si="11"/>
        <v>16261.080104114488</v>
      </c>
      <c r="J32" s="18">
        <f t="shared" si="11"/>
        <v>17956.430984007715</v>
      </c>
      <c r="K32" s="18">
        <f t="shared" si="11"/>
        <v>19502.719103067378</v>
      </c>
      <c r="L32" s="18">
        <f t="shared" si="11"/>
        <v>20894.607324588127</v>
      </c>
      <c r="M32" s="18">
        <f t="shared" si="11"/>
        <v>22093.736404585125</v>
      </c>
      <c r="N32" s="18">
        <f t="shared" si="11"/>
        <v>23100.479953667073</v>
      </c>
      <c r="O32" s="18">
        <f t="shared" si="11"/>
        <v>24073.606573308738</v>
      </c>
      <c r="P32" s="18">
        <f t="shared" si="11"/>
        <v>24952.787851017289</v>
      </c>
    </row>
    <row r="33" spans="2:16" x14ac:dyDescent="0.3">
      <c r="B33" s="5" t="s">
        <v>1665</v>
      </c>
      <c r="C33" s="5"/>
      <c r="D33" s="5"/>
      <c r="E33" s="5"/>
      <c r="F33" s="5"/>
      <c r="G33" s="5"/>
      <c r="H33" s="5"/>
      <c r="I33" s="5"/>
      <c r="J33" s="5"/>
      <c r="K33" s="5"/>
      <c r="L33" s="5"/>
      <c r="M33" s="5"/>
      <c r="N33" s="5"/>
      <c r="O33" s="5"/>
      <c r="P33" s="5"/>
    </row>
    <row r="34" spans="2:16" x14ac:dyDescent="0.3">
      <c r="B34" t="s">
        <v>1666</v>
      </c>
      <c r="C34" t="s">
        <v>46</v>
      </c>
      <c r="D34" s="17"/>
      <c r="E34" s="17"/>
      <c r="F34" s="17"/>
      <c r="G34" s="17">
        <f>('02 Assumptions'!G47+'09 Escenarios'!$E$14)/365*G11</f>
        <v>4677.4418630136988</v>
      </c>
      <c r="H34" s="17">
        <f>('02 Assumptions'!H47+'09 Escenarios'!$E$14)/365*H11</f>
        <v>5244.8364997260278</v>
      </c>
      <c r="I34" s="17">
        <f>('02 Assumptions'!I47+'09 Escenarios'!$E$14)/365*I11</f>
        <v>5803.3813487123289</v>
      </c>
      <c r="J34" s="17">
        <f>('02 Assumptions'!J47+'09 Escenarios'!$E$14)/365*J11</f>
        <v>6284.9997486202737</v>
      </c>
      <c r="K34" s="17">
        <f>('02 Assumptions'!K47+'09 Escenarios'!$E$14)/365*K11</f>
        <v>6737.6541392188719</v>
      </c>
      <c r="L34" s="17">
        <f>('02 Assumptions'!L47+'09 Escenarios'!$E$14)/365*L11</f>
        <v>7161.4829906916721</v>
      </c>
      <c r="M34" s="17">
        <f>('02 Assumptions'!M47+'09 Escenarios'!$E$14)/365*M11</f>
        <v>7554.3592661049024</v>
      </c>
      <c r="N34" s="17">
        <f>('02 Assumptions'!N47+'09 Escenarios'!$E$14)/365*N11</f>
        <v>7898.7317662846526</v>
      </c>
      <c r="O34" s="17">
        <f>('02 Assumptions'!O47+'09 Escenarios'!$E$14)/365*O11</f>
        <v>8229.4492120915766</v>
      </c>
      <c r="P34" s="17">
        <f>('02 Assumptions'!P47+'09 Escenarios'!$E$14)/365*P11</f>
        <v>8524.8320435475252</v>
      </c>
    </row>
    <row r="35" spans="2:16" x14ac:dyDescent="0.3">
      <c r="B35" t="s">
        <v>302</v>
      </c>
      <c r="C35" t="s">
        <v>46</v>
      </c>
      <c r="D35" s="17"/>
      <c r="E35" s="17"/>
      <c r="F35" s="17"/>
      <c r="G35" s="17">
        <f>G11*'02 Assumptions'!G51</f>
        <v>9434.8925999999992</v>
      </c>
      <c r="H35" s="17">
        <f>H11*'02 Assumptions'!H51</f>
        <v>10075.606960000001</v>
      </c>
      <c r="I35" s="17">
        <f>I11*'02 Assumptions'!I51</f>
        <v>11148.601011999999</v>
      </c>
      <c r="J35" s="17">
        <f>J11*'02 Assumptions'!J51</f>
        <v>12073.81530656</v>
      </c>
      <c r="K35" s="17">
        <f>K11*'02 Assumptions'!K51</f>
        <v>12943.388214815202</v>
      </c>
      <c r="L35" s="17">
        <f>L11*'02 Assumptions'!L51</f>
        <v>13757.585745276107</v>
      </c>
      <c r="M35" s="17">
        <f>M11*'02 Assumptions'!M51</f>
        <v>14512.321748043629</v>
      </c>
      <c r="N35" s="17">
        <f>N11*'02 Assumptions'!N51</f>
        <v>15173.87944575736</v>
      </c>
      <c r="O35" s="17">
        <f>O11*'02 Assumptions'!O51</f>
        <v>15809.205065333817</v>
      </c>
      <c r="P35" s="17">
        <f>P11*'02 Assumptions'!P51</f>
        <v>16376.651031025509</v>
      </c>
    </row>
    <row r="36" spans="2:16" x14ac:dyDescent="0.3">
      <c r="B36" t="s">
        <v>85</v>
      </c>
      <c r="C36" t="s">
        <v>46</v>
      </c>
      <c r="D36" s="17"/>
      <c r="E36" s="17"/>
      <c r="F36" s="17"/>
      <c r="G36" s="17">
        <f>(G16+G28)*'02 Assumptions'!G49</f>
        <v>3010.1800199999993</v>
      </c>
      <c r="H36" s="17">
        <f>(H16+H28)*'02 Assumptions'!H49</f>
        <v>3294.3204516416004</v>
      </c>
      <c r="I36" s="17">
        <f>(I16+I28)*'02 Assumptions'!I49</f>
        <v>3577.9205227811594</v>
      </c>
      <c r="J36" s="17">
        <f>(J16+J28)*'02 Assumptions'!J49</f>
        <v>3842.4917213127196</v>
      </c>
      <c r="K36" s="17">
        <f>(K16+K28)*'02 Assumptions'!K49</f>
        <v>4119.2332993649379</v>
      </c>
      <c r="L36" s="17">
        <f>(L16+L28)*'02 Assumptions'!L49</f>
        <v>4378.3516634341204</v>
      </c>
      <c r="M36" s="17">
        <f>(M16+M28)*'02 Assumptions'!M49</f>
        <v>4618.5463963148841</v>
      </c>
      <c r="N36" s="17">
        <f>(N16+N28)*'02 Assumptions'!N49</f>
        <v>4829.0871336122782</v>
      </c>
      <c r="O36" s="17">
        <f>(O16+O28)*'02 Assumptions'!O49</f>
        <v>5031.2795120424871</v>
      </c>
      <c r="P36" s="17">
        <f>(P16+P28)*'02 Assumptions'!P49</f>
        <v>5211.8691906238673</v>
      </c>
    </row>
    <row r="37" spans="2:16" x14ac:dyDescent="0.3">
      <c r="B37" t="s">
        <v>303</v>
      </c>
      <c r="C37" t="s">
        <v>46</v>
      </c>
      <c r="D37" s="17"/>
      <c r="E37" s="17"/>
      <c r="F37" s="17"/>
      <c r="G37" s="17">
        <f>G11*'02 Assumptions'!G52</f>
        <v>1707.2662799999998</v>
      </c>
      <c r="H37" s="17">
        <f>H11*'02 Assumptions'!H52</f>
        <v>1914.3653224</v>
      </c>
      <c r="I37" s="17">
        <f>I11*'02 Assumptions'!I52</f>
        <v>2118.2341922799997</v>
      </c>
      <c r="J37" s="17">
        <f>J11*'02 Assumptions'!J52</f>
        <v>2294.0249082463997</v>
      </c>
      <c r="K37" s="17">
        <f>K11*'02 Assumptions'!K52</f>
        <v>2459.243760814888</v>
      </c>
      <c r="L37" s="17">
        <f>L11*'02 Assumptions'!L52</f>
        <v>2613.9412916024603</v>
      </c>
      <c r="M37" s="17">
        <f>M11*'02 Assumptions'!M52</f>
        <v>2757.3411321282892</v>
      </c>
      <c r="N37" s="17">
        <f>N11*'02 Assumptions'!N52</f>
        <v>2883.0370946938983</v>
      </c>
      <c r="O37" s="17">
        <f>O11*'02 Assumptions'!O52</f>
        <v>3003.748962413425</v>
      </c>
      <c r="P37" s="17">
        <f>P11*'02 Assumptions'!P52</f>
        <v>3111.5636958948462</v>
      </c>
    </row>
    <row r="38" spans="2:16" x14ac:dyDescent="0.3">
      <c r="B38" t="s">
        <v>87</v>
      </c>
      <c r="C38" t="s">
        <v>46</v>
      </c>
      <c r="D38" s="17"/>
      <c r="E38" s="17"/>
      <c r="F38" s="17"/>
      <c r="G38" s="17">
        <f>G11*'02 Assumptions'!G50</f>
        <v>314.49642</v>
      </c>
      <c r="H38" s="17">
        <f>H11*'02 Assumptions'!H50</f>
        <v>352.64624359999999</v>
      </c>
      <c r="I38" s="17">
        <f>I11*'02 Assumptions'!I50</f>
        <v>390.20103541999998</v>
      </c>
      <c r="J38" s="17">
        <f>J11*'02 Assumptions'!J50</f>
        <v>422.58353572959999</v>
      </c>
      <c r="K38" s="17">
        <f>K11*'02 Assumptions'!K50</f>
        <v>453.01858751853206</v>
      </c>
      <c r="L38" s="17">
        <f>L11*'02 Assumptions'!L50</f>
        <v>481.51550108466375</v>
      </c>
      <c r="M38" s="17">
        <f>M11*'02 Assumptions'!M50</f>
        <v>507.93126118152702</v>
      </c>
      <c r="N38" s="17">
        <f>N11*'02 Assumptions'!N50</f>
        <v>531.08578060150762</v>
      </c>
      <c r="O38" s="17">
        <f>O11*'02 Assumptions'!O50</f>
        <v>553.32217728668365</v>
      </c>
      <c r="P38" s="17">
        <f>P11*'02 Assumptions'!P50</f>
        <v>573.18278608589276</v>
      </c>
    </row>
    <row r="39" spans="2:16" x14ac:dyDescent="0.3">
      <c r="B39" t="s">
        <v>88</v>
      </c>
      <c r="C39" t="s">
        <v>46</v>
      </c>
      <c r="D39" s="17"/>
      <c r="E39" s="17"/>
      <c r="F39" s="17"/>
      <c r="G39" s="17">
        <f>G11*'02 Assumptions'!G53</f>
        <v>4358.0218199999999</v>
      </c>
      <c r="H39" s="17">
        <f>H11*'02 Assumptions'!H53</f>
        <v>4886.6693756000004</v>
      </c>
      <c r="I39" s="17">
        <f>I11*'02 Assumptions'!I53</f>
        <v>5407.0714908199998</v>
      </c>
      <c r="J39" s="17">
        <f>J11*'02 Assumptions'!J53</f>
        <v>5855.8004236815996</v>
      </c>
      <c r="K39" s="17">
        <f>K11*'02 Assumptions'!K53</f>
        <v>6277.5432841853726</v>
      </c>
      <c r="L39" s="17">
        <f>L11*'02 Assumptions'!L53</f>
        <v>6672.429086458912</v>
      </c>
      <c r="M39" s="17">
        <f>M11*'02 Assumptions'!M53</f>
        <v>7038.4760478011603</v>
      </c>
      <c r="N39" s="17">
        <f>N11*'02 Assumptions'!N53</f>
        <v>7359.3315311923197</v>
      </c>
      <c r="O39" s="17">
        <f>O11*'02 Assumptions'!O53</f>
        <v>7667.4644566869019</v>
      </c>
      <c r="P39" s="17">
        <f>P11*'02 Assumptions'!P53</f>
        <v>7942.6757500473714</v>
      </c>
    </row>
    <row r="40" spans="2:16" x14ac:dyDescent="0.3">
      <c r="B40" s="3" t="s">
        <v>1667</v>
      </c>
      <c r="C40" s="3" t="s">
        <v>46</v>
      </c>
      <c r="D40" s="18"/>
      <c r="E40" s="18"/>
      <c r="F40" s="18">
        <f>'04 Operating Model'!F50</f>
        <v>5776</v>
      </c>
      <c r="G40" s="18">
        <f t="shared" ref="G40:P40" si="12">G34+G35-G36-G37-G38-G39</f>
        <v>4722.369923013699</v>
      </c>
      <c r="H40" s="18">
        <f t="shared" si="12"/>
        <v>4872.4420664844274</v>
      </c>
      <c r="I40" s="18">
        <f t="shared" si="12"/>
        <v>5458.5551194111713</v>
      </c>
      <c r="J40" s="18">
        <f t="shared" si="12"/>
        <v>5943.914466209957</v>
      </c>
      <c r="K40" s="18">
        <f t="shared" si="12"/>
        <v>6372.0034221503429</v>
      </c>
      <c r="L40" s="18">
        <f t="shared" si="12"/>
        <v>6772.8311933876239</v>
      </c>
      <c r="M40" s="18">
        <f t="shared" si="12"/>
        <v>7144.3861767226726</v>
      </c>
      <c r="N40" s="18">
        <f t="shared" si="12"/>
        <v>7470.0696719420084</v>
      </c>
      <c r="O40" s="18">
        <f t="shared" si="12"/>
        <v>7782.8391689958944</v>
      </c>
      <c r="P40" s="18">
        <f t="shared" si="12"/>
        <v>8062.1916519210599</v>
      </c>
    </row>
    <row r="41" spans="2:16" x14ac:dyDescent="0.3">
      <c r="B41" t="s">
        <v>1668</v>
      </c>
      <c r="C41" t="s">
        <v>46</v>
      </c>
      <c r="D41" s="17"/>
      <c r="E41" s="17"/>
      <c r="F41" s="17"/>
      <c r="G41" s="17">
        <f t="shared" ref="G41:P41" si="13">G40-F40</f>
        <v>-1053.630076986301</v>
      </c>
      <c r="H41" s="17">
        <f t="shared" si="13"/>
        <v>150.07214347072841</v>
      </c>
      <c r="I41" s="17">
        <f t="shared" si="13"/>
        <v>586.11305292674388</v>
      </c>
      <c r="J41" s="17">
        <f t="shared" si="13"/>
        <v>485.35934679878574</v>
      </c>
      <c r="K41" s="17">
        <f t="shared" si="13"/>
        <v>428.08895594038586</v>
      </c>
      <c r="L41" s="17">
        <f t="shared" si="13"/>
        <v>400.82777123728101</v>
      </c>
      <c r="M41" s="17">
        <f t="shared" si="13"/>
        <v>371.55498333504875</v>
      </c>
      <c r="N41" s="17">
        <f t="shared" si="13"/>
        <v>325.68349521933578</v>
      </c>
      <c r="O41" s="17">
        <f t="shared" si="13"/>
        <v>312.76949705388597</v>
      </c>
      <c r="P41" s="17">
        <f t="shared" si="13"/>
        <v>279.35248292516553</v>
      </c>
    </row>
    <row r="42" spans="2:16" x14ac:dyDescent="0.3">
      <c r="B42" s="5" t="s">
        <v>381</v>
      </c>
      <c r="C42" s="5"/>
      <c r="D42" s="5"/>
      <c r="E42" s="5"/>
      <c r="F42" s="5"/>
      <c r="G42" s="5"/>
      <c r="H42" s="5"/>
      <c r="I42" s="5"/>
      <c r="J42" s="5"/>
      <c r="K42" s="5"/>
      <c r="L42" s="5"/>
      <c r="M42" s="5"/>
      <c r="N42" s="5"/>
      <c r="O42" s="5"/>
      <c r="P42" s="5"/>
    </row>
    <row r="43" spans="2:16" x14ac:dyDescent="0.3">
      <c r="B43" t="s">
        <v>309</v>
      </c>
      <c r="C43" t="s">
        <v>23</v>
      </c>
      <c r="D43" s="19"/>
      <c r="E43" s="19"/>
      <c r="F43" s="19"/>
      <c r="G43" s="19">
        <f>'02 Assumptions'!G56+'09 Escenarios'!$E$15</f>
        <v>0.14000000000000001</v>
      </c>
      <c r="H43" s="19">
        <f>'02 Assumptions'!H56+'09 Escenarios'!$E$15</f>
        <v>0.14499999999999999</v>
      </c>
      <c r="I43" s="19">
        <f>'02 Assumptions'!I56+'09 Escenarios'!$E$15</f>
        <v>0.15</v>
      </c>
      <c r="J43" s="19">
        <f>'02 Assumptions'!J56+'09 Escenarios'!$E$15</f>
        <v>0.155</v>
      </c>
      <c r="K43" s="19">
        <f>'02 Assumptions'!K56+'09 Escenarios'!$E$15</f>
        <v>0.16</v>
      </c>
      <c r="L43" s="19">
        <f>'02 Assumptions'!L56+'09 Escenarios'!$E$15</f>
        <v>0.16500000000000001</v>
      </c>
      <c r="M43" s="19">
        <f>'02 Assumptions'!M56+'09 Escenarios'!$E$15</f>
        <v>0.17</v>
      </c>
      <c r="N43" s="19">
        <f>'02 Assumptions'!N56+'09 Escenarios'!$E$15</f>
        <v>0.17</v>
      </c>
      <c r="O43" s="19">
        <f>'02 Assumptions'!O56+'09 Escenarios'!$E$15</f>
        <v>0.17</v>
      </c>
      <c r="P43" s="19">
        <f>'02 Assumptions'!P56+'09 Escenarios'!$E$15</f>
        <v>0.17</v>
      </c>
    </row>
    <row r="44" spans="2:16" x14ac:dyDescent="0.3">
      <c r="B44" t="s">
        <v>375</v>
      </c>
      <c r="C44" t="s">
        <v>46</v>
      </c>
      <c r="D44" s="17"/>
      <c r="E44" s="17"/>
      <c r="F44" s="17"/>
      <c r="G44" s="17">
        <f t="shared" ref="G44:P44" si="14">-G24*G43</f>
        <v>-1355.0338900000006</v>
      </c>
      <c r="H44" s="17">
        <f t="shared" si="14"/>
        <v>-1738.9296862700003</v>
      </c>
      <c r="I44" s="17">
        <f t="shared" si="14"/>
        <v>-2157.0615496170003</v>
      </c>
      <c r="J44" s="17">
        <f t="shared" si="14"/>
        <v>-2493.8958528976805</v>
      </c>
      <c r="K44" s="17">
        <f t="shared" si="14"/>
        <v>-2825.1454072593451</v>
      </c>
      <c r="L44" s="17">
        <f t="shared" si="14"/>
        <v>-3138.8022906790757</v>
      </c>
      <c r="M44" s="17">
        <f t="shared" si="14"/>
        <v>-3441.5971025485483</v>
      </c>
      <c r="N44" s="17">
        <f t="shared" si="14"/>
        <v>-3598.4855105613592</v>
      </c>
      <c r="O44" s="17">
        <f t="shared" si="14"/>
        <v>-3749.1529812439162</v>
      </c>
      <c r="P44" s="17">
        <f t="shared" si="14"/>
        <v>-3883.7227920077003</v>
      </c>
    </row>
    <row r="45" spans="2:16" x14ac:dyDescent="0.3">
      <c r="B45" s="3" t="s">
        <v>376</v>
      </c>
      <c r="C45" s="3" t="s">
        <v>46</v>
      </c>
      <c r="D45" s="18"/>
      <c r="E45" s="18"/>
      <c r="F45" s="18"/>
      <c r="G45" s="18">
        <f t="shared" ref="G45:P45" si="15">G24+G44</f>
        <v>8323.7796100000032</v>
      </c>
      <c r="H45" s="18">
        <f t="shared" si="15"/>
        <v>10253.688839730003</v>
      </c>
      <c r="I45" s="18">
        <f t="shared" si="15"/>
        <v>12223.348781163004</v>
      </c>
      <c r="J45" s="18">
        <f t="shared" si="15"/>
        <v>13595.754810958322</v>
      </c>
      <c r="K45" s="18">
        <f t="shared" si="15"/>
        <v>14832.013388111562</v>
      </c>
      <c r="L45" s="18">
        <f t="shared" si="15"/>
        <v>15884.241895254716</v>
      </c>
      <c r="M45" s="18">
        <f t="shared" si="15"/>
        <v>16803.091735972321</v>
      </c>
      <c r="N45" s="18">
        <f t="shared" si="15"/>
        <v>17569.076316270162</v>
      </c>
      <c r="O45" s="18">
        <f t="shared" si="15"/>
        <v>18304.688084896767</v>
      </c>
      <c r="P45" s="18">
        <f t="shared" si="15"/>
        <v>18961.70539627289</v>
      </c>
    </row>
    <row r="46" spans="2:16" x14ac:dyDescent="0.3">
      <c r="B46" t="s">
        <v>377</v>
      </c>
      <c r="C46" t="s">
        <v>46</v>
      </c>
      <c r="D46" s="17"/>
      <c r="E46" s="17"/>
      <c r="F46" s="17"/>
      <c r="G46" s="17">
        <f t="shared" ref="G46:P46" si="16">G31</f>
        <v>1813.9736333333333</v>
      </c>
      <c r="H46" s="17">
        <f t="shared" si="16"/>
        <v>1863.7714950814816</v>
      </c>
      <c r="I46" s="17">
        <f t="shared" si="16"/>
        <v>1880.6697733344854</v>
      </c>
      <c r="J46" s="17">
        <f t="shared" si="16"/>
        <v>1866.7803201517111</v>
      </c>
      <c r="K46" s="17">
        <f t="shared" si="16"/>
        <v>1845.560307696473</v>
      </c>
      <c r="L46" s="17">
        <f t="shared" si="16"/>
        <v>1871.5631386543344</v>
      </c>
      <c r="M46" s="17">
        <f t="shared" si="16"/>
        <v>1849.0475660642555</v>
      </c>
      <c r="N46" s="17">
        <f t="shared" si="16"/>
        <v>1932.9181268355487</v>
      </c>
      <c r="O46" s="17">
        <f t="shared" si="16"/>
        <v>2019.7655071680576</v>
      </c>
      <c r="P46" s="17">
        <f t="shared" si="16"/>
        <v>2107.3596627367001</v>
      </c>
    </row>
    <row r="47" spans="2:16" x14ac:dyDescent="0.3">
      <c r="B47" t="s">
        <v>378</v>
      </c>
      <c r="C47" t="s">
        <v>46</v>
      </c>
      <c r="D47" s="17"/>
      <c r="E47" s="17"/>
      <c r="F47" s="17"/>
      <c r="G47" s="17">
        <f t="shared" ref="G47:P47" si="17">-G28</f>
        <v>-2021.7626999999998</v>
      </c>
      <c r="H47" s="17">
        <f t="shared" si="17"/>
        <v>-1914.3653224</v>
      </c>
      <c r="I47" s="17">
        <f t="shared" si="17"/>
        <v>-1895.26217204</v>
      </c>
      <c r="J47" s="17">
        <f t="shared" si="17"/>
        <v>-1811.0722959839998</v>
      </c>
      <c r="K47" s="17">
        <f t="shared" si="17"/>
        <v>-1941.5082322222802</v>
      </c>
      <c r="L47" s="17">
        <f t="shared" si="17"/>
        <v>-2063.6378617914161</v>
      </c>
      <c r="M47" s="17">
        <f t="shared" si="17"/>
        <v>-2176.8482622065444</v>
      </c>
      <c r="N47" s="17">
        <f t="shared" si="17"/>
        <v>-2276.081916863604</v>
      </c>
      <c r="O47" s="17">
        <f t="shared" si="17"/>
        <v>-2371.3807598000726</v>
      </c>
      <c r="P47" s="17">
        <f t="shared" si="17"/>
        <v>-2456.497654653826</v>
      </c>
    </row>
    <row r="48" spans="2:16" x14ac:dyDescent="0.3">
      <c r="B48" t="s">
        <v>1669</v>
      </c>
      <c r="C48" t="s">
        <v>46</v>
      </c>
      <c r="D48" s="17"/>
      <c r="E48" s="17"/>
      <c r="F48" s="17"/>
      <c r="G48" s="17">
        <f t="shared" ref="G48:P48" si="18">-G41</f>
        <v>1053.630076986301</v>
      </c>
      <c r="H48" s="17">
        <f t="shared" si="18"/>
        <v>-150.07214347072841</v>
      </c>
      <c r="I48" s="17">
        <f t="shared" si="18"/>
        <v>-586.11305292674388</v>
      </c>
      <c r="J48" s="17">
        <f t="shared" si="18"/>
        <v>-485.35934679878574</v>
      </c>
      <c r="K48" s="17">
        <f t="shared" si="18"/>
        <v>-428.08895594038586</v>
      </c>
      <c r="L48" s="17">
        <f t="shared" si="18"/>
        <v>-400.82777123728101</v>
      </c>
      <c r="M48" s="17">
        <f t="shared" si="18"/>
        <v>-371.55498333504875</v>
      </c>
      <c r="N48" s="17">
        <f t="shared" si="18"/>
        <v>-325.68349521933578</v>
      </c>
      <c r="O48" s="17">
        <f t="shared" si="18"/>
        <v>-312.76949705388597</v>
      </c>
      <c r="P48" s="17">
        <f t="shared" si="18"/>
        <v>-279.35248292516553</v>
      </c>
    </row>
    <row r="49" spans="2:16" x14ac:dyDescent="0.3">
      <c r="B49" t="s">
        <v>1670</v>
      </c>
      <c r="C49" t="s">
        <v>46</v>
      </c>
      <c r="D49" s="17"/>
      <c r="E49" s="17"/>
      <c r="F49" s="17"/>
      <c r="G49" s="17">
        <f t="shared" ref="G49:P49" si="19">-G21</f>
        <v>-100</v>
      </c>
      <c r="H49" s="17">
        <f t="shared" si="19"/>
        <v>-100</v>
      </c>
      <c r="I49" s="17">
        <f t="shared" si="19"/>
        <v>-100</v>
      </c>
      <c r="J49" s="17">
        <f t="shared" si="19"/>
        <v>-100</v>
      </c>
      <c r="K49" s="17">
        <f t="shared" si="19"/>
        <v>-100</v>
      </c>
      <c r="L49" s="17">
        <f t="shared" si="19"/>
        <v>-100</v>
      </c>
      <c r="M49" s="17">
        <f t="shared" si="19"/>
        <v>-100</v>
      </c>
      <c r="N49" s="17">
        <f t="shared" si="19"/>
        <v>-100</v>
      </c>
      <c r="O49" s="17">
        <f t="shared" si="19"/>
        <v>-100</v>
      </c>
      <c r="P49" s="17">
        <f t="shared" si="19"/>
        <v>-100</v>
      </c>
    </row>
    <row r="50" spans="2:16" x14ac:dyDescent="0.3">
      <c r="B50" s="75" t="s">
        <v>381</v>
      </c>
      <c r="C50" s="75" t="s">
        <v>46</v>
      </c>
      <c r="D50" s="105"/>
      <c r="E50" s="105"/>
      <c r="F50" s="105"/>
      <c r="G50" s="105">
        <f t="shared" ref="G50:P50" si="20">SUM(G45:G49)</f>
        <v>9069.620620319638</v>
      </c>
      <c r="H50" s="105">
        <f t="shared" si="20"/>
        <v>9953.0228689407541</v>
      </c>
      <c r="I50" s="105">
        <f t="shared" si="20"/>
        <v>11522.643329530743</v>
      </c>
      <c r="J50" s="105">
        <f t="shared" si="20"/>
        <v>13066.103488327248</v>
      </c>
      <c r="K50" s="105">
        <f t="shared" si="20"/>
        <v>14207.976507645368</v>
      </c>
      <c r="L50" s="105">
        <f t="shared" si="20"/>
        <v>15191.339400880355</v>
      </c>
      <c r="M50" s="105">
        <f t="shared" si="20"/>
        <v>16003.736056494981</v>
      </c>
      <c r="N50" s="105">
        <f t="shared" si="20"/>
        <v>16800.229031022773</v>
      </c>
      <c r="O50" s="105">
        <f t="shared" si="20"/>
        <v>17540.303335210865</v>
      </c>
      <c r="P50" s="105">
        <f t="shared" si="20"/>
        <v>18233.214921430597</v>
      </c>
    </row>
    <row r="51" spans="2:16" x14ac:dyDescent="0.3">
      <c r="B51" s="5" t="s">
        <v>1684</v>
      </c>
      <c r="C51" s="5"/>
      <c r="D51" s="5"/>
      <c r="E51" s="5"/>
      <c r="F51" s="5"/>
      <c r="G51" s="5"/>
      <c r="H51" s="5"/>
      <c r="I51" s="5"/>
      <c r="J51" s="5"/>
      <c r="K51" s="5"/>
      <c r="L51" s="5"/>
      <c r="M51" s="5"/>
      <c r="N51" s="5"/>
      <c r="O51" s="5"/>
      <c r="P51" s="5"/>
    </row>
    <row r="52" spans="2:16" x14ac:dyDescent="0.3">
      <c r="B52" t="s">
        <v>1671</v>
      </c>
      <c r="C52" t="s">
        <v>23</v>
      </c>
      <c r="D52" s="19"/>
      <c r="E52" s="19"/>
      <c r="F52" s="19"/>
      <c r="G52" s="19">
        <f>'07 WACC'!$C$36+'09 Escenarios'!$E$17</f>
        <v>0.11540544272914492</v>
      </c>
      <c r="H52" s="19">
        <f>'07 WACC'!$C$36+'09 Escenarios'!$E$17</f>
        <v>0.11540544272914492</v>
      </c>
      <c r="I52" s="19">
        <f>'07 WACC'!$C$36+'09 Escenarios'!$E$17</f>
        <v>0.11540544272914492</v>
      </c>
      <c r="J52" s="19">
        <f>'07 WACC'!$C$36+'09 Escenarios'!$E$17</f>
        <v>0.11540544272914492</v>
      </c>
      <c r="K52" s="19">
        <f>'07 WACC'!$C$36+'09 Escenarios'!$E$17</f>
        <v>0.11540544272914492</v>
      </c>
      <c r="L52" s="19">
        <f>'07 WACC'!$C$36+'09 Escenarios'!$E$17</f>
        <v>0.11540544272914492</v>
      </c>
      <c r="M52" s="19">
        <f>'07 WACC'!$C$36+'09 Escenarios'!$E$17</f>
        <v>0.11540544272914492</v>
      </c>
      <c r="N52" s="19">
        <f>'07 WACC'!$C$36+'09 Escenarios'!$E$17</f>
        <v>0.11540544272914492</v>
      </c>
      <c r="O52" s="19">
        <f>'07 WACC'!$C$36+'09 Escenarios'!$E$17</f>
        <v>0.11540544272914492</v>
      </c>
      <c r="P52" s="19">
        <f>'07 WACC'!$C$36+'09 Escenarios'!$E$17</f>
        <v>0.11540544272914492</v>
      </c>
    </row>
    <row r="53" spans="2:16" x14ac:dyDescent="0.3">
      <c r="B53" t="s">
        <v>353</v>
      </c>
      <c r="C53" t="s">
        <v>23</v>
      </c>
      <c r="D53" s="19"/>
      <c r="E53" s="19"/>
      <c r="F53" s="19"/>
      <c r="G53" s="19">
        <f>'02 Assumptions'!$C$62+'09 Escenarios'!$E$16</f>
        <v>0.03</v>
      </c>
      <c r="H53" s="19">
        <f>'02 Assumptions'!$C$62+'09 Escenarios'!$E$16</f>
        <v>0.03</v>
      </c>
      <c r="I53" s="19">
        <f>'02 Assumptions'!$C$62+'09 Escenarios'!$E$16</f>
        <v>0.03</v>
      </c>
      <c r="J53" s="19">
        <f>'02 Assumptions'!$C$62+'09 Escenarios'!$E$16</f>
        <v>0.03</v>
      </c>
      <c r="K53" s="19">
        <f>'02 Assumptions'!$C$62+'09 Escenarios'!$E$16</f>
        <v>0.03</v>
      </c>
      <c r="L53" s="19">
        <f>'02 Assumptions'!$C$62+'09 Escenarios'!$E$16</f>
        <v>0.03</v>
      </c>
      <c r="M53" s="19">
        <f>'02 Assumptions'!$C$62+'09 Escenarios'!$E$16</f>
        <v>0.03</v>
      </c>
      <c r="N53" s="19">
        <f>'02 Assumptions'!$C$62+'09 Escenarios'!$E$16</f>
        <v>0.03</v>
      </c>
      <c r="O53" s="19">
        <f>'02 Assumptions'!$C$62+'09 Escenarios'!$E$16</f>
        <v>0.03</v>
      </c>
      <c r="P53" s="19">
        <f>'02 Assumptions'!$C$62+'09 Escenarios'!$E$16</f>
        <v>0.03</v>
      </c>
    </row>
    <row r="54" spans="2:16" x14ac:dyDescent="0.3">
      <c r="B54" t="s">
        <v>389</v>
      </c>
      <c r="C54" t="s">
        <v>23</v>
      </c>
      <c r="D54" s="19"/>
      <c r="E54" s="19"/>
      <c r="F54" s="19"/>
      <c r="G54" s="19">
        <f>'02 Assumptions'!$C$66</f>
        <v>0.3</v>
      </c>
      <c r="H54" s="19">
        <f>'02 Assumptions'!$C$66</f>
        <v>0.3</v>
      </c>
      <c r="I54" s="19">
        <f>'02 Assumptions'!$C$66</f>
        <v>0.3</v>
      </c>
      <c r="J54" s="19">
        <f>'02 Assumptions'!$C$66</f>
        <v>0.3</v>
      </c>
      <c r="K54" s="19">
        <f>'02 Assumptions'!$C$66</f>
        <v>0.3</v>
      </c>
      <c r="L54" s="19">
        <f>'02 Assumptions'!$C$66</f>
        <v>0.3</v>
      </c>
      <c r="M54" s="19">
        <f>'02 Assumptions'!$C$66</f>
        <v>0.3</v>
      </c>
      <c r="N54" s="19">
        <f>'02 Assumptions'!$C$66</f>
        <v>0.3</v>
      </c>
      <c r="O54" s="19">
        <f>'02 Assumptions'!$C$66</f>
        <v>0.3</v>
      </c>
      <c r="P54" s="19">
        <f>'02 Assumptions'!$C$66</f>
        <v>0.3</v>
      </c>
    </row>
    <row r="55" spans="2:16" x14ac:dyDescent="0.3">
      <c r="B55" t="s">
        <v>1672</v>
      </c>
      <c r="C55" t="s">
        <v>238</v>
      </c>
      <c r="D55" s="26"/>
      <c r="E55" s="26"/>
      <c r="F55" s="26"/>
      <c r="G55" s="26">
        <f>COLUMNS($G55:G55)-IF('02 Assumptions'!$C$12=2,0.5,0)</f>
        <v>0.5</v>
      </c>
      <c r="H55" s="26">
        <f>COLUMNS($G55:H55)-IF('02 Assumptions'!$C$12=2,0.5,0)</f>
        <v>1.5</v>
      </c>
      <c r="I55" s="26">
        <f>COLUMNS($G55:I55)-IF('02 Assumptions'!$C$12=2,0.5,0)</f>
        <v>2.5</v>
      </c>
      <c r="J55" s="26">
        <f>COLUMNS($G55:J55)-IF('02 Assumptions'!$C$12=2,0.5,0)</f>
        <v>3.5</v>
      </c>
      <c r="K55" s="26">
        <f>COLUMNS($G55:K55)-IF('02 Assumptions'!$C$12=2,0.5,0)</f>
        <v>4.5</v>
      </c>
      <c r="L55" s="26">
        <f>COLUMNS($G55:L55)-IF('02 Assumptions'!$C$12=2,0.5,0)</f>
        <v>5.5</v>
      </c>
      <c r="M55" s="26">
        <f>COLUMNS($G55:M55)-IF('02 Assumptions'!$C$12=2,0.5,0)</f>
        <v>6.5</v>
      </c>
      <c r="N55" s="26">
        <f>COLUMNS($G55:N55)-IF('02 Assumptions'!$C$12=2,0.5,0)</f>
        <v>7.5</v>
      </c>
      <c r="O55" s="26">
        <f>COLUMNS($G55:O55)-IF('02 Assumptions'!$C$12=2,0.5,0)</f>
        <v>8.5</v>
      </c>
      <c r="P55" s="26">
        <f>COLUMNS($G55:P55)-IF('02 Assumptions'!$C$12=2,0.5,0)</f>
        <v>9.5</v>
      </c>
    </row>
    <row r="56" spans="2:16" x14ac:dyDescent="0.3">
      <c r="B56" t="s">
        <v>1673</v>
      </c>
      <c r="C56" t="s">
        <v>145</v>
      </c>
      <c r="D56" s="44"/>
      <c r="E56" s="44"/>
      <c r="F56" s="44"/>
      <c r="G56" s="44">
        <f t="shared" ref="G56:P56" si="21">1/(1+G52)^G55</f>
        <v>0.94685531277327839</v>
      </c>
      <c r="H56" s="44">
        <f t="shared" si="21"/>
        <v>0.84888891205025652</v>
      </c>
      <c r="I56" s="44">
        <f t="shared" si="21"/>
        <v>0.76105860661143743</v>
      </c>
      <c r="J56" s="44">
        <f t="shared" si="21"/>
        <v>0.68231566518924203</v>
      </c>
      <c r="K56" s="44">
        <f t="shared" si="21"/>
        <v>0.6117198635141764</v>
      </c>
      <c r="L56" s="44">
        <f t="shared" si="21"/>
        <v>0.54842825763646652</v>
      </c>
      <c r="M56" s="44">
        <f t="shared" si="21"/>
        <v>0.49168511881615579</v>
      </c>
      <c r="N56" s="44">
        <f t="shared" si="21"/>
        <v>0.44081290979996796</v>
      </c>
      <c r="O56" s="44">
        <f t="shared" si="21"/>
        <v>0.39520419473783308</v>
      </c>
      <c r="P56" s="44">
        <f t="shared" si="21"/>
        <v>0.35431438614003691</v>
      </c>
    </row>
    <row r="57" spans="2:16" x14ac:dyDescent="0.3">
      <c r="B57" t="s">
        <v>1674</v>
      </c>
      <c r="C57" t="s">
        <v>46</v>
      </c>
      <c r="D57" s="17"/>
      <c r="E57" s="17"/>
      <c r="F57" s="17"/>
      <c r="G57" s="17">
        <f t="shared" ref="G57:P57" si="22">G50*G56</f>
        <v>8587.6184691877261</v>
      </c>
      <c r="H57" s="17">
        <f t="shared" si="22"/>
        <v>8449.0107548264405</v>
      </c>
      <c r="I57" s="17">
        <f t="shared" si="22"/>
        <v>8769.4068768532416</v>
      </c>
      <c r="J57" s="17">
        <f t="shared" si="22"/>
        <v>8915.2070930694808</v>
      </c>
      <c r="K57" s="17">
        <f t="shared" si="22"/>
        <v>8691.3014500694499</v>
      </c>
      <c r="L57" s="17">
        <f t="shared" si="22"/>
        <v>8331.3597987890171</v>
      </c>
      <c r="M57" s="17">
        <f t="shared" si="22"/>
        <v>7868.7988644401312</v>
      </c>
      <c r="N57" s="17">
        <f t="shared" si="22"/>
        <v>7405.7578444710443</v>
      </c>
      <c r="O57" s="17">
        <f t="shared" si="22"/>
        <v>6932.0014550493379</v>
      </c>
      <c r="P57" s="17">
        <f t="shared" si="22"/>
        <v>6460.2903522460438</v>
      </c>
    </row>
    <row r="59" spans="2:16" x14ac:dyDescent="0.3">
      <c r="B59" t="s">
        <v>1689</v>
      </c>
      <c r="C59" t="s">
        <v>46</v>
      </c>
      <c r="D59" s="17"/>
      <c r="E59" s="17"/>
      <c r="F59" s="17">
        <f>SUM(G57:P57)</f>
        <v>80410.752959001911</v>
      </c>
      <c r="G59" s="17"/>
      <c r="H59" s="17"/>
      <c r="I59" s="17"/>
      <c r="J59" s="17"/>
      <c r="K59" s="17"/>
      <c r="L59" s="17"/>
      <c r="M59" s="17"/>
      <c r="N59" s="17"/>
      <c r="O59" s="17"/>
      <c r="P59" s="17"/>
    </row>
    <row r="60" spans="2:16" x14ac:dyDescent="0.3">
      <c r="B60" t="s">
        <v>1675</v>
      </c>
      <c r="C60" t="s">
        <v>23</v>
      </c>
      <c r="D60" s="19"/>
      <c r="E60" s="19"/>
      <c r="F60" s="19">
        <f>P53/P54</f>
        <v>0.1</v>
      </c>
      <c r="G60" s="19"/>
      <c r="H60" s="19"/>
      <c r="I60" s="19"/>
      <c r="J60" s="19"/>
      <c r="K60" s="19"/>
      <c r="L60" s="19"/>
      <c r="M60" s="19"/>
      <c r="N60" s="19"/>
      <c r="O60" s="19"/>
      <c r="P60" s="19"/>
    </row>
    <row r="61" spans="2:16" x14ac:dyDescent="0.3">
      <c r="B61" t="s">
        <v>1676</v>
      </c>
      <c r="C61" t="s">
        <v>46</v>
      </c>
      <c r="D61" s="17"/>
      <c r="E61" s="17"/>
      <c r="F61" s="17">
        <f>P45*(1+P53)</f>
        <v>19530.556558161075</v>
      </c>
      <c r="G61" s="17"/>
      <c r="H61" s="17"/>
      <c r="I61" s="17"/>
      <c r="J61" s="17"/>
      <c r="K61" s="17"/>
      <c r="L61" s="17"/>
      <c r="M61" s="17"/>
      <c r="N61" s="17"/>
      <c r="O61" s="17"/>
      <c r="P61" s="17"/>
    </row>
    <row r="62" spans="2:16" x14ac:dyDescent="0.3">
      <c r="B62" t="s">
        <v>1677</v>
      </c>
      <c r="C62" t="s">
        <v>46</v>
      </c>
      <c r="D62" s="17"/>
      <c r="E62" s="17"/>
      <c r="F62" s="17">
        <f>F61*(1-F60)</f>
        <v>17577.500902344967</v>
      </c>
      <c r="G62" s="17"/>
      <c r="H62" s="17"/>
      <c r="I62" s="17"/>
      <c r="J62" s="17"/>
      <c r="K62" s="17"/>
      <c r="L62" s="17"/>
      <c r="M62" s="17"/>
      <c r="N62" s="17"/>
      <c r="O62" s="17"/>
      <c r="P62" s="17"/>
    </row>
    <row r="63" spans="2:16" x14ac:dyDescent="0.3">
      <c r="B63" t="s">
        <v>1678</v>
      </c>
      <c r="C63" t="s">
        <v>46</v>
      </c>
      <c r="D63" s="17"/>
      <c r="E63" s="17"/>
      <c r="F63" s="17">
        <f>IF(P52&lt;=P53,"FALLO: WACC&lt;=g",F62/(P52-P53))</f>
        <v>205812.42062160262</v>
      </c>
      <c r="G63" s="17"/>
      <c r="H63" s="17"/>
      <c r="I63" s="17"/>
      <c r="J63" s="17"/>
      <c r="K63" s="17"/>
      <c r="L63" s="17"/>
      <c r="M63" s="17"/>
      <c r="N63" s="17"/>
      <c r="O63" s="17"/>
      <c r="P63" s="17"/>
    </row>
    <row r="64" spans="2:16" x14ac:dyDescent="0.3">
      <c r="B64" t="s">
        <v>1679</v>
      </c>
      <c r="C64" t="s">
        <v>145</v>
      </c>
      <c r="D64" s="44"/>
      <c r="E64" s="44"/>
      <c r="F64" s="44">
        <f>1/(1+P52)^'02 Assumptions'!$C$11</f>
        <v>0.33548445890869688</v>
      </c>
      <c r="G64" s="44"/>
      <c r="H64" s="44"/>
      <c r="I64" s="44"/>
      <c r="J64" s="44"/>
      <c r="K64" s="44"/>
      <c r="L64" s="44"/>
      <c r="M64" s="44"/>
      <c r="N64" s="44"/>
      <c r="O64" s="44"/>
      <c r="P64" s="44"/>
    </row>
    <row r="65" spans="2:16" x14ac:dyDescent="0.3">
      <c r="B65" t="s">
        <v>404</v>
      </c>
      <c r="C65" t="s">
        <v>46</v>
      </c>
      <c r="D65" s="17"/>
      <c r="E65" s="17"/>
      <c r="F65" s="17">
        <f>F63*F64</f>
        <v>69046.868568927486</v>
      </c>
      <c r="G65" s="17"/>
      <c r="H65" s="17"/>
      <c r="I65" s="17"/>
      <c r="J65" s="17"/>
      <c r="K65" s="17"/>
      <c r="L65" s="17"/>
      <c r="M65" s="17"/>
      <c r="N65" s="17"/>
      <c r="O65" s="17"/>
      <c r="P65" s="17"/>
    </row>
    <row r="66" spans="2:16" x14ac:dyDescent="0.3">
      <c r="B66" s="99" t="s">
        <v>405</v>
      </c>
      <c r="C66" s="99" t="s">
        <v>46</v>
      </c>
      <c r="D66" s="106"/>
      <c r="E66" s="106"/>
      <c r="F66" s="106">
        <f>F59+F65</f>
        <v>149457.62152792938</v>
      </c>
      <c r="G66" s="18"/>
      <c r="H66" s="18"/>
      <c r="I66" s="18"/>
      <c r="J66" s="18"/>
      <c r="K66" s="18"/>
      <c r="L66" s="18"/>
      <c r="M66" s="18"/>
      <c r="N66" s="18"/>
      <c r="O66" s="18"/>
      <c r="P66" s="18"/>
    </row>
    <row r="67" spans="2:16" x14ac:dyDescent="0.3">
      <c r="B67" t="s">
        <v>406</v>
      </c>
      <c r="C67" t="s">
        <v>23</v>
      </c>
      <c r="D67" s="19"/>
      <c r="E67" s="19"/>
      <c r="F67" s="19">
        <f>F65/F66</f>
        <v>0.46198292106518363</v>
      </c>
      <c r="G67" s="19"/>
      <c r="H67" s="19"/>
      <c r="I67" s="19"/>
      <c r="J67" s="19"/>
      <c r="K67" s="19"/>
      <c r="L67" s="19"/>
      <c r="M67" s="19"/>
      <c r="N67" s="19"/>
      <c r="O67" s="19"/>
      <c r="P67" s="19"/>
    </row>
    <row r="68" spans="2:16" x14ac:dyDescent="0.3">
      <c r="B68" t="s">
        <v>450</v>
      </c>
      <c r="C68" t="s">
        <v>145</v>
      </c>
      <c r="D68" s="44"/>
      <c r="E68" s="44"/>
      <c r="F68" s="44">
        <f>IFERROR(F63/P32,"n/a")</f>
        <v>8.2480731952847481</v>
      </c>
      <c r="G68" s="44"/>
      <c r="H68" s="44"/>
      <c r="I68" s="44"/>
      <c r="J68" s="44"/>
      <c r="K68" s="44"/>
      <c r="L68" s="44"/>
      <c r="M68" s="44"/>
      <c r="N68" s="44"/>
      <c r="O68" s="44"/>
      <c r="P68" s="44"/>
    </row>
    <row r="69" spans="2:16" x14ac:dyDescent="0.3">
      <c r="B69" t="s">
        <v>1690</v>
      </c>
      <c r="C69" t="s">
        <v>46</v>
      </c>
      <c r="D69" s="17"/>
      <c r="E69" s="17"/>
      <c r="F69" s="17">
        <f>SUM('06 DCF'!$F$46:$F$52)</f>
        <v>-6444.9599999999991</v>
      </c>
      <c r="G69" s="17"/>
      <c r="H69" s="17"/>
      <c r="I69" s="17"/>
      <c r="J69" s="17"/>
      <c r="K69" s="17"/>
      <c r="L69" s="17"/>
      <c r="M69" s="17"/>
      <c r="N69" s="17"/>
      <c r="O69" s="17"/>
      <c r="P69" s="17"/>
    </row>
    <row r="70" spans="2:16" x14ac:dyDescent="0.3">
      <c r="B70" s="99" t="s">
        <v>413</v>
      </c>
      <c r="C70" s="99" t="s">
        <v>46</v>
      </c>
      <c r="D70" s="106"/>
      <c r="E70" s="106"/>
      <c r="F70" s="106">
        <f>F66+F69</f>
        <v>143012.66152792939</v>
      </c>
      <c r="G70" s="18"/>
      <c r="H70" s="18"/>
      <c r="I70" s="18"/>
      <c r="J70" s="18"/>
      <c r="K70" s="18"/>
      <c r="L70" s="18"/>
      <c r="M70" s="18"/>
      <c r="N70" s="18"/>
      <c r="O70" s="18"/>
      <c r="P70" s="18"/>
    </row>
    <row r="71" spans="2:16" x14ac:dyDescent="0.3">
      <c r="B71" t="s">
        <v>414</v>
      </c>
      <c r="C71" t="s">
        <v>69</v>
      </c>
      <c r="D71" s="21"/>
      <c r="E71" s="21"/>
      <c r="F71" s="21">
        <f>'02 Assumptions'!$C$69</f>
        <v>1085.6999924345589</v>
      </c>
      <c r="G71" s="21"/>
      <c r="H71" s="21"/>
      <c r="I71" s="21"/>
      <c r="J71" s="21"/>
      <c r="K71" s="21"/>
      <c r="L71" s="21"/>
      <c r="M71" s="21"/>
      <c r="N71" s="21"/>
      <c r="O71" s="21"/>
      <c r="P71" s="21"/>
    </row>
    <row r="72" spans="2:16" ht="15.6" x14ac:dyDescent="0.3">
      <c r="B72" s="107" t="s">
        <v>415</v>
      </c>
      <c r="C72" s="107" t="s">
        <v>66</v>
      </c>
      <c r="D72" s="168"/>
      <c r="E72" s="168"/>
      <c r="F72" s="168">
        <f>F70/F71</f>
        <v>131.72392237678821</v>
      </c>
      <c r="G72" s="186"/>
      <c r="H72" s="186"/>
      <c r="I72" s="186"/>
      <c r="J72" s="186"/>
      <c r="K72" s="186"/>
      <c r="L72" s="186"/>
      <c r="M72" s="186"/>
      <c r="N72" s="186"/>
      <c r="O72" s="186"/>
      <c r="P72" s="186"/>
    </row>
    <row r="73" spans="2:16" x14ac:dyDescent="0.3">
      <c r="B73" t="s">
        <v>570</v>
      </c>
      <c r="C73" t="s">
        <v>66</v>
      </c>
      <c r="D73" s="164"/>
      <c r="E73" s="164"/>
      <c r="F73" s="164">
        <f>'01 Summary'!$C$10</f>
        <v>198.27</v>
      </c>
      <c r="G73" s="164"/>
      <c r="H73" s="164"/>
      <c r="I73" s="164"/>
      <c r="J73" s="164"/>
      <c r="K73" s="164"/>
      <c r="L73" s="164"/>
      <c r="M73" s="164"/>
      <c r="N73" s="164"/>
      <c r="O73" s="164"/>
      <c r="P73" s="164"/>
    </row>
    <row r="74" spans="2:16" x14ac:dyDescent="0.3">
      <c r="B74" t="s">
        <v>417</v>
      </c>
      <c r="C74" t="s">
        <v>23</v>
      </c>
      <c r="D74" s="19"/>
      <c r="E74" s="19"/>
      <c r="F74" s="19">
        <f>IF(F73&lt;=0,"introducir precio",F72/F73-1)</f>
        <v>-0.33563361891971455</v>
      </c>
      <c r="G74" s="19"/>
      <c r="H74" s="19"/>
      <c r="I74" s="19"/>
      <c r="J74" s="19"/>
      <c r="K74" s="19"/>
      <c r="L74" s="19"/>
      <c r="M74" s="19"/>
      <c r="N74" s="19"/>
      <c r="O74" s="19"/>
      <c r="P74" s="19"/>
    </row>
    <row r="75" spans="2:16" x14ac:dyDescent="0.3">
      <c r="B75" t="s">
        <v>1691</v>
      </c>
      <c r="C75" t="s">
        <v>46</v>
      </c>
      <c r="D75" s="17"/>
      <c r="E75" s="17"/>
      <c r="F75" s="17">
        <f>P11</f>
        <v>81883.255155127539</v>
      </c>
      <c r="G75" s="17"/>
      <c r="H75" s="17"/>
      <c r="I75" s="17"/>
      <c r="J75" s="17"/>
      <c r="K75" s="17"/>
      <c r="L75" s="17"/>
      <c r="M75" s="17"/>
      <c r="N75" s="17"/>
      <c r="O75" s="17"/>
      <c r="P75" s="17"/>
    </row>
    <row r="77" spans="2:16" x14ac:dyDescent="0.3">
      <c r="B77" s="5" t="s">
        <v>1680</v>
      </c>
      <c r="C77" s="5"/>
      <c r="D77" s="5"/>
      <c r="E77" s="5"/>
      <c r="F77" s="5"/>
      <c r="G77" s="5"/>
      <c r="H77" s="5"/>
      <c r="I77" s="5"/>
      <c r="J77" s="5"/>
      <c r="K77" s="5"/>
      <c r="L77" s="5"/>
      <c r="M77" s="5"/>
      <c r="N77" s="5"/>
      <c r="O77" s="5"/>
      <c r="P77" s="5"/>
    </row>
    <row r="78" spans="2:16" x14ac:dyDescent="0.3">
      <c r="B78" s="101" t="s">
        <v>354</v>
      </c>
      <c r="C78" s="101"/>
      <c r="D78" s="101"/>
      <c r="E78" s="101"/>
      <c r="F78" s="101" t="str">
        <f>IF(P52&gt;P53,"OK","FALLO")</f>
        <v>OK</v>
      </c>
      <c r="G78" s="5"/>
      <c r="H78" s="5"/>
      <c r="I78" s="5"/>
      <c r="J78" s="5"/>
      <c r="K78" s="5"/>
      <c r="L78" s="5"/>
      <c r="M78" s="5"/>
      <c r="N78" s="5"/>
      <c r="O78" s="5"/>
      <c r="P78" s="5"/>
    </row>
    <row r="79" spans="2:16" x14ac:dyDescent="0.3">
      <c r="B79" s="101" t="s">
        <v>1681</v>
      </c>
      <c r="C79" s="101"/>
      <c r="D79" s="101"/>
      <c r="E79" s="101"/>
      <c r="F79" s="101" t="str">
        <f>IF(P50&gt;0,"OK","FALLO")</f>
        <v>OK</v>
      </c>
      <c r="G79" s="5"/>
      <c r="H79" s="5"/>
      <c r="I79" s="5"/>
      <c r="J79" s="5"/>
      <c r="K79" s="5"/>
      <c r="L79" s="5"/>
      <c r="M79" s="5"/>
      <c r="N79" s="5"/>
      <c r="O79" s="5"/>
      <c r="P79" s="5"/>
    </row>
    <row r="80" spans="2:16" x14ac:dyDescent="0.3">
      <c r="B80" s="101" t="s">
        <v>1682</v>
      </c>
      <c r="C80" s="101"/>
      <c r="D80" s="101"/>
      <c r="E80" s="101"/>
      <c r="F80" s="101" t="str">
        <f>IF(P12&gt;=P53,"OK","AVISO: el último año explícito crece menos que la perpetuidad")</f>
        <v>OK</v>
      </c>
      <c r="G80" s="5"/>
      <c r="H80" s="5"/>
      <c r="I80" s="5"/>
      <c r="J80" s="5"/>
      <c r="K80" s="5"/>
      <c r="L80" s="5"/>
      <c r="M80" s="5"/>
      <c r="N80" s="5"/>
      <c r="O80" s="5"/>
      <c r="P80" s="5"/>
    </row>
    <row r="81" spans="2:16" x14ac:dyDescent="0.3">
      <c r="B81" s="101" t="s">
        <v>1692</v>
      </c>
      <c r="C81" s="101"/>
      <c r="D81" s="101"/>
      <c r="E81" s="101"/>
      <c r="F81" s="101" t="str" cm="1">
        <f t="array" ref="F81">IF(SUMPRODUCT(--ISERROR($G$7:$P$57))=0,"OK","FALLO")</f>
        <v>OK</v>
      </c>
      <c r="G81" s="5"/>
      <c r="H81" s="5"/>
      <c r="I81" s="5"/>
      <c r="J81" s="5"/>
      <c r="K81" s="5"/>
      <c r="L81" s="5"/>
      <c r="M81" s="5"/>
      <c r="N81" s="5"/>
      <c r="O81" s="5"/>
      <c r="P81" s="5"/>
    </row>
    <row r="82" spans="2:16" x14ac:dyDescent="0.3">
      <c r="B82" s="101" t="s">
        <v>1693</v>
      </c>
      <c r="C82" s="101"/>
      <c r="D82" s="101"/>
      <c r="E82" s="101"/>
      <c r="F82" s="101" t="str">
        <f>IF(ABS(F72-'06 DCF'!$F$55)&lt;0.01,"OK","FALLO: el escenario Base no reproduce el DCF")</f>
        <v>OK</v>
      </c>
      <c r="G82" s="5"/>
      <c r="H82" s="5"/>
      <c r="I82" s="5"/>
      <c r="J82" s="5"/>
      <c r="K82" s="5"/>
      <c r="L82" s="5"/>
      <c r="M82" s="5"/>
      <c r="N82" s="5"/>
      <c r="O82" s="5"/>
      <c r="P82" s="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0D92D-4B22-44AB-B0DD-3492EFBAA068}">
  <dimension ref="A1:P82"/>
  <sheetViews>
    <sheetView workbookViewId="0"/>
  </sheetViews>
  <sheetFormatPr baseColWidth="10" defaultRowHeight="14.4" x14ac:dyDescent="0.3"/>
  <cols>
    <col min="2" max="2" width="61.109375" customWidth="1"/>
    <col min="3" max="3" width="10.21875" customWidth="1"/>
    <col min="4" max="16" width="16.33203125" customWidth="1"/>
  </cols>
  <sheetData>
    <row r="1" spans="1:16" ht="18" x14ac:dyDescent="0.35">
      <c r="A1" s="4" t="s">
        <v>1687</v>
      </c>
    </row>
    <row r="2" spans="1:16" x14ac:dyDescent="0.3">
      <c r="A2" s="14" t="s">
        <v>1688</v>
      </c>
    </row>
    <row r="4" spans="1:16" x14ac:dyDescent="0.3">
      <c r="B4" s="15" t="s">
        <v>41</v>
      </c>
      <c r="C4" s="15" t="s">
        <v>42</v>
      </c>
      <c r="D4" s="15" t="str">
        <f>'00 Panel del Analista'!D14</f>
        <v>FY2024A</v>
      </c>
      <c r="E4" s="15" t="str">
        <f>'00 Panel del Analista'!E14</f>
        <v>FY2025A</v>
      </c>
      <c r="F4" s="15" t="str">
        <f>'00 Panel del Analista'!F14</f>
        <v>FY2026E</v>
      </c>
      <c r="G4" s="15" t="str">
        <f>'00 Panel del Analista'!G14</f>
        <v>FY2027E</v>
      </c>
      <c r="H4" s="15" t="str">
        <f>'00 Panel del Analista'!H14</f>
        <v>FY2028E</v>
      </c>
      <c r="I4" s="15" t="str">
        <f>'00 Panel del Analista'!I14</f>
        <v>FY2029E</v>
      </c>
      <c r="J4" s="15" t="str">
        <f>'00 Panel del Analista'!J14</f>
        <v>FY2030E</v>
      </c>
      <c r="K4" s="15" t="str">
        <f>'00 Panel del Analista'!K14</f>
        <v>FY2031E</v>
      </c>
      <c r="L4" s="15" t="str">
        <f>'00 Panel del Analista'!L14</f>
        <v>FY2032E</v>
      </c>
      <c r="M4" s="15" t="str">
        <f>'00 Panel del Analista'!M14</f>
        <v>FY2033E</v>
      </c>
      <c r="N4" s="15" t="str">
        <f>'00 Panel del Analista'!N14</f>
        <v>FY2034E</v>
      </c>
      <c r="O4" s="15" t="str">
        <f>'00 Panel del Analista'!O14</f>
        <v>FY2035E</v>
      </c>
      <c r="P4" s="15" t="str">
        <f>'00 Panel del Analista'!P14</f>
        <v>FY2036E</v>
      </c>
    </row>
    <row r="6" spans="1:16" x14ac:dyDescent="0.3">
      <c r="B6" s="5" t="s">
        <v>1655</v>
      </c>
      <c r="C6" s="5"/>
      <c r="D6" s="5"/>
      <c r="E6" s="5"/>
      <c r="F6" s="5"/>
      <c r="G6" s="5"/>
      <c r="H6" s="5"/>
      <c r="I6" s="5"/>
      <c r="J6" s="5"/>
      <c r="K6" s="5"/>
      <c r="L6" s="5"/>
      <c r="M6" s="5"/>
      <c r="N6" s="5"/>
      <c r="O6" s="5"/>
      <c r="P6" s="5"/>
    </row>
    <row r="7" spans="1:16" x14ac:dyDescent="0.3">
      <c r="B7" t="str">
        <f>'00 Panel del Analista'!B18</f>
        <v xml:space="preserve">  QCT IoT + Data Center y otros no reportables</v>
      </c>
      <c r="C7" t="s">
        <v>46</v>
      </c>
      <c r="D7" s="17"/>
      <c r="E7" s="17"/>
      <c r="F7" s="17">
        <f>'03 Historical'!F7</f>
        <v>7512</v>
      </c>
      <c r="G7" s="17">
        <f>F7*(1+'02 Assumptions'!G19*'09 Escenarios'!$F$9)</f>
        <v>13146</v>
      </c>
      <c r="H7" s="17">
        <f>G7*(1+'02 Assumptions'!H19*'09 Escenarios'!$F$9)</f>
        <v>18568.725000000002</v>
      </c>
      <c r="I7" s="17">
        <f>H7*(1+'02 Assumptions'!I19*'09 Escenarios'!$F$9)</f>
        <v>23675.124374999999</v>
      </c>
      <c r="J7" s="17">
        <f>I7*(1+'02 Assumptions'!J19*'09 Escenarios'!$F$9)</f>
        <v>28114.210195312498</v>
      </c>
      <c r="K7" s="17">
        <f>J7*(1+'02 Assumptions'!K19*'09 Escenarios'!$F$9)</f>
        <v>32331.34172460937</v>
      </c>
      <c r="L7" s="17">
        <f>K7*(1+'02 Assumptions'!L19*'09 Escenarios'!$F$9)</f>
        <v>36372.759440185539</v>
      </c>
      <c r="M7" s="17">
        <f>L7*(1+'02 Assumptions'!M19*'09 Escenarios'!$F$9)</f>
        <v>40010.035384204093</v>
      </c>
      <c r="N7" s="17">
        <f>M7*(1+'02 Assumptions'!N19*'09 Escenarios'!$F$9)</f>
        <v>43010.788038019396</v>
      </c>
      <c r="O7" s="17">
        <f>N7*(1+'02 Assumptions'!O19*'09 Escenarios'!$F$9)</f>
        <v>45698.962290395611</v>
      </c>
      <c r="P7" s="17">
        <f>O7*(1+'02 Assumptions'!P19*'09 Escenarios'!$F$9)</f>
        <v>47983.910404915398</v>
      </c>
    </row>
    <row r="8" spans="1:16" x14ac:dyDescent="0.3">
      <c r="B8" t="str">
        <f>'00 Panel del Analista'!B19</f>
        <v xml:space="preserve">  QCT Handsets</v>
      </c>
      <c r="C8" t="s">
        <v>46</v>
      </c>
      <c r="D8" s="17"/>
      <c r="E8" s="17"/>
      <c r="F8" s="17">
        <f>'03 Historical'!F8</f>
        <v>24134</v>
      </c>
      <c r="G8" s="17">
        <f>F8*(1+'02 Assumptions'!G21+'09 Escenarios'!$F$10)</f>
        <v>20875.91</v>
      </c>
      <c r="H8" s="17">
        <f>G8*(1+'02 Assumptions'!H21+'09 Escenarios'!$F$10)</f>
        <v>21606.566849999999</v>
      </c>
      <c r="I8" s="17">
        <f>H8*(1+'02 Assumptions'!I21+'09 Escenarios'!$F$10)</f>
        <v>22578.862358249997</v>
      </c>
      <c r="J8" s="17">
        <f>I8*(1+'02 Assumptions'!J21+'09 Escenarios'!$F$10)</f>
        <v>23369.122540788743</v>
      </c>
      <c r="K8" s="17">
        <f>J8*(1+'02 Assumptions'!K21+'09 Escenarios'!$F$10)</f>
        <v>24187.041829716349</v>
      </c>
      <c r="L8" s="17">
        <f>K8*(1+'02 Assumptions'!L21+'09 Escenarios'!$F$10)</f>
        <v>25033.58829375642</v>
      </c>
      <c r="M8" s="17">
        <f>L8*(1+'02 Assumptions'!M21+'09 Escenarios'!$F$10)</f>
        <v>25909.763884037893</v>
      </c>
      <c r="N8" s="17">
        <f>M8*(1+'02 Assumptions'!N21+'09 Escenarios'!$F$10)</f>
        <v>26816.605619979218</v>
      </c>
      <c r="O8" s="17">
        <f>N8*(1+'02 Assumptions'!O21+'09 Escenarios'!$F$10)</f>
        <v>27889.269844778381</v>
      </c>
      <c r="P8" s="17">
        <f>O8*(1+'02 Assumptions'!P21+'09 Escenarios'!$F$10)</f>
        <v>29004.840638569509</v>
      </c>
    </row>
    <row r="9" spans="1:16" x14ac:dyDescent="0.3">
      <c r="B9" t="str">
        <f>'00 Panel del Analista'!B20</f>
        <v xml:space="preserve">  QTL Licencias (incl. ingresos no asignados)</v>
      </c>
      <c r="C9" t="s">
        <v>46</v>
      </c>
      <c r="D9" s="17"/>
      <c r="E9" s="17"/>
      <c r="F9" s="17">
        <f>'03 Historical'!F9</f>
        <v>5552</v>
      </c>
      <c r="G9" s="17">
        <f>F9*(1+'02 Assumptions'!G23+'09 Escenarios'!$F$10)</f>
        <v>5524.24</v>
      </c>
      <c r="H9" s="17">
        <f>G9*(1+'02 Assumptions'!H23+'09 Escenarios'!$F$10)</f>
        <v>5496.6188000000002</v>
      </c>
      <c r="I9" s="17">
        <f>H9*(1+'02 Assumptions'!I23+'09 Escenarios'!$F$10)</f>
        <v>5579.0680819999998</v>
      </c>
      <c r="J9" s="17">
        <f>I9*(1+'02 Assumptions'!J23+'09 Escenarios'!$F$10)</f>
        <v>5718.5447840499992</v>
      </c>
      <c r="K9" s="17">
        <f>J9*(1+'02 Assumptions'!K23+'09 Escenarios'!$F$10)</f>
        <v>5861.508403651249</v>
      </c>
      <c r="L9" s="17">
        <f>K9*(1+'02 Assumptions'!L23+'09 Escenarios'!$F$10)</f>
        <v>6008.04611374253</v>
      </c>
      <c r="M9" s="17">
        <f>L9*(1+'02 Assumptions'!M23+'09 Escenarios'!$F$10)</f>
        <v>6188.2874971548044</v>
      </c>
      <c r="N9" s="17">
        <f>M9*(1+'02 Assumptions'!N23+'09 Escenarios'!$F$10)</f>
        <v>6373.9361220694473</v>
      </c>
      <c r="O9" s="17">
        <f>N9*(1+'02 Assumptions'!O23+'09 Escenarios'!$F$10)</f>
        <v>6597.0238863418772</v>
      </c>
      <c r="P9" s="17">
        <f>O9*(1+'02 Assumptions'!P23+'09 Escenarios'!$F$10)</f>
        <v>6827.9197223638421</v>
      </c>
    </row>
    <row r="10" spans="1:16" x14ac:dyDescent="0.3">
      <c r="B10" t="str">
        <f>'00 Panel del Analista'!B21</f>
        <v xml:space="preserve">  QCT Automoción</v>
      </c>
      <c r="C10" t="s">
        <v>46</v>
      </c>
      <c r="D10" s="17"/>
      <c r="E10" s="17"/>
      <c r="F10" s="17">
        <f>'03 Historical'!F10</f>
        <v>5700</v>
      </c>
      <c r="G10" s="17">
        <f>F10*(1+'02 Assumptions'!G25+'09 Escenarios'!$F$10)</f>
        <v>7039.4999999999991</v>
      </c>
      <c r="H10" s="17">
        <f>G10*(1+'02 Assumptions'!H25+'09 Escenarios'!$F$10)</f>
        <v>8341.8074999999972</v>
      </c>
      <c r="I10" s="17">
        <f>H10*(1+'02 Assumptions'!I25+'09 Escenarios'!$F$10)</f>
        <v>9718.2057374999949</v>
      </c>
      <c r="J10" s="17">
        <f>I10*(1+'02 Assumptions'!J25+'09 Escenarios'!$F$10)</f>
        <v>11127.345569437492</v>
      </c>
      <c r="K10" s="17">
        <f>J10*(1+'02 Assumptions'!K25+'09 Escenarios'!$F$10)</f>
        <v>12518.263765617177</v>
      </c>
      <c r="L10" s="17">
        <f>K10*(1+'02 Assumptions'!L25+'09 Escenarios'!$F$10)</f>
        <v>13832.681461006981</v>
      </c>
      <c r="M10" s="17">
        <f>L10*(1+'02 Assumptions'!M25+'09 Escenarios'!$F$10)</f>
        <v>15146.786199802644</v>
      </c>
      <c r="N10" s="17">
        <f>M10*(1+'02 Assumptions'!N25+'09 Escenarios'!$F$10)</f>
        <v>16434.263026785869</v>
      </c>
      <c r="O10" s="17">
        <f>N10*(1+'02 Assumptions'!O25+'09 Escenarios'!$F$10)</f>
        <v>17666.83275379481</v>
      </c>
      <c r="P10" s="17">
        <f>O10*(1+'02 Assumptions'!P25+'09 Escenarios'!$F$10)</f>
        <v>18815.176882791471</v>
      </c>
    </row>
    <row r="11" spans="1:16" x14ac:dyDescent="0.3">
      <c r="B11" s="3" t="s">
        <v>286</v>
      </c>
      <c r="C11" s="3" t="s">
        <v>46</v>
      </c>
      <c r="D11" s="18"/>
      <c r="E11" s="18"/>
      <c r="F11" s="18">
        <f t="shared" ref="F11:P11" si="0">SUM(F7:F10)</f>
        <v>42898</v>
      </c>
      <c r="G11" s="18">
        <f t="shared" si="0"/>
        <v>46585.65</v>
      </c>
      <c r="H11" s="18">
        <f t="shared" si="0"/>
        <v>54013.718150000001</v>
      </c>
      <c r="I11" s="18">
        <f t="shared" si="0"/>
        <v>61551.260552749991</v>
      </c>
      <c r="J11" s="18">
        <f t="shared" si="0"/>
        <v>68329.223089588733</v>
      </c>
      <c r="K11" s="18">
        <f t="shared" si="0"/>
        <v>74898.155723594144</v>
      </c>
      <c r="L11" s="18">
        <f t="shared" si="0"/>
        <v>81247.075308691477</v>
      </c>
      <c r="M11" s="18">
        <f t="shared" si="0"/>
        <v>87254.872965199436</v>
      </c>
      <c r="N11" s="18">
        <f t="shared" si="0"/>
        <v>92635.592806853936</v>
      </c>
      <c r="O11" s="18">
        <f t="shared" si="0"/>
        <v>97852.08877531068</v>
      </c>
      <c r="P11" s="18">
        <f t="shared" si="0"/>
        <v>102631.84764864022</v>
      </c>
    </row>
    <row r="12" spans="1:16" x14ac:dyDescent="0.3">
      <c r="B12" t="s">
        <v>1656</v>
      </c>
      <c r="C12" t="s">
        <v>23</v>
      </c>
      <c r="D12" s="19"/>
      <c r="E12" s="19"/>
      <c r="F12" s="19"/>
      <c r="G12" s="19">
        <f t="shared" ref="G12:P12" si="1">G11/F11-1</f>
        <v>8.5963215068301624E-2</v>
      </c>
      <c r="H12" s="19">
        <f t="shared" si="1"/>
        <v>0.15944970500572597</v>
      </c>
      <c r="I12" s="19">
        <f t="shared" si="1"/>
        <v>0.13954866765175633</v>
      </c>
      <c r="J12" s="19">
        <f t="shared" si="1"/>
        <v>0.11011898823794142</v>
      </c>
      <c r="K12" s="19">
        <f t="shared" si="1"/>
        <v>9.6136504075169382E-2</v>
      </c>
      <c r="L12" s="19">
        <f t="shared" si="1"/>
        <v>8.4767368752409977E-2</v>
      </c>
      <c r="M12" s="19">
        <f t="shared" si="1"/>
        <v>7.3944786734560397E-2</v>
      </c>
      <c r="N12" s="19">
        <f t="shared" si="1"/>
        <v>6.1666697329334719E-2</v>
      </c>
      <c r="O12" s="19">
        <f t="shared" si="1"/>
        <v>5.6312005033887891E-2</v>
      </c>
      <c r="P12" s="19">
        <f t="shared" si="1"/>
        <v>4.8846774076584998E-2</v>
      </c>
    </row>
    <row r="13" spans="1:16" x14ac:dyDescent="0.3">
      <c r="B13" s="5" t="s">
        <v>1657</v>
      </c>
      <c r="C13" s="5"/>
      <c r="D13" s="5"/>
      <c r="E13" s="5"/>
      <c r="F13" s="5"/>
      <c r="G13" s="5"/>
      <c r="H13" s="5"/>
      <c r="I13" s="5"/>
      <c r="J13" s="5"/>
      <c r="K13" s="5"/>
      <c r="L13" s="5"/>
      <c r="M13" s="5"/>
      <c r="N13" s="5"/>
      <c r="O13" s="5"/>
      <c r="P13" s="5"/>
    </row>
    <row r="14" spans="1:16" x14ac:dyDescent="0.3">
      <c r="B14" t="s">
        <v>50</v>
      </c>
      <c r="C14" t="s">
        <v>23</v>
      </c>
      <c r="D14" s="19"/>
      <c r="E14" s="19"/>
      <c r="F14" s="19"/>
      <c r="G14" s="19">
        <f>'02 Assumptions'!G29+'09 Escenarios'!$F$11</f>
        <v>0.56000000000000005</v>
      </c>
      <c r="H14" s="19">
        <f>'02 Assumptions'!H29+'09 Escenarios'!$F$11</f>
        <v>0.56500000000000006</v>
      </c>
      <c r="I14" s="19">
        <f>'02 Assumptions'!I29+'09 Escenarios'!$F$11</f>
        <v>0.57000000000000006</v>
      </c>
      <c r="J14" s="19">
        <f>'02 Assumptions'!J29+'09 Escenarios'!$F$11</f>
        <v>0.57000000000000006</v>
      </c>
      <c r="K14" s="19">
        <f>'02 Assumptions'!K29+'09 Escenarios'!$F$11</f>
        <v>0.57000000000000006</v>
      </c>
      <c r="L14" s="19">
        <f>'02 Assumptions'!L29+'09 Escenarios'!$F$11</f>
        <v>0.57000000000000006</v>
      </c>
      <c r="M14" s="19">
        <f>'02 Assumptions'!M29+'09 Escenarios'!$F$11</f>
        <v>0.57000000000000006</v>
      </c>
      <c r="N14" s="19">
        <f>'02 Assumptions'!N29+'09 Escenarios'!$F$11</f>
        <v>0.57000000000000006</v>
      </c>
      <c r="O14" s="19">
        <f>'02 Assumptions'!O29+'09 Escenarios'!$F$11</f>
        <v>0.57000000000000006</v>
      </c>
      <c r="P14" s="19">
        <f>'02 Assumptions'!P29+'09 Escenarios'!$F$11</f>
        <v>0.57000000000000006</v>
      </c>
    </row>
    <row r="15" spans="1:16" x14ac:dyDescent="0.3">
      <c r="B15" t="s">
        <v>1658</v>
      </c>
      <c r="C15" t="s">
        <v>46</v>
      </c>
      <c r="D15" s="17"/>
      <c r="E15" s="17"/>
      <c r="F15" s="17"/>
      <c r="G15" s="17">
        <f t="shared" ref="G15:P15" si="2">G11*G14</f>
        <v>26087.964000000004</v>
      </c>
      <c r="H15" s="17">
        <f t="shared" si="2"/>
        <v>30517.750754750003</v>
      </c>
      <c r="I15" s="17">
        <f t="shared" si="2"/>
        <v>35084.2185150675</v>
      </c>
      <c r="J15" s="17">
        <f t="shared" si="2"/>
        <v>38947.657161065581</v>
      </c>
      <c r="K15" s="17">
        <f t="shared" si="2"/>
        <v>42691.948762448665</v>
      </c>
      <c r="L15" s="17">
        <f t="shared" si="2"/>
        <v>46310.83292595415</v>
      </c>
      <c r="M15" s="17">
        <f t="shared" si="2"/>
        <v>49735.277590163685</v>
      </c>
      <c r="N15" s="17">
        <f t="shared" si="2"/>
        <v>52802.287899906747</v>
      </c>
      <c r="O15" s="17">
        <f t="shared" si="2"/>
        <v>55775.69060192709</v>
      </c>
      <c r="P15" s="17">
        <f t="shared" si="2"/>
        <v>58500.153159724934</v>
      </c>
    </row>
    <row r="16" spans="1:16" x14ac:dyDescent="0.3">
      <c r="B16" t="s">
        <v>288</v>
      </c>
      <c r="C16" t="s">
        <v>46</v>
      </c>
      <c r="D16" s="17"/>
      <c r="E16" s="17"/>
      <c r="F16" s="17"/>
      <c r="G16" s="17">
        <f t="shared" ref="G16:P16" si="3">G11-G15</f>
        <v>20497.685999999998</v>
      </c>
      <c r="H16" s="17">
        <f t="shared" si="3"/>
        <v>23495.967395249998</v>
      </c>
      <c r="I16" s="17">
        <f t="shared" si="3"/>
        <v>26467.042037682491</v>
      </c>
      <c r="J16" s="17">
        <f t="shared" si="3"/>
        <v>29381.565928523152</v>
      </c>
      <c r="K16" s="17">
        <f t="shared" si="3"/>
        <v>32206.206961145479</v>
      </c>
      <c r="L16" s="17">
        <f t="shared" si="3"/>
        <v>34936.242382737328</v>
      </c>
      <c r="M16" s="17">
        <f t="shared" si="3"/>
        <v>37519.595375035751</v>
      </c>
      <c r="N16" s="17">
        <f t="shared" si="3"/>
        <v>39833.304906947189</v>
      </c>
      <c r="O16" s="17">
        <f t="shared" si="3"/>
        <v>42076.39817338359</v>
      </c>
      <c r="P16" s="17">
        <f t="shared" si="3"/>
        <v>44131.694488915287</v>
      </c>
    </row>
    <row r="17" spans="2:16" x14ac:dyDescent="0.3">
      <c r="B17" t="s">
        <v>51</v>
      </c>
      <c r="C17" t="s">
        <v>46</v>
      </c>
      <c r="D17" s="17"/>
      <c r="E17" s="17"/>
      <c r="F17" s="17"/>
      <c r="G17" s="17">
        <f>G11*('02 Assumptions'!G31+'09 Escenarios'!$F$12*'02 Assumptions'!$Q$32)</f>
        <v>3773.4376500000003</v>
      </c>
      <c r="H17" s="17">
        <f>H11*('02 Assumptions'!H31+'09 Escenarios'!$F$12*'02 Assumptions'!$Q$32)</f>
        <v>4105.0425794000002</v>
      </c>
      <c r="I17" s="17">
        <f>I11*('02 Assumptions'!I31+'09 Escenarios'!$F$12*'02 Assumptions'!$Q$32)</f>
        <v>4493.242020350749</v>
      </c>
      <c r="J17" s="17">
        <f>J11*('02 Assumptions'!J31+'09 Escenarios'!$F$12*'02 Assumptions'!$Q$32)</f>
        <v>4851.3748393607993</v>
      </c>
      <c r="K17" s="17">
        <f>K11*('02 Assumptions'!K31+'09 Escenarios'!$F$12*'02 Assumptions'!$Q$32)</f>
        <v>5167.9727449279953</v>
      </c>
      <c r="L17" s="17">
        <f>L11*('02 Assumptions'!L31+'09 Escenarios'!$F$12*'02 Assumptions'!$Q$32)</f>
        <v>5524.8011209910201</v>
      </c>
      <c r="M17" s="17">
        <f>M11*('02 Assumptions'!M31+'09 Escenarios'!$F$12*'02 Assumptions'!$Q$32)</f>
        <v>5846.076488668361</v>
      </c>
      <c r="N17" s="17">
        <f>N11*('02 Assumptions'!N31+'09 Escenarios'!$F$12*'02 Assumptions'!$Q$32)</f>
        <v>6206.5847180592127</v>
      </c>
      <c r="O17" s="17">
        <f>O11*('02 Assumptions'!O31+'09 Escenarios'!$F$12*'02 Assumptions'!$Q$32)</f>
        <v>6556.0899479458149</v>
      </c>
      <c r="P17" s="17">
        <f>P11*('02 Assumptions'!P31+'09 Escenarios'!$F$12*'02 Assumptions'!$Q$32)</f>
        <v>6876.3337924588941</v>
      </c>
    </row>
    <row r="18" spans="2:16" x14ac:dyDescent="0.3">
      <c r="B18" t="s">
        <v>1659</v>
      </c>
      <c r="C18" t="s">
        <v>46</v>
      </c>
      <c r="D18" s="17"/>
      <c r="E18" s="17"/>
      <c r="F18" s="17"/>
      <c r="G18" s="17">
        <f>G11*('02 Assumptions'!G33+'09 Escenarios'!$F$12*'02 Assumptions'!$Q$34)</f>
        <v>10668.11385</v>
      </c>
      <c r="H18" s="17">
        <f>H11*('02 Assumptions'!H33+'09 Escenarios'!$F$12*'02 Assumptions'!$Q$34)</f>
        <v>11829.00427485</v>
      </c>
      <c r="I18" s="17">
        <f>I11*('02 Assumptions'!I33+'09 Escenarios'!$F$12*'02 Assumptions'!$Q$34)</f>
        <v>12864.213455524747</v>
      </c>
      <c r="J18" s="17">
        <f>J11*('02 Assumptions'!J33+'09 Escenarios'!$F$12*'02 Assumptions'!$Q$34)</f>
        <v>13939.161510276101</v>
      </c>
      <c r="K18" s="17">
        <f>K11*('02 Assumptions'!K33+'09 Escenarios'!$F$12*'02 Assumptions'!$Q$34)</f>
        <v>15054.529300442422</v>
      </c>
      <c r="L18" s="17">
        <f>L11*('02 Assumptions'!L33+'09 Escenarios'!$F$12*'02 Assumptions'!$Q$34)</f>
        <v>16168.167986429602</v>
      </c>
      <c r="M18" s="17">
        <f>M11*('02 Assumptions'!M33+'09 Escenarios'!$F$12*'02 Assumptions'!$Q$34)</f>
        <v>17363.719720074685</v>
      </c>
      <c r="N18" s="17">
        <f>N11*('02 Assumptions'!N33+'09 Escenarios'!$F$12*'02 Assumptions'!$Q$34)</f>
        <v>18434.482968563931</v>
      </c>
      <c r="O18" s="17">
        <f>O11*('02 Assumptions'!O33+'09 Escenarios'!$F$12*'02 Assumptions'!$Q$34)</f>
        <v>19472.565666286824</v>
      </c>
      <c r="P18" s="17">
        <f>P11*('02 Assumptions'!P33+'09 Escenarios'!$F$12*'02 Assumptions'!$Q$34)</f>
        <v>20423.737682079402</v>
      </c>
    </row>
    <row r="19" spans="2:16" x14ac:dyDescent="0.3">
      <c r="B19" t="s">
        <v>1660</v>
      </c>
      <c r="C19" t="s">
        <v>46</v>
      </c>
      <c r="D19" s="17"/>
      <c r="E19" s="17"/>
      <c r="F19" s="17"/>
      <c r="G19" s="17">
        <f>G11*('02 Assumptions'!G35+'09 Escenarios'!$F$12*'02 Assumptions'!$Q$36)</f>
        <v>0</v>
      </c>
      <c r="H19" s="17">
        <f>H11*('02 Assumptions'!H35+'09 Escenarios'!$F$12*'02 Assumptions'!$Q$36)</f>
        <v>0</v>
      </c>
      <c r="I19" s="17">
        <f>I11*('02 Assumptions'!I35+'09 Escenarios'!$F$12*'02 Assumptions'!$Q$36)</f>
        <v>0</v>
      </c>
      <c r="J19" s="17">
        <f>J11*('02 Assumptions'!J35+'09 Escenarios'!$F$12*'02 Assumptions'!$Q$36)</f>
        <v>0</v>
      </c>
      <c r="K19" s="17">
        <f>K11*('02 Assumptions'!K35+'09 Escenarios'!$F$12*'02 Assumptions'!$Q$36)</f>
        <v>0</v>
      </c>
      <c r="L19" s="17">
        <f>L11*('02 Assumptions'!L35+'09 Escenarios'!$F$12*'02 Assumptions'!$Q$36)</f>
        <v>0</v>
      </c>
      <c r="M19" s="17">
        <f>M11*('02 Assumptions'!M35+'09 Escenarios'!$F$12*'02 Assumptions'!$Q$36)</f>
        <v>0</v>
      </c>
      <c r="N19" s="17">
        <f>N11*('02 Assumptions'!N35+'09 Escenarios'!$F$12*'02 Assumptions'!$Q$36)</f>
        <v>0</v>
      </c>
      <c r="O19" s="17">
        <f>O11*('02 Assumptions'!O35+'09 Escenarios'!$F$12*'02 Assumptions'!$Q$36)</f>
        <v>0</v>
      </c>
      <c r="P19" s="17">
        <f>P11*('02 Assumptions'!P35+'09 Escenarios'!$F$12*'02 Assumptions'!$Q$36)</f>
        <v>0</v>
      </c>
    </row>
    <row r="20" spans="2:16" x14ac:dyDescent="0.3">
      <c r="B20" t="s">
        <v>53</v>
      </c>
      <c r="C20" t="s">
        <v>46</v>
      </c>
      <c r="D20" s="17"/>
      <c r="E20" s="17"/>
      <c r="F20" s="17"/>
      <c r="G20" s="17">
        <f>'02 Assumptions'!G37</f>
        <v>430</v>
      </c>
      <c r="H20" s="17">
        <f>'02 Assumptions'!H37</f>
        <v>350</v>
      </c>
      <c r="I20" s="17">
        <f>'02 Assumptions'!I37</f>
        <v>280</v>
      </c>
      <c r="J20" s="17">
        <f>'02 Assumptions'!J37</f>
        <v>210</v>
      </c>
      <c r="K20" s="17">
        <f>'02 Assumptions'!K37</f>
        <v>140</v>
      </c>
      <c r="L20" s="17">
        <f>'02 Assumptions'!L37</f>
        <v>100</v>
      </c>
      <c r="M20" s="17">
        <f>'02 Assumptions'!M37</f>
        <v>0</v>
      </c>
      <c r="N20" s="17">
        <f>'02 Assumptions'!N37</f>
        <v>0</v>
      </c>
      <c r="O20" s="17">
        <f>'02 Assumptions'!O37</f>
        <v>0</v>
      </c>
      <c r="P20" s="17">
        <f>'02 Assumptions'!P37</f>
        <v>0</v>
      </c>
    </row>
    <row r="21" spans="2:16" x14ac:dyDescent="0.3">
      <c r="B21" t="s">
        <v>252</v>
      </c>
      <c r="C21" t="s">
        <v>46</v>
      </c>
      <c r="D21" s="17"/>
      <c r="E21" s="17"/>
      <c r="F21" s="17"/>
      <c r="G21" s="17">
        <f>'02 Assumptions'!G38</f>
        <v>100</v>
      </c>
      <c r="H21" s="17">
        <f>'02 Assumptions'!H38</f>
        <v>100</v>
      </c>
      <c r="I21" s="17">
        <f>'02 Assumptions'!I38</f>
        <v>100</v>
      </c>
      <c r="J21" s="17">
        <f>'02 Assumptions'!J38</f>
        <v>100</v>
      </c>
      <c r="K21" s="17">
        <f>'02 Assumptions'!K38</f>
        <v>100</v>
      </c>
      <c r="L21" s="17">
        <f>'02 Assumptions'!L38</f>
        <v>100</v>
      </c>
      <c r="M21" s="17">
        <f>'02 Assumptions'!M38</f>
        <v>100</v>
      </c>
      <c r="N21" s="17">
        <f>'02 Assumptions'!N38</f>
        <v>100</v>
      </c>
      <c r="O21" s="17">
        <f>'02 Assumptions'!O38</f>
        <v>100</v>
      </c>
      <c r="P21" s="17">
        <f>'02 Assumptions'!P38</f>
        <v>100</v>
      </c>
    </row>
    <row r="22" spans="2:16" x14ac:dyDescent="0.3">
      <c r="B22" t="s">
        <v>1661</v>
      </c>
      <c r="C22" t="s">
        <v>46</v>
      </c>
      <c r="D22" s="17"/>
      <c r="E22" s="17"/>
      <c r="F22" s="17"/>
      <c r="G22" s="17">
        <f t="shared" ref="G22:P22" si="4">SUM(G17:G21)</f>
        <v>14971.5515</v>
      </c>
      <c r="H22" s="17">
        <f t="shared" si="4"/>
        <v>16384.046854250002</v>
      </c>
      <c r="I22" s="17">
        <f t="shared" si="4"/>
        <v>17737.455475875497</v>
      </c>
      <c r="J22" s="17">
        <f t="shared" si="4"/>
        <v>19100.536349636899</v>
      </c>
      <c r="K22" s="17">
        <f t="shared" si="4"/>
        <v>20462.502045370416</v>
      </c>
      <c r="L22" s="17">
        <f t="shared" si="4"/>
        <v>21892.96910742062</v>
      </c>
      <c r="M22" s="17">
        <f t="shared" si="4"/>
        <v>23309.796208743046</v>
      </c>
      <c r="N22" s="17">
        <f t="shared" si="4"/>
        <v>24741.067686623144</v>
      </c>
      <c r="O22" s="17">
        <f t="shared" si="4"/>
        <v>26128.655614232637</v>
      </c>
      <c r="P22" s="17">
        <f t="shared" si="4"/>
        <v>27400.071474538294</v>
      </c>
    </row>
    <row r="23" spans="2:16" x14ac:dyDescent="0.3">
      <c r="B23" s="3" t="s">
        <v>291</v>
      </c>
      <c r="C23" s="3" t="s">
        <v>46</v>
      </c>
      <c r="D23" s="18"/>
      <c r="E23" s="18"/>
      <c r="F23" s="18"/>
      <c r="G23" s="18">
        <f t="shared" ref="G23:P23" si="5">G15-G22</f>
        <v>11116.412500000004</v>
      </c>
      <c r="H23" s="18">
        <f t="shared" si="5"/>
        <v>14133.703900500001</v>
      </c>
      <c r="I23" s="18">
        <f t="shared" si="5"/>
        <v>17346.763039192003</v>
      </c>
      <c r="J23" s="18">
        <f t="shared" si="5"/>
        <v>19847.120811428682</v>
      </c>
      <c r="K23" s="18">
        <f t="shared" si="5"/>
        <v>22229.446717078248</v>
      </c>
      <c r="L23" s="18">
        <f t="shared" si="5"/>
        <v>24417.863818533529</v>
      </c>
      <c r="M23" s="18">
        <f t="shared" si="5"/>
        <v>26425.481381420639</v>
      </c>
      <c r="N23" s="18">
        <f t="shared" si="5"/>
        <v>28061.220213283603</v>
      </c>
      <c r="O23" s="18">
        <f t="shared" si="5"/>
        <v>29647.034987694453</v>
      </c>
      <c r="P23" s="18">
        <f t="shared" si="5"/>
        <v>31100.08168518664</v>
      </c>
    </row>
    <row r="24" spans="2:16" x14ac:dyDescent="0.3">
      <c r="B24" s="3" t="s">
        <v>1662</v>
      </c>
      <c r="C24" s="3" t="s">
        <v>46</v>
      </c>
      <c r="D24" s="18"/>
      <c r="E24" s="18"/>
      <c r="F24" s="18"/>
      <c r="G24" s="18">
        <f t="shared" ref="G24:P24" si="6">G23+G21</f>
        <v>11216.412500000004</v>
      </c>
      <c r="H24" s="18">
        <f t="shared" si="6"/>
        <v>14233.703900500001</v>
      </c>
      <c r="I24" s="18">
        <f t="shared" si="6"/>
        <v>17446.763039192003</v>
      </c>
      <c r="J24" s="18">
        <f t="shared" si="6"/>
        <v>19947.120811428682</v>
      </c>
      <c r="K24" s="18">
        <f t="shared" si="6"/>
        <v>22329.446717078248</v>
      </c>
      <c r="L24" s="18">
        <f t="shared" si="6"/>
        <v>24517.863818533529</v>
      </c>
      <c r="M24" s="18">
        <f t="shared" si="6"/>
        <v>26525.481381420639</v>
      </c>
      <c r="N24" s="18">
        <f t="shared" si="6"/>
        <v>28161.220213283603</v>
      </c>
      <c r="O24" s="18">
        <f t="shared" si="6"/>
        <v>29747.034987694453</v>
      </c>
      <c r="P24" s="18">
        <f t="shared" si="6"/>
        <v>31200.08168518664</v>
      </c>
    </row>
    <row r="25" spans="2:16" x14ac:dyDescent="0.3">
      <c r="B25" t="s">
        <v>293</v>
      </c>
      <c r="C25" t="s">
        <v>23</v>
      </c>
      <c r="D25" s="19"/>
      <c r="E25" s="19"/>
      <c r="F25" s="19"/>
      <c r="G25" s="19">
        <f t="shared" ref="G25:P25" si="7">G24/G11</f>
        <v>0.24076968980791302</v>
      </c>
      <c r="H25" s="19">
        <f t="shared" si="7"/>
        <v>0.26352016465468969</v>
      </c>
      <c r="I25" s="19">
        <f t="shared" si="7"/>
        <v>0.28345094613033911</v>
      </c>
      <c r="J25" s="19">
        <f t="shared" si="7"/>
        <v>0.29192664440623517</v>
      </c>
      <c r="K25" s="19">
        <f t="shared" si="7"/>
        <v>0.29813079509572099</v>
      </c>
      <c r="L25" s="19">
        <f t="shared" si="7"/>
        <v>0.30176918646461987</v>
      </c>
      <c r="M25" s="19">
        <f t="shared" si="7"/>
        <v>0.3040000000000001</v>
      </c>
      <c r="N25" s="19">
        <f t="shared" si="7"/>
        <v>0.30400000000000005</v>
      </c>
      <c r="O25" s="19">
        <f t="shared" si="7"/>
        <v>0.30400000000000005</v>
      </c>
      <c r="P25" s="19">
        <f t="shared" si="7"/>
        <v>0.3040000000000001</v>
      </c>
    </row>
    <row r="26" spans="2:16" x14ac:dyDescent="0.3">
      <c r="B26" s="5" t="s">
        <v>253</v>
      </c>
      <c r="C26" s="5"/>
      <c r="D26" s="5"/>
      <c r="E26" s="5"/>
      <c r="F26" s="5"/>
      <c r="G26" s="5"/>
      <c r="H26" s="5"/>
      <c r="I26" s="5"/>
      <c r="J26" s="5"/>
      <c r="K26" s="5"/>
      <c r="L26" s="5"/>
      <c r="M26" s="5"/>
      <c r="N26" s="5"/>
      <c r="O26" s="5"/>
      <c r="P26" s="5"/>
    </row>
    <row r="27" spans="2:16" x14ac:dyDescent="0.3">
      <c r="B27" t="s">
        <v>295</v>
      </c>
      <c r="C27" t="s">
        <v>46</v>
      </c>
      <c r="D27" s="17"/>
      <c r="E27" s="17"/>
      <c r="F27" s="17"/>
      <c r="G27" s="17">
        <f t="shared" ref="G27:P27" si="8">F30</f>
        <v>5217</v>
      </c>
      <c r="H27" s="17">
        <f t="shared" si="8"/>
        <v>5827.9213666666665</v>
      </c>
      <c r="I27" s="17">
        <f t="shared" si="8"/>
        <v>6266.0679298207406</v>
      </c>
      <c r="J27" s="17">
        <f t="shared" si="8"/>
        <v>6640.8134706195315</v>
      </c>
      <c r="K27" s="17">
        <f t="shared" si="8"/>
        <v>6896.0841287514386</v>
      </c>
      <c r="L27" s="17">
        <f t="shared" si="8"/>
        <v>7261.0409340266142</v>
      </c>
      <c r="M27" s="17">
        <f t="shared" si="8"/>
        <v>7705.7355231742167</v>
      </c>
      <c r="N27" s="17">
        <f t="shared" si="8"/>
        <v>8203.8066331427763</v>
      </c>
      <c r="O27" s="17">
        <f t="shared" si="8"/>
        <v>8727.5068435513476</v>
      </c>
      <c r="P27" s="17">
        <f t="shared" si="8"/>
        <v>9266.9804606255857</v>
      </c>
    </row>
    <row r="28" spans="2:16" x14ac:dyDescent="0.3">
      <c r="B28" t="s">
        <v>142</v>
      </c>
      <c r="C28" t="s">
        <v>46</v>
      </c>
      <c r="D28" s="17"/>
      <c r="E28" s="17"/>
      <c r="F28" s="17"/>
      <c r="G28" s="17">
        <f>G11*'02 Assumptions'!G41*'09 Escenarios'!$F$13</f>
        <v>1991.5365374999997</v>
      </c>
      <c r="H28" s="17">
        <f>H11*'02 Assumptions'!H41*'09 Escenarios'!$F$13</f>
        <v>1949.895225215</v>
      </c>
      <c r="I28" s="17">
        <f>I11*'02 Assumptions'!I41*'09 Escenarios'!$F$13</f>
        <v>1988.1057158538244</v>
      </c>
      <c r="J28" s="17">
        <f>J11*'02 Assumptions'!J41*'09 Escenarios'!$F$13</f>
        <v>1947.3828580532788</v>
      </c>
      <c r="K28" s="17">
        <f>K11*'02 Assumptions'!K41*'09 Escenarios'!$F$13</f>
        <v>2134.5974381224328</v>
      </c>
      <c r="L28" s="17">
        <f>L11*'02 Assumptions'!L41*'09 Escenarios'!$F$13</f>
        <v>2315.5416462977068</v>
      </c>
      <c r="M28" s="17">
        <f>M11*'02 Assumptions'!M41*'09 Escenarios'!$F$13</f>
        <v>2486.7638795081834</v>
      </c>
      <c r="N28" s="17">
        <f>N11*'02 Assumptions'!N41*'09 Escenarios'!$F$13</f>
        <v>2640.1143949953371</v>
      </c>
      <c r="O28" s="17">
        <f>O11*'02 Assumptions'!O41*'09 Escenarios'!$F$13</f>
        <v>2788.784530096354</v>
      </c>
      <c r="P28" s="17">
        <f>P11*'02 Assumptions'!P41*'09 Escenarios'!$F$13</f>
        <v>2925.0076579862462</v>
      </c>
    </row>
    <row r="29" spans="2:16" x14ac:dyDescent="0.3">
      <c r="B29" t="s">
        <v>104</v>
      </c>
      <c r="C29" t="s">
        <v>46</v>
      </c>
      <c r="D29" s="17"/>
      <c r="E29" s="17"/>
      <c r="F29" s="17"/>
      <c r="G29" s="17">
        <f>(G27+G28/2)/'02 Assumptions'!$C$43</f>
        <v>1380.6151708333334</v>
      </c>
      <c r="H29" s="17">
        <f>(H27+H28/2)/'02 Assumptions'!$C$43</f>
        <v>1511.7486620609259</v>
      </c>
      <c r="I29" s="17">
        <f>(I27+I28/2)/'02 Assumptions'!$C$43</f>
        <v>1613.360175055034</v>
      </c>
      <c r="J29" s="17">
        <f>(J27+J28/2)/'02 Assumptions'!$C$43</f>
        <v>1692.1121999213713</v>
      </c>
      <c r="K29" s="17">
        <f>(K27+K28/2)/'02 Assumptions'!$C$43</f>
        <v>1769.6406328472567</v>
      </c>
      <c r="L29" s="17">
        <f>(L27+L28/2)/'02 Assumptions'!$C$43</f>
        <v>1870.8470571501041</v>
      </c>
      <c r="M29" s="17">
        <f>(M27+M28/2)/'02 Assumptions'!$C$43</f>
        <v>1988.6927695396241</v>
      </c>
      <c r="N29" s="17">
        <f>(N27+N28/2)/'02 Assumptions'!$C$43</f>
        <v>2116.4141845867653</v>
      </c>
      <c r="O29" s="17">
        <f>(O27+O28/2)/'02 Assumptions'!$C$43</f>
        <v>2249.3109130221164</v>
      </c>
      <c r="P29" s="17">
        <f>(P27+P28/2)/'02 Assumptions'!$C$43</f>
        <v>2384.3298421374911</v>
      </c>
    </row>
    <row r="30" spans="2:16" x14ac:dyDescent="0.3">
      <c r="B30" t="s">
        <v>297</v>
      </c>
      <c r="C30" t="s">
        <v>46</v>
      </c>
      <c r="D30" s="17"/>
      <c r="E30" s="17"/>
      <c r="F30" s="17">
        <f>'03 Historical'!F48</f>
        <v>5217</v>
      </c>
      <c r="G30" s="17">
        <f t="shared" ref="G30:P30" si="9">G27+G28-G29</f>
        <v>5827.9213666666665</v>
      </c>
      <c r="H30" s="17">
        <f t="shared" si="9"/>
        <v>6266.0679298207406</v>
      </c>
      <c r="I30" s="17">
        <f t="shared" si="9"/>
        <v>6640.8134706195315</v>
      </c>
      <c r="J30" s="17">
        <f t="shared" si="9"/>
        <v>6896.0841287514386</v>
      </c>
      <c r="K30" s="17">
        <f t="shared" si="9"/>
        <v>7261.0409340266142</v>
      </c>
      <c r="L30" s="17">
        <f t="shared" si="9"/>
        <v>7705.7355231742167</v>
      </c>
      <c r="M30" s="17">
        <f t="shared" si="9"/>
        <v>8203.8066331427763</v>
      </c>
      <c r="N30" s="17">
        <f t="shared" si="9"/>
        <v>8727.5068435513476</v>
      </c>
      <c r="O30" s="17">
        <f t="shared" si="9"/>
        <v>9266.9804606255857</v>
      </c>
      <c r="P30" s="17">
        <f t="shared" si="9"/>
        <v>9807.6582764743416</v>
      </c>
    </row>
    <row r="31" spans="2:16" x14ac:dyDescent="0.3">
      <c r="B31" t="s">
        <v>1663</v>
      </c>
      <c r="C31" t="s">
        <v>46</v>
      </c>
      <c r="D31" s="17"/>
      <c r="E31" s="17"/>
      <c r="F31" s="17"/>
      <c r="G31" s="17">
        <f t="shared" ref="G31:P31" si="10">G29+G20</f>
        <v>1810.6151708333334</v>
      </c>
      <c r="H31" s="17">
        <f t="shared" si="10"/>
        <v>1861.7486620609259</v>
      </c>
      <c r="I31" s="17">
        <f t="shared" si="10"/>
        <v>1893.360175055034</v>
      </c>
      <c r="J31" s="17">
        <f t="shared" si="10"/>
        <v>1902.1121999213713</v>
      </c>
      <c r="K31" s="17">
        <f t="shared" si="10"/>
        <v>1909.6406328472567</v>
      </c>
      <c r="L31" s="17">
        <f t="shared" si="10"/>
        <v>1970.8470571501041</v>
      </c>
      <c r="M31" s="17">
        <f t="shared" si="10"/>
        <v>1988.6927695396241</v>
      </c>
      <c r="N31" s="17">
        <f t="shared" si="10"/>
        <v>2116.4141845867653</v>
      </c>
      <c r="O31" s="17">
        <f t="shared" si="10"/>
        <v>2249.3109130221164</v>
      </c>
      <c r="P31" s="17">
        <f t="shared" si="10"/>
        <v>2384.3298421374911</v>
      </c>
    </row>
    <row r="32" spans="2:16" x14ac:dyDescent="0.3">
      <c r="B32" s="3" t="s">
        <v>1664</v>
      </c>
      <c r="C32" s="3" t="s">
        <v>46</v>
      </c>
      <c r="D32" s="18"/>
      <c r="E32" s="18"/>
      <c r="F32" s="18"/>
      <c r="G32" s="18">
        <f t="shared" ref="G32:P32" si="11">G24+G31</f>
        <v>13027.027670833337</v>
      </c>
      <c r="H32" s="18">
        <f t="shared" si="11"/>
        <v>16095.452562560926</v>
      </c>
      <c r="I32" s="18">
        <f t="shared" si="11"/>
        <v>19340.123214247036</v>
      </c>
      <c r="J32" s="18">
        <f t="shared" si="11"/>
        <v>21849.233011350054</v>
      </c>
      <c r="K32" s="18">
        <f t="shared" si="11"/>
        <v>24239.087349925503</v>
      </c>
      <c r="L32" s="18">
        <f t="shared" si="11"/>
        <v>26488.710875683635</v>
      </c>
      <c r="M32" s="18">
        <f t="shared" si="11"/>
        <v>28514.174150960262</v>
      </c>
      <c r="N32" s="18">
        <f t="shared" si="11"/>
        <v>30277.634397870366</v>
      </c>
      <c r="O32" s="18">
        <f t="shared" si="11"/>
        <v>31996.345900716569</v>
      </c>
      <c r="P32" s="18">
        <f t="shared" si="11"/>
        <v>33584.411527324133</v>
      </c>
    </row>
    <row r="33" spans="2:16" x14ac:dyDescent="0.3">
      <c r="B33" s="5" t="s">
        <v>1665</v>
      </c>
      <c r="C33" s="5"/>
      <c r="D33" s="5"/>
      <c r="E33" s="5"/>
      <c r="F33" s="5"/>
      <c r="G33" s="5"/>
      <c r="H33" s="5"/>
      <c r="I33" s="5"/>
      <c r="J33" s="5"/>
      <c r="K33" s="5"/>
      <c r="L33" s="5"/>
      <c r="M33" s="5"/>
      <c r="N33" s="5"/>
      <c r="O33" s="5"/>
      <c r="P33" s="5"/>
    </row>
    <row r="34" spans="2:16" x14ac:dyDescent="0.3">
      <c r="B34" t="s">
        <v>1666</v>
      </c>
      <c r="C34" t="s">
        <v>46</v>
      </c>
      <c r="D34" s="17"/>
      <c r="E34" s="17"/>
      <c r="F34" s="17"/>
      <c r="G34" s="17">
        <f>('02 Assumptions'!G47+'09 Escenarios'!$F$14)/365*G11</f>
        <v>4467.1171232876713</v>
      </c>
      <c r="H34" s="17">
        <f>('02 Assumptions'!H47+'09 Escenarios'!$F$14)/365*H11</f>
        <v>5179.397630821918</v>
      </c>
      <c r="I34" s="17">
        <f>('02 Assumptions'!I47+'09 Escenarios'!$F$14)/365*I11</f>
        <v>5902.17566944178</v>
      </c>
      <c r="J34" s="17">
        <f>('02 Assumptions'!J47+'09 Escenarios'!$F$14)/365*J11</f>
        <v>6552.117282563303</v>
      </c>
      <c r="K34" s="17">
        <f>('02 Assumptions'!K47+'09 Escenarios'!$F$14)/365*K11</f>
        <v>7182.0149323994383</v>
      </c>
      <c r="L34" s="17">
        <f>('02 Assumptions'!L47+'09 Escenarios'!$F$14)/365*L11</f>
        <v>7790.815440559456</v>
      </c>
      <c r="M34" s="17">
        <f>('02 Assumptions'!M47+'09 Escenarios'!$F$14)/365*M11</f>
        <v>8366.9056267999458</v>
      </c>
      <c r="N34" s="17">
        <f>('02 Assumptions'!N47+'09 Escenarios'!$F$14)/365*N11</f>
        <v>8882.8650636709244</v>
      </c>
      <c r="O34" s="17">
        <f>('02 Assumptions'!O47+'09 Escenarios'!$F$14)/365*O11</f>
        <v>9383.0770058517082</v>
      </c>
      <c r="P34" s="17">
        <f>('02 Assumptions'!P47+'09 Escenarios'!$F$14)/365*P11</f>
        <v>9841.4100484997471</v>
      </c>
    </row>
    <row r="35" spans="2:16" x14ac:dyDescent="0.3">
      <c r="B35" t="s">
        <v>302</v>
      </c>
      <c r="C35" t="s">
        <v>46</v>
      </c>
      <c r="D35" s="17"/>
      <c r="E35" s="17"/>
      <c r="F35" s="17"/>
      <c r="G35" s="17">
        <f>G11*'02 Assumptions'!G51</f>
        <v>9782.9864999999991</v>
      </c>
      <c r="H35" s="17">
        <f>H11*'02 Assumptions'!H51</f>
        <v>10802.743630000001</v>
      </c>
      <c r="I35" s="17">
        <f>I11*'02 Assumptions'!I51</f>
        <v>12310.252110549998</v>
      </c>
      <c r="J35" s="17">
        <f>J11*'02 Assumptions'!J51</f>
        <v>13665.844617917748</v>
      </c>
      <c r="K35" s="17">
        <f>K11*'02 Assumptions'!K51</f>
        <v>14979.631144718829</v>
      </c>
      <c r="L35" s="17">
        <f>L11*'02 Assumptions'!L51</f>
        <v>16249.415061738297</v>
      </c>
      <c r="M35" s="17">
        <f>M11*'02 Assumptions'!M51</f>
        <v>17450.974593039889</v>
      </c>
      <c r="N35" s="17">
        <f>N11*'02 Assumptions'!N51</f>
        <v>18527.118561370789</v>
      </c>
      <c r="O35" s="17">
        <f>O11*'02 Assumptions'!O51</f>
        <v>19570.417755062135</v>
      </c>
      <c r="P35" s="17">
        <f>P11*'02 Assumptions'!P51</f>
        <v>20526.369529728046</v>
      </c>
    </row>
    <row r="36" spans="2:16" x14ac:dyDescent="0.3">
      <c r="B36" t="s">
        <v>85</v>
      </c>
      <c r="C36" t="s">
        <v>46</v>
      </c>
      <c r="D36" s="17"/>
      <c r="E36" s="17"/>
      <c r="F36" s="17"/>
      <c r="G36" s="17">
        <f>(G16+G28)*'02 Assumptions'!G49</f>
        <v>3013.5558200249998</v>
      </c>
      <c r="H36" s="17">
        <f>(H16+H28)*'02 Assumptions'!H49</f>
        <v>3409.7455911423099</v>
      </c>
      <c r="I36" s="17">
        <f>(I16+I28)*'02 Assumptions'!I49</f>
        <v>3812.9897989738665</v>
      </c>
      <c r="J36" s="17">
        <f>(J16+J28)*'02 Assumptions'!J49</f>
        <v>4198.0791374012424</v>
      </c>
      <c r="K36" s="17">
        <f>(K16+K28)*'02 Assumptions'!K49</f>
        <v>4601.6677895019002</v>
      </c>
      <c r="L36" s="17">
        <f>(L16+L28)*'02 Assumptions'!L49</f>
        <v>4991.739059890695</v>
      </c>
      <c r="M36" s="17">
        <f>(M16+M28)*'02 Assumptions'!M49</f>
        <v>5360.8521401088874</v>
      </c>
      <c r="N36" s="17">
        <f>(N16+N28)*'02 Assumptions'!N49</f>
        <v>5691.4381864602992</v>
      </c>
      <c r="O36" s="17">
        <f>(O16+O28)*'02 Assumptions'!O49</f>
        <v>6011.9344822663124</v>
      </c>
      <c r="P36" s="17">
        <f>(P16+P28)*'02 Assumptions'!P49</f>
        <v>6305.5980876848053</v>
      </c>
    </row>
    <row r="37" spans="2:16" x14ac:dyDescent="0.3">
      <c r="B37" t="s">
        <v>303</v>
      </c>
      <c r="C37" t="s">
        <v>46</v>
      </c>
      <c r="D37" s="17"/>
      <c r="E37" s="17"/>
      <c r="F37" s="17"/>
      <c r="G37" s="17">
        <f>G11*'02 Assumptions'!G52</f>
        <v>1770.2547</v>
      </c>
      <c r="H37" s="17">
        <f>H11*'02 Assumptions'!H52</f>
        <v>2052.5212897000001</v>
      </c>
      <c r="I37" s="17">
        <f>I11*'02 Assumptions'!I52</f>
        <v>2338.9479010044997</v>
      </c>
      <c r="J37" s="17">
        <f>J11*'02 Assumptions'!J52</f>
        <v>2596.5104774043716</v>
      </c>
      <c r="K37" s="17">
        <f>K11*'02 Assumptions'!K52</f>
        <v>2846.1299174965775</v>
      </c>
      <c r="L37" s="17">
        <f>L11*'02 Assumptions'!L52</f>
        <v>3087.3888617302759</v>
      </c>
      <c r="M37" s="17">
        <f>M11*'02 Assumptions'!M52</f>
        <v>3315.6851726775785</v>
      </c>
      <c r="N37" s="17">
        <f>N11*'02 Assumptions'!N52</f>
        <v>3520.1525266604494</v>
      </c>
      <c r="O37" s="17">
        <f>O11*'02 Assumptions'!O52</f>
        <v>3718.3793734618057</v>
      </c>
      <c r="P37" s="17">
        <f>P11*'02 Assumptions'!P52</f>
        <v>3900.0102106483282</v>
      </c>
    </row>
    <row r="38" spans="2:16" x14ac:dyDescent="0.3">
      <c r="B38" t="s">
        <v>87</v>
      </c>
      <c r="C38" t="s">
        <v>46</v>
      </c>
      <c r="D38" s="17"/>
      <c r="E38" s="17"/>
      <c r="F38" s="17"/>
      <c r="G38" s="17">
        <f>G11*'02 Assumptions'!G50</f>
        <v>326.09955000000002</v>
      </c>
      <c r="H38" s="17">
        <f>H11*'02 Assumptions'!H50</f>
        <v>378.09602705000003</v>
      </c>
      <c r="I38" s="17">
        <f>I11*'02 Assumptions'!I50</f>
        <v>430.85882386924993</v>
      </c>
      <c r="J38" s="17">
        <f>J11*'02 Assumptions'!J50</f>
        <v>478.30456162712113</v>
      </c>
      <c r="K38" s="17">
        <f>K11*'02 Assumptions'!K50</f>
        <v>524.28709006515896</v>
      </c>
      <c r="L38" s="17">
        <f>L11*'02 Assumptions'!L50</f>
        <v>568.72952716084035</v>
      </c>
      <c r="M38" s="17">
        <f>M11*'02 Assumptions'!M50</f>
        <v>610.7841107563961</v>
      </c>
      <c r="N38" s="17">
        <f>N11*'02 Assumptions'!N50</f>
        <v>648.44914964797761</v>
      </c>
      <c r="O38" s="17">
        <f>O11*'02 Assumptions'!O50</f>
        <v>684.96462142717473</v>
      </c>
      <c r="P38" s="17">
        <f>P11*'02 Assumptions'!P50</f>
        <v>718.42293354048161</v>
      </c>
    </row>
    <row r="39" spans="2:16" x14ac:dyDescent="0.3">
      <c r="B39" t="s">
        <v>88</v>
      </c>
      <c r="C39" t="s">
        <v>46</v>
      </c>
      <c r="D39" s="17"/>
      <c r="E39" s="17"/>
      <c r="F39" s="17"/>
      <c r="G39" s="17">
        <f>G11*'02 Assumptions'!G53</f>
        <v>4518.8080500000005</v>
      </c>
      <c r="H39" s="17">
        <f>H11*'02 Assumptions'!H53</f>
        <v>5239.3306605500002</v>
      </c>
      <c r="I39" s="17">
        <f>I11*'02 Assumptions'!I53</f>
        <v>5970.4722736167496</v>
      </c>
      <c r="J39" s="17">
        <f>J11*'02 Assumptions'!J53</f>
        <v>6627.9346396901074</v>
      </c>
      <c r="K39" s="17">
        <f>K11*'02 Assumptions'!K53</f>
        <v>7265.1211051886321</v>
      </c>
      <c r="L39" s="17">
        <f>L11*'02 Assumptions'!L53</f>
        <v>7880.9663049430737</v>
      </c>
      <c r="M39" s="17">
        <f>M11*'02 Assumptions'!M53</f>
        <v>8463.722677624346</v>
      </c>
      <c r="N39" s="17">
        <f>N11*'02 Assumptions'!N53</f>
        <v>8985.6525022648329</v>
      </c>
      <c r="O39" s="17">
        <f>O11*'02 Assumptions'!O53</f>
        <v>9491.6526112051361</v>
      </c>
      <c r="P39" s="17">
        <f>P11*'02 Assumptions'!P53</f>
        <v>9955.2892219181012</v>
      </c>
    </row>
    <row r="40" spans="2:16" x14ac:dyDescent="0.3">
      <c r="B40" s="3" t="s">
        <v>1667</v>
      </c>
      <c r="C40" s="3" t="s">
        <v>46</v>
      </c>
      <c r="D40" s="18"/>
      <c r="E40" s="18"/>
      <c r="F40" s="18">
        <f>'04 Operating Model'!F50</f>
        <v>5776</v>
      </c>
      <c r="G40" s="18">
        <f t="shared" ref="G40:P40" si="12">G34+G35-G36-G37-G38-G39</f>
        <v>4621.3855032626698</v>
      </c>
      <c r="H40" s="18">
        <f t="shared" si="12"/>
        <v>4902.4476923796083</v>
      </c>
      <c r="I40" s="18">
        <f t="shared" si="12"/>
        <v>5659.1589825274095</v>
      </c>
      <c r="J40" s="18">
        <f t="shared" si="12"/>
        <v>6317.1330843582091</v>
      </c>
      <c r="K40" s="18">
        <f t="shared" si="12"/>
        <v>6924.4401748659975</v>
      </c>
      <c r="L40" s="18">
        <f t="shared" si="12"/>
        <v>7511.4067485728692</v>
      </c>
      <c r="M40" s="18">
        <f t="shared" si="12"/>
        <v>8066.836118672627</v>
      </c>
      <c r="N40" s="18">
        <f t="shared" si="12"/>
        <v>8564.2912600081527</v>
      </c>
      <c r="O40" s="18">
        <f t="shared" si="12"/>
        <v>9046.5636725534168</v>
      </c>
      <c r="P40" s="18">
        <f t="shared" si="12"/>
        <v>9488.4591244360781</v>
      </c>
    </row>
    <row r="41" spans="2:16" x14ac:dyDescent="0.3">
      <c r="B41" t="s">
        <v>1668</v>
      </c>
      <c r="C41" t="s">
        <v>46</v>
      </c>
      <c r="D41" s="17"/>
      <c r="E41" s="17"/>
      <c r="F41" s="17"/>
      <c r="G41" s="17">
        <f t="shared" ref="G41:P41" si="13">G40-F40</f>
        <v>-1154.6144967373302</v>
      </c>
      <c r="H41" s="17">
        <f t="shared" si="13"/>
        <v>281.0621891169385</v>
      </c>
      <c r="I41" s="17">
        <f t="shared" si="13"/>
        <v>756.71129014780126</v>
      </c>
      <c r="J41" s="17">
        <f t="shared" si="13"/>
        <v>657.97410183079955</v>
      </c>
      <c r="K41" s="17">
        <f t="shared" si="13"/>
        <v>607.30709050778842</v>
      </c>
      <c r="L41" s="17">
        <f t="shared" si="13"/>
        <v>586.96657370687171</v>
      </c>
      <c r="M41" s="17">
        <f t="shared" si="13"/>
        <v>555.42937009975776</v>
      </c>
      <c r="N41" s="17">
        <f t="shared" si="13"/>
        <v>497.4551413355257</v>
      </c>
      <c r="O41" s="17">
        <f t="shared" si="13"/>
        <v>482.27241254526416</v>
      </c>
      <c r="P41" s="17">
        <f t="shared" si="13"/>
        <v>441.89545188266129</v>
      </c>
    </row>
    <row r="42" spans="2:16" x14ac:dyDescent="0.3">
      <c r="B42" s="5" t="s">
        <v>381</v>
      </c>
      <c r="C42" s="5"/>
      <c r="D42" s="5"/>
      <c r="E42" s="5"/>
      <c r="F42" s="5"/>
      <c r="G42" s="5"/>
      <c r="H42" s="5"/>
      <c r="I42" s="5"/>
      <c r="J42" s="5"/>
      <c r="K42" s="5"/>
      <c r="L42" s="5"/>
      <c r="M42" s="5"/>
      <c r="N42" s="5"/>
      <c r="O42" s="5"/>
      <c r="P42" s="5"/>
    </row>
    <row r="43" spans="2:16" x14ac:dyDescent="0.3">
      <c r="B43" t="s">
        <v>309</v>
      </c>
      <c r="C43" t="s">
        <v>23</v>
      </c>
      <c r="D43" s="19"/>
      <c r="E43" s="19"/>
      <c r="F43" s="19"/>
      <c r="G43" s="19">
        <f>'02 Assumptions'!G56+'09 Escenarios'!$F$15</f>
        <v>0.13</v>
      </c>
      <c r="H43" s="19">
        <f>'02 Assumptions'!H56+'09 Escenarios'!$F$15</f>
        <v>0.13499999999999998</v>
      </c>
      <c r="I43" s="19">
        <f>'02 Assumptions'!I56+'09 Escenarios'!$F$15</f>
        <v>0.13999999999999999</v>
      </c>
      <c r="J43" s="19">
        <f>'02 Assumptions'!J56+'09 Escenarios'!$F$15</f>
        <v>0.14499999999999999</v>
      </c>
      <c r="K43" s="19">
        <f>'02 Assumptions'!K56+'09 Escenarios'!$F$15</f>
        <v>0.15</v>
      </c>
      <c r="L43" s="19">
        <f>'02 Assumptions'!L56+'09 Escenarios'!$F$15</f>
        <v>0.155</v>
      </c>
      <c r="M43" s="19">
        <f>'02 Assumptions'!M56+'09 Escenarios'!$F$15</f>
        <v>0.16</v>
      </c>
      <c r="N43" s="19">
        <f>'02 Assumptions'!N56+'09 Escenarios'!$F$15</f>
        <v>0.16</v>
      </c>
      <c r="O43" s="19">
        <f>'02 Assumptions'!O56+'09 Escenarios'!$F$15</f>
        <v>0.16</v>
      </c>
      <c r="P43" s="19">
        <f>'02 Assumptions'!P56+'09 Escenarios'!$F$15</f>
        <v>0.16</v>
      </c>
    </row>
    <row r="44" spans="2:16" x14ac:dyDescent="0.3">
      <c r="B44" t="s">
        <v>375</v>
      </c>
      <c r="C44" t="s">
        <v>46</v>
      </c>
      <c r="D44" s="17"/>
      <c r="E44" s="17"/>
      <c r="F44" s="17"/>
      <c r="G44" s="17">
        <f t="shared" ref="G44:P44" si="14">-G24*G43</f>
        <v>-1458.1336250000006</v>
      </c>
      <c r="H44" s="17">
        <f t="shared" si="14"/>
        <v>-1921.5500265674998</v>
      </c>
      <c r="I44" s="17">
        <f t="shared" si="14"/>
        <v>-2442.5468254868802</v>
      </c>
      <c r="J44" s="17">
        <f t="shared" si="14"/>
        <v>-2892.3325176571589</v>
      </c>
      <c r="K44" s="17">
        <f t="shared" si="14"/>
        <v>-3349.4170075617371</v>
      </c>
      <c r="L44" s="17">
        <f t="shared" si="14"/>
        <v>-3800.2688918726972</v>
      </c>
      <c r="M44" s="17">
        <f t="shared" si="14"/>
        <v>-4244.0770210273022</v>
      </c>
      <c r="N44" s="17">
        <f t="shared" si="14"/>
        <v>-4505.7952341253767</v>
      </c>
      <c r="O44" s="17">
        <f t="shared" si="14"/>
        <v>-4759.5255980311122</v>
      </c>
      <c r="P44" s="17">
        <f t="shared" si="14"/>
        <v>-4992.0130696298629</v>
      </c>
    </row>
    <row r="45" spans="2:16" x14ac:dyDescent="0.3">
      <c r="B45" s="3" t="s">
        <v>376</v>
      </c>
      <c r="C45" s="3" t="s">
        <v>46</v>
      </c>
      <c r="D45" s="18"/>
      <c r="E45" s="18"/>
      <c r="F45" s="18"/>
      <c r="G45" s="18">
        <f t="shared" ref="G45:P45" si="15">G24+G44</f>
        <v>9758.2788750000036</v>
      </c>
      <c r="H45" s="18">
        <f t="shared" si="15"/>
        <v>12312.153873932501</v>
      </c>
      <c r="I45" s="18">
        <f t="shared" si="15"/>
        <v>15004.216213705124</v>
      </c>
      <c r="J45" s="18">
        <f t="shared" si="15"/>
        <v>17054.788293771522</v>
      </c>
      <c r="K45" s="18">
        <f t="shared" si="15"/>
        <v>18980.029709516512</v>
      </c>
      <c r="L45" s="18">
        <f t="shared" si="15"/>
        <v>20717.594926660833</v>
      </c>
      <c r="M45" s="18">
        <f t="shared" si="15"/>
        <v>22281.404360393339</v>
      </c>
      <c r="N45" s="18">
        <f t="shared" si="15"/>
        <v>23655.424979158226</v>
      </c>
      <c r="O45" s="18">
        <f t="shared" si="15"/>
        <v>24987.509389663341</v>
      </c>
      <c r="P45" s="18">
        <f t="shared" si="15"/>
        <v>26208.068615556778</v>
      </c>
    </row>
    <row r="46" spans="2:16" x14ac:dyDescent="0.3">
      <c r="B46" t="s">
        <v>377</v>
      </c>
      <c r="C46" t="s">
        <v>46</v>
      </c>
      <c r="D46" s="17"/>
      <c r="E46" s="17"/>
      <c r="F46" s="17"/>
      <c r="G46" s="17">
        <f t="shared" ref="G46:P46" si="16">G31</f>
        <v>1810.6151708333334</v>
      </c>
      <c r="H46" s="17">
        <f t="shared" si="16"/>
        <v>1861.7486620609259</v>
      </c>
      <c r="I46" s="17">
        <f t="shared" si="16"/>
        <v>1893.360175055034</v>
      </c>
      <c r="J46" s="17">
        <f t="shared" si="16"/>
        <v>1902.1121999213713</v>
      </c>
      <c r="K46" s="17">
        <f t="shared" si="16"/>
        <v>1909.6406328472567</v>
      </c>
      <c r="L46" s="17">
        <f t="shared" si="16"/>
        <v>1970.8470571501041</v>
      </c>
      <c r="M46" s="17">
        <f t="shared" si="16"/>
        <v>1988.6927695396241</v>
      </c>
      <c r="N46" s="17">
        <f t="shared" si="16"/>
        <v>2116.4141845867653</v>
      </c>
      <c r="O46" s="17">
        <f t="shared" si="16"/>
        <v>2249.3109130221164</v>
      </c>
      <c r="P46" s="17">
        <f t="shared" si="16"/>
        <v>2384.3298421374911</v>
      </c>
    </row>
    <row r="47" spans="2:16" x14ac:dyDescent="0.3">
      <c r="B47" t="s">
        <v>378</v>
      </c>
      <c r="C47" t="s">
        <v>46</v>
      </c>
      <c r="D47" s="17"/>
      <c r="E47" s="17"/>
      <c r="F47" s="17"/>
      <c r="G47" s="17">
        <f t="shared" ref="G47:P47" si="17">-G28</f>
        <v>-1991.5365374999997</v>
      </c>
      <c r="H47" s="17">
        <f t="shared" si="17"/>
        <v>-1949.895225215</v>
      </c>
      <c r="I47" s="17">
        <f t="shared" si="17"/>
        <v>-1988.1057158538244</v>
      </c>
      <c r="J47" s="17">
        <f t="shared" si="17"/>
        <v>-1947.3828580532788</v>
      </c>
      <c r="K47" s="17">
        <f t="shared" si="17"/>
        <v>-2134.5974381224328</v>
      </c>
      <c r="L47" s="17">
        <f t="shared" si="17"/>
        <v>-2315.5416462977068</v>
      </c>
      <c r="M47" s="17">
        <f t="shared" si="17"/>
        <v>-2486.7638795081834</v>
      </c>
      <c r="N47" s="17">
        <f t="shared" si="17"/>
        <v>-2640.1143949953371</v>
      </c>
      <c r="O47" s="17">
        <f t="shared" si="17"/>
        <v>-2788.784530096354</v>
      </c>
      <c r="P47" s="17">
        <f t="shared" si="17"/>
        <v>-2925.0076579862462</v>
      </c>
    </row>
    <row r="48" spans="2:16" x14ac:dyDescent="0.3">
      <c r="B48" t="s">
        <v>1669</v>
      </c>
      <c r="C48" t="s">
        <v>46</v>
      </c>
      <c r="D48" s="17"/>
      <c r="E48" s="17"/>
      <c r="F48" s="17"/>
      <c r="G48" s="17">
        <f t="shared" ref="G48:P48" si="18">-G41</f>
        <v>1154.6144967373302</v>
      </c>
      <c r="H48" s="17">
        <f t="shared" si="18"/>
        <v>-281.0621891169385</v>
      </c>
      <c r="I48" s="17">
        <f t="shared" si="18"/>
        <v>-756.71129014780126</v>
      </c>
      <c r="J48" s="17">
        <f t="shared" si="18"/>
        <v>-657.97410183079955</v>
      </c>
      <c r="K48" s="17">
        <f t="shared" si="18"/>
        <v>-607.30709050778842</v>
      </c>
      <c r="L48" s="17">
        <f t="shared" si="18"/>
        <v>-586.96657370687171</v>
      </c>
      <c r="M48" s="17">
        <f t="shared" si="18"/>
        <v>-555.42937009975776</v>
      </c>
      <c r="N48" s="17">
        <f t="shared" si="18"/>
        <v>-497.4551413355257</v>
      </c>
      <c r="O48" s="17">
        <f t="shared" si="18"/>
        <v>-482.27241254526416</v>
      </c>
      <c r="P48" s="17">
        <f t="shared" si="18"/>
        <v>-441.89545188266129</v>
      </c>
    </row>
    <row r="49" spans="2:16" x14ac:dyDescent="0.3">
      <c r="B49" t="s">
        <v>1670</v>
      </c>
      <c r="C49" t="s">
        <v>46</v>
      </c>
      <c r="D49" s="17"/>
      <c r="E49" s="17"/>
      <c r="F49" s="17"/>
      <c r="G49" s="17">
        <f t="shared" ref="G49:P49" si="19">-G21</f>
        <v>-100</v>
      </c>
      <c r="H49" s="17">
        <f t="shared" si="19"/>
        <v>-100</v>
      </c>
      <c r="I49" s="17">
        <f t="shared" si="19"/>
        <v>-100</v>
      </c>
      <c r="J49" s="17">
        <f t="shared" si="19"/>
        <v>-100</v>
      </c>
      <c r="K49" s="17">
        <f t="shared" si="19"/>
        <v>-100</v>
      </c>
      <c r="L49" s="17">
        <f t="shared" si="19"/>
        <v>-100</v>
      </c>
      <c r="M49" s="17">
        <f t="shared" si="19"/>
        <v>-100</v>
      </c>
      <c r="N49" s="17">
        <f t="shared" si="19"/>
        <v>-100</v>
      </c>
      <c r="O49" s="17">
        <f t="shared" si="19"/>
        <v>-100</v>
      </c>
      <c r="P49" s="17">
        <f t="shared" si="19"/>
        <v>-100</v>
      </c>
    </row>
    <row r="50" spans="2:16" x14ac:dyDescent="0.3">
      <c r="B50" s="75" t="s">
        <v>381</v>
      </c>
      <c r="C50" s="75" t="s">
        <v>46</v>
      </c>
      <c r="D50" s="105"/>
      <c r="E50" s="105"/>
      <c r="F50" s="105"/>
      <c r="G50" s="105">
        <f t="shared" ref="G50:P50" si="20">SUM(G45:G49)</f>
        <v>10631.972005070667</v>
      </c>
      <c r="H50" s="105">
        <f t="shared" si="20"/>
        <v>11842.945121661487</v>
      </c>
      <c r="I50" s="105">
        <f t="shared" si="20"/>
        <v>14052.759382758532</v>
      </c>
      <c r="J50" s="105">
        <f t="shared" si="20"/>
        <v>16251.543533808815</v>
      </c>
      <c r="K50" s="105">
        <f t="shared" si="20"/>
        <v>18047.765813733546</v>
      </c>
      <c r="L50" s="105">
        <f t="shared" si="20"/>
        <v>19685.933763806359</v>
      </c>
      <c r="M50" s="105">
        <f t="shared" si="20"/>
        <v>21127.903880325019</v>
      </c>
      <c r="N50" s="105">
        <f t="shared" si="20"/>
        <v>22534.269627414127</v>
      </c>
      <c r="O50" s="105">
        <f t="shared" si="20"/>
        <v>23865.763360043842</v>
      </c>
      <c r="P50" s="105">
        <f t="shared" si="20"/>
        <v>25125.495347825359</v>
      </c>
    </row>
    <row r="51" spans="2:16" x14ac:dyDescent="0.3">
      <c r="B51" s="5" t="s">
        <v>1684</v>
      </c>
      <c r="C51" s="5"/>
      <c r="D51" s="5"/>
      <c r="E51" s="5"/>
      <c r="F51" s="5"/>
      <c r="G51" s="5"/>
      <c r="H51" s="5"/>
      <c r="I51" s="5"/>
      <c r="J51" s="5"/>
      <c r="K51" s="5"/>
      <c r="L51" s="5"/>
      <c r="M51" s="5"/>
      <c r="N51" s="5"/>
      <c r="O51" s="5"/>
      <c r="P51" s="5"/>
    </row>
    <row r="52" spans="2:16" x14ac:dyDescent="0.3">
      <c r="B52" t="s">
        <v>1671</v>
      </c>
      <c r="C52" t="s">
        <v>23</v>
      </c>
      <c r="D52" s="19"/>
      <c r="E52" s="19"/>
      <c r="F52" s="19"/>
      <c r="G52" s="19">
        <f>'07 WACC'!$C$36+'09 Escenarios'!$F$17</f>
        <v>0.11040544272914492</v>
      </c>
      <c r="H52" s="19">
        <f>'07 WACC'!$C$36+'09 Escenarios'!$F$17</f>
        <v>0.11040544272914492</v>
      </c>
      <c r="I52" s="19">
        <f>'07 WACC'!$C$36+'09 Escenarios'!$F$17</f>
        <v>0.11040544272914492</v>
      </c>
      <c r="J52" s="19">
        <f>'07 WACC'!$C$36+'09 Escenarios'!$F$17</f>
        <v>0.11040544272914492</v>
      </c>
      <c r="K52" s="19">
        <f>'07 WACC'!$C$36+'09 Escenarios'!$F$17</f>
        <v>0.11040544272914492</v>
      </c>
      <c r="L52" s="19">
        <f>'07 WACC'!$C$36+'09 Escenarios'!$F$17</f>
        <v>0.11040544272914492</v>
      </c>
      <c r="M52" s="19">
        <f>'07 WACC'!$C$36+'09 Escenarios'!$F$17</f>
        <v>0.11040544272914492</v>
      </c>
      <c r="N52" s="19">
        <f>'07 WACC'!$C$36+'09 Escenarios'!$F$17</f>
        <v>0.11040544272914492</v>
      </c>
      <c r="O52" s="19">
        <f>'07 WACC'!$C$36+'09 Escenarios'!$F$17</f>
        <v>0.11040544272914492</v>
      </c>
      <c r="P52" s="19">
        <f>'07 WACC'!$C$36+'09 Escenarios'!$F$17</f>
        <v>0.11040544272914492</v>
      </c>
    </row>
    <row r="53" spans="2:16" x14ac:dyDescent="0.3">
      <c r="B53" t="s">
        <v>353</v>
      </c>
      <c r="C53" t="s">
        <v>23</v>
      </c>
      <c r="D53" s="19"/>
      <c r="E53" s="19"/>
      <c r="F53" s="19"/>
      <c r="G53" s="19">
        <f>'02 Assumptions'!$C$62+'09 Escenarios'!$F$16</f>
        <v>3.4999999999999996E-2</v>
      </c>
      <c r="H53" s="19">
        <f>'02 Assumptions'!$C$62+'09 Escenarios'!$F$16</f>
        <v>3.4999999999999996E-2</v>
      </c>
      <c r="I53" s="19">
        <f>'02 Assumptions'!$C$62+'09 Escenarios'!$F$16</f>
        <v>3.4999999999999996E-2</v>
      </c>
      <c r="J53" s="19">
        <f>'02 Assumptions'!$C$62+'09 Escenarios'!$F$16</f>
        <v>3.4999999999999996E-2</v>
      </c>
      <c r="K53" s="19">
        <f>'02 Assumptions'!$C$62+'09 Escenarios'!$F$16</f>
        <v>3.4999999999999996E-2</v>
      </c>
      <c r="L53" s="19">
        <f>'02 Assumptions'!$C$62+'09 Escenarios'!$F$16</f>
        <v>3.4999999999999996E-2</v>
      </c>
      <c r="M53" s="19">
        <f>'02 Assumptions'!$C$62+'09 Escenarios'!$F$16</f>
        <v>3.4999999999999996E-2</v>
      </c>
      <c r="N53" s="19">
        <f>'02 Assumptions'!$C$62+'09 Escenarios'!$F$16</f>
        <v>3.4999999999999996E-2</v>
      </c>
      <c r="O53" s="19">
        <f>'02 Assumptions'!$C$62+'09 Escenarios'!$F$16</f>
        <v>3.4999999999999996E-2</v>
      </c>
      <c r="P53" s="19">
        <f>'02 Assumptions'!$C$62+'09 Escenarios'!$F$16</f>
        <v>3.4999999999999996E-2</v>
      </c>
    </row>
    <row r="54" spans="2:16" x14ac:dyDescent="0.3">
      <c r="B54" t="s">
        <v>389</v>
      </c>
      <c r="C54" t="s">
        <v>23</v>
      </c>
      <c r="D54" s="19"/>
      <c r="E54" s="19"/>
      <c r="F54" s="19"/>
      <c r="G54" s="19">
        <f>'02 Assumptions'!$C$66</f>
        <v>0.3</v>
      </c>
      <c r="H54" s="19">
        <f>'02 Assumptions'!$C$66</f>
        <v>0.3</v>
      </c>
      <c r="I54" s="19">
        <f>'02 Assumptions'!$C$66</f>
        <v>0.3</v>
      </c>
      <c r="J54" s="19">
        <f>'02 Assumptions'!$C$66</f>
        <v>0.3</v>
      </c>
      <c r="K54" s="19">
        <f>'02 Assumptions'!$C$66</f>
        <v>0.3</v>
      </c>
      <c r="L54" s="19">
        <f>'02 Assumptions'!$C$66</f>
        <v>0.3</v>
      </c>
      <c r="M54" s="19">
        <f>'02 Assumptions'!$C$66</f>
        <v>0.3</v>
      </c>
      <c r="N54" s="19">
        <f>'02 Assumptions'!$C$66</f>
        <v>0.3</v>
      </c>
      <c r="O54" s="19">
        <f>'02 Assumptions'!$C$66</f>
        <v>0.3</v>
      </c>
      <c r="P54" s="19">
        <f>'02 Assumptions'!$C$66</f>
        <v>0.3</v>
      </c>
    </row>
    <row r="55" spans="2:16" x14ac:dyDescent="0.3">
      <c r="B55" t="s">
        <v>1672</v>
      </c>
      <c r="C55" t="s">
        <v>238</v>
      </c>
      <c r="D55" s="26"/>
      <c r="E55" s="26"/>
      <c r="F55" s="26"/>
      <c r="G55" s="26">
        <f>COLUMNS($G55:G55)-IF('02 Assumptions'!$C$12=2,0.5,0)</f>
        <v>0.5</v>
      </c>
      <c r="H55" s="26">
        <f>COLUMNS($G55:H55)-IF('02 Assumptions'!$C$12=2,0.5,0)</f>
        <v>1.5</v>
      </c>
      <c r="I55" s="26">
        <f>COLUMNS($G55:I55)-IF('02 Assumptions'!$C$12=2,0.5,0)</f>
        <v>2.5</v>
      </c>
      <c r="J55" s="26">
        <f>COLUMNS($G55:J55)-IF('02 Assumptions'!$C$12=2,0.5,0)</f>
        <v>3.5</v>
      </c>
      <c r="K55" s="26">
        <f>COLUMNS($G55:K55)-IF('02 Assumptions'!$C$12=2,0.5,0)</f>
        <v>4.5</v>
      </c>
      <c r="L55" s="26">
        <f>COLUMNS($G55:L55)-IF('02 Assumptions'!$C$12=2,0.5,0)</f>
        <v>5.5</v>
      </c>
      <c r="M55" s="26">
        <f>COLUMNS($G55:M55)-IF('02 Assumptions'!$C$12=2,0.5,0)</f>
        <v>6.5</v>
      </c>
      <c r="N55" s="26">
        <f>COLUMNS($G55:N55)-IF('02 Assumptions'!$C$12=2,0.5,0)</f>
        <v>7.5</v>
      </c>
      <c r="O55" s="26">
        <f>COLUMNS($G55:O55)-IF('02 Assumptions'!$C$12=2,0.5,0)</f>
        <v>8.5</v>
      </c>
      <c r="P55" s="26">
        <f>COLUMNS($G55:P55)-IF('02 Assumptions'!$C$12=2,0.5,0)</f>
        <v>9.5</v>
      </c>
    </row>
    <row r="56" spans="2:16" x14ac:dyDescent="0.3">
      <c r="B56" t="s">
        <v>1673</v>
      </c>
      <c r="C56" t="s">
        <v>145</v>
      </c>
      <c r="D56" s="44"/>
      <c r="E56" s="44"/>
      <c r="F56" s="44"/>
      <c r="G56" s="44">
        <f t="shared" ref="G56:P56" si="21">1/(1+G52)^G55</f>
        <v>0.94898469673576213</v>
      </c>
      <c r="H56" s="44">
        <f t="shared" si="21"/>
        <v>0.85462900326150748</v>
      </c>
      <c r="I56" s="44">
        <f t="shared" si="21"/>
        <v>0.7696549119581112</v>
      </c>
      <c r="J56" s="44">
        <f t="shared" si="21"/>
        <v>0.69312962845936699</v>
      </c>
      <c r="K56" s="44">
        <f t="shared" si="21"/>
        <v>0.62421310431962485</v>
      </c>
      <c r="L56" s="44">
        <f t="shared" si="21"/>
        <v>0.5621488154681944</v>
      </c>
      <c r="M56" s="44">
        <f t="shared" si="21"/>
        <v>0.50625545754400292</v>
      </c>
      <c r="N56" s="44">
        <f t="shared" si="21"/>
        <v>0.45591946694689511</v>
      </c>
      <c r="O56" s="44">
        <f t="shared" si="21"/>
        <v>0.41058828550618426</v>
      </c>
      <c r="P56" s="44">
        <f t="shared" si="21"/>
        <v>0.36976429483004325</v>
      </c>
    </row>
    <row r="57" spans="2:16" x14ac:dyDescent="0.3">
      <c r="B57" t="s">
        <v>1674</v>
      </c>
      <c r="C57" t="s">
        <v>46</v>
      </c>
      <c r="D57" s="17"/>
      <c r="E57" s="17"/>
      <c r="F57" s="17"/>
      <c r="G57" s="17">
        <f t="shared" ref="G57:P57" si="22">G50*G56</f>
        <v>10089.578728935101</v>
      </c>
      <c r="H57" s="17">
        <f t="shared" si="22"/>
        <v>10121.32438500629</v>
      </c>
      <c r="I57" s="17">
        <f t="shared" si="22"/>
        <v>10815.775285505539</v>
      </c>
      <c r="J57" s="17">
        <f t="shared" si="22"/>
        <v>11264.426331480132</v>
      </c>
      <c r="K57" s="17">
        <f t="shared" si="22"/>
        <v>11265.651924624217</v>
      </c>
      <c r="L57" s="17">
        <f t="shared" si="22"/>
        <v>11066.424346709078</v>
      </c>
      <c r="M57" s="17">
        <f t="shared" si="22"/>
        <v>10696.116645879658</v>
      </c>
      <c r="N57" s="17">
        <f t="shared" si="22"/>
        <v>10273.812196568259</v>
      </c>
      <c r="O57" s="17">
        <f t="shared" si="22"/>
        <v>9799.0028602967122</v>
      </c>
      <c r="P57" s="17">
        <f t="shared" si="22"/>
        <v>9290.5110695441763</v>
      </c>
    </row>
    <row r="59" spans="2:16" x14ac:dyDescent="0.3">
      <c r="B59" t="s">
        <v>1689</v>
      </c>
      <c r="C59" t="s">
        <v>46</v>
      </c>
      <c r="D59" s="17"/>
      <c r="E59" s="17"/>
      <c r="F59" s="17">
        <f>SUM(G57:P57)</f>
        <v>104682.62377454917</v>
      </c>
      <c r="G59" s="17"/>
      <c r="H59" s="17"/>
      <c r="I59" s="17"/>
      <c r="J59" s="17"/>
      <c r="K59" s="17"/>
      <c r="L59" s="17"/>
      <c r="M59" s="17"/>
      <c r="N59" s="17"/>
      <c r="O59" s="17"/>
      <c r="P59" s="17"/>
    </row>
    <row r="60" spans="2:16" x14ac:dyDescent="0.3">
      <c r="B60" t="s">
        <v>1675</v>
      </c>
      <c r="C60" t="s">
        <v>23</v>
      </c>
      <c r="D60" s="19"/>
      <c r="E60" s="19"/>
      <c r="F60" s="19">
        <f>P53/P54</f>
        <v>0.11666666666666665</v>
      </c>
      <c r="G60" s="19"/>
      <c r="H60" s="19"/>
      <c r="I60" s="19"/>
      <c r="J60" s="19"/>
      <c r="K60" s="19"/>
      <c r="L60" s="19"/>
      <c r="M60" s="19"/>
      <c r="N60" s="19"/>
      <c r="O60" s="19"/>
      <c r="P60" s="19"/>
    </row>
    <row r="61" spans="2:16" x14ac:dyDescent="0.3">
      <c r="B61" t="s">
        <v>1676</v>
      </c>
      <c r="C61" t="s">
        <v>46</v>
      </c>
      <c r="D61" s="17"/>
      <c r="E61" s="17"/>
      <c r="F61" s="17">
        <f>P45*(1+P53)</f>
        <v>27125.351017101264</v>
      </c>
      <c r="G61" s="17"/>
      <c r="H61" s="17"/>
      <c r="I61" s="17"/>
      <c r="J61" s="17"/>
      <c r="K61" s="17"/>
      <c r="L61" s="17"/>
      <c r="M61" s="17"/>
      <c r="N61" s="17"/>
      <c r="O61" s="17"/>
      <c r="P61" s="17"/>
    </row>
    <row r="62" spans="2:16" x14ac:dyDescent="0.3">
      <c r="B62" t="s">
        <v>1677</v>
      </c>
      <c r="C62" t="s">
        <v>46</v>
      </c>
      <c r="D62" s="17"/>
      <c r="E62" s="17"/>
      <c r="F62" s="17">
        <f>F61*(1-F60)</f>
        <v>23960.726731772782</v>
      </c>
      <c r="G62" s="17"/>
      <c r="H62" s="17"/>
      <c r="I62" s="17"/>
      <c r="J62" s="17"/>
      <c r="K62" s="17"/>
      <c r="L62" s="17"/>
      <c r="M62" s="17"/>
      <c r="N62" s="17"/>
      <c r="O62" s="17"/>
      <c r="P62" s="17"/>
    </row>
    <row r="63" spans="2:16" x14ac:dyDescent="0.3">
      <c r="B63" t="s">
        <v>1678</v>
      </c>
      <c r="C63" t="s">
        <v>46</v>
      </c>
      <c r="D63" s="17"/>
      <c r="E63" s="17"/>
      <c r="F63" s="17">
        <f>IF(P52&lt;=P53,"FALLO: WACC&lt;=g",F62/(P52-P53))</f>
        <v>317758.58432181488</v>
      </c>
      <c r="G63" s="17"/>
      <c r="H63" s="17"/>
      <c r="I63" s="17"/>
      <c r="J63" s="17"/>
      <c r="K63" s="17"/>
      <c r="L63" s="17"/>
      <c r="M63" s="17"/>
      <c r="N63" s="17"/>
      <c r="O63" s="17"/>
      <c r="P63" s="17"/>
    </row>
    <row r="64" spans="2:16" x14ac:dyDescent="0.3">
      <c r="B64" t="s">
        <v>1679</v>
      </c>
      <c r="C64" t="s">
        <v>145</v>
      </c>
      <c r="D64" s="44"/>
      <c r="E64" s="44"/>
      <c r="F64" s="44">
        <f>1/(1+P52)^'02 Assumptions'!$C$11</f>
        <v>0.35090065719300145</v>
      </c>
      <c r="G64" s="44"/>
      <c r="H64" s="44"/>
      <c r="I64" s="44"/>
      <c r="J64" s="44"/>
      <c r="K64" s="44"/>
      <c r="L64" s="44"/>
      <c r="M64" s="44"/>
      <c r="N64" s="44"/>
      <c r="O64" s="44"/>
      <c r="P64" s="44"/>
    </row>
    <row r="65" spans="2:16" x14ac:dyDescent="0.3">
      <c r="B65" t="s">
        <v>404</v>
      </c>
      <c r="C65" t="s">
        <v>46</v>
      </c>
      <c r="D65" s="17"/>
      <c r="E65" s="17"/>
      <c r="F65" s="17">
        <f>F63*F64</f>
        <v>111501.69606724261</v>
      </c>
      <c r="G65" s="17"/>
      <c r="H65" s="17"/>
      <c r="I65" s="17"/>
      <c r="J65" s="17"/>
      <c r="K65" s="17"/>
      <c r="L65" s="17"/>
      <c r="M65" s="17"/>
      <c r="N65" s="17"/>
      <c r="O65" s="17"/>
      <c r="P65" s="17"/>
    </row>
    <row r="66" spans="2:16" x14ac:dyDescent="0.3">
      <c r="B66" s="99" t="s">
        <v>405</v>
      </c>
      <c r="C66" s="99" t="s">
        <v>46</v>
      </c>
      <c r="D66" s="106"/>
      <c r="E66" s="106"/>
      <c r="F66" s="106">
        <f>F59+F65</f>
        <v>216184.31984179176</v>
      </c>
      <c r="G66" s="18"/>
      <c r="H66" s="18"/>
      <c r="I66" s="18"/>
      <c r="J66" s="18"/>
      <c r="K66" s="18"/>
      <c r="L66" s="18"/>
      <c r="M66" s="18"/>
      <c r="N66" s="18"/>
      <c r="O66" s="18"/>
      <c r="P66" s="18"/>
    </row>
    <row r="67" spans="2:16" x14ac:dyDescent="0.3">
      <c r="B67" t="s">
        <v>406</v>
      </c>
      <c r="C67" t="s">
        <v>23</v>
      </c>
      <c r="D67" s="19"/>
      <c r="E67" s="19"/>
      <c r="F67" s="19">
        <f>F65/F66</f>
        <v>0.51577143128993763</v>
      </c>
      <c r="G67" s="19"/>
      <c r="H67" s="19"/>
      <c r="I67" s="19"/>
      <c r="J67" s="19"/>
      <c r="K67" s="19"/>
      <c r="L67" s="19"/>
      <c r="M67" s="19"/>
      <c r="N67" s="19"/>
      <c r="O67" s="19"/>
      <c r="P67" s="19"/>
    </row>
    <row r="68" spans="2:16" x14ac:dyDescent="0.3">
      <c r="B68" t="s">
        <v>450</v>
      </c>
      <c r="C68" t="s">
        <v>145</v>
      </c>
      <c r="D68" s="44"/>
      <c r="E68" s="44"/>
      <c r="F68" s="44">
        <f>IFERROR(F63/P32,"n/a")</f>
        <v>9.4614903126496017</v>
      </c>
      <c r="G68" s="44"/>
      <c r="H68" s="44"/>
      <c r="I68" s="44"/>
      <c r="J68" s="44"/>
      <c r="K68" s="44"/>
      <c r="L68" s="44"/>
      <c r="M68" s="44"/>
      <c r="N68" s="44"/>
      <c r="O68" s="44"/>
      <c r="P68" s="44"/>
    </row>
    <row r="69" spans="2:16" x14ac:dyDescent="0.3">
      <c r="B69" t="s">
        <v>1690</v>
      </c>
      <c r="C69" t="s">
        <v>46</v>
      </c>
      <c r="D69" s="17"/>
      <c r="E69" s="17"/>
      <c r="F69" s="17">
        <f>SUM('06 DCF'!$F$46:$F$52)</f>
        <v>-6444.9599999999991</v>
      </c>
      <c r="G69" s="17"/>
      <c r="H69" s="17"/>
      <c r="I69" s="17"/>
      <c r="J69" s="17"/>
      <c r="K69" s="17"/>
      <c r="L69" s="17"/>
      <c r="M69" s="17"/>
      <c r="N69" s="17"/>
      <c r="O69" s="17"/>
      <c r="P69" s="17"/>
    </row>
    <row r="70" spans="2:16" x14ac:dyDescent="0.3">
      <c r="B70" s="99" t="s">
        <v>413</v>
      </c>
      <c r="C70" s="99" t="s">
        <v>46</v>
      </c>
      <c r="D70" s="106"/>
      <c r="E70" s="106"/>
      <c r="F70" s="106">
        <f>F66+F69</f>
        <v>209739.35984179177</v>
      </c>
      <c r="G70" s="18"/>
      <c r="H70" s="18"/>
      <c r="I70" s="18"/>
      <c r="J70" s="18"/>
      <c r="K70" s="18"/>
      <c r="L70" s="18"/>
      <c r="M70" s="18"/>
      <c r="N70" s="18"/>
      <c r="O70" s="18"/>
      <c r="P70" s="18"/>
    </row>
    <row r="71" spans="2:16" x14ac:dyDescent="0.3">
      <c r="B71" t="s">
        <v>414</v>
      </c>
      <c r="C71" t="s">
        <v>69</v>
      </c>
      <c r="D71" s="21"/>
      <c r="E71" s="21"/>
      <c r="F71" s="21">
        <f>'02 Assumptions'!$C$69</f>
        <v>1085.6999924345589</v>
      </c>
      <c r="G71" s="21"/>
      <c r="H71" s="21"/>
      <c r="I71" s="21"/>
      <c r="J71" s="21"/>
      <c r="K71" s="21"/>
      <c r="L71" s="21"/>
      <c r="M71" s="21"/>
      <c r="N71" s="21"/>
      <c r="O71" s="21"/>
      <c r="P71" s="21"/>
    </row>
    <row r="72" spans="2:16" ht="15.6" x14ac:dyDescent="0.3">
      <c r="B72" s="107" t="s">
        <v>415</v>
      </c>
      <c r="C72" s="107" t="s">
        <v>66</v>
      </c>
      <c r="D72" s="168"/>
      <c r="E72" s="168"/>
      <c r="F72" s="168">
        <f>F70/F71</f>
        <v>193.18353256268804</v>
      </c>
      <c r="G72" s="186"/>
      <c r="H72" s="186"/>
      <c r="I72" s="186"/>
      <c r="J72" s="186"/>
      <c r="K72" s="186"/>
      <c r="L72" s="186"/>
      <c r="M72" s="186"/>
      <c r="N72" s="186"/>
      <c r="O72" s="186"/>
      <c r="P72" s="186"/>
    </row>
    <row r="73" spans="2:16" x14ac:dyDescent="0.3">
      <c r="B73" t="s">
        <v>570</v>
      </c>
      <c r="C73" t="s">
        <v>66</v>
      </c>
      <c r="D73" s="164"/>
      <c r="E73" s="164"/>
      <c r="F73" s="164">
        <f>'01 Summary'!$C$10</f>
        <v>198.27</v>
      </c>
      <c r="G73" s="164"/>
      <c r="H73" s="164"/>
      <c r="I73" s="164"/>
      <c r="J73" s="164"/>
      <c r="K73" s="164"/>
      <c r="L73" s="164"/>
      <c r="M73" s="164"/>
      <c r="N73" s="164"/>
      <c r="O73" s="164"/>
      <c r="P73" s="164"/>
    </row>
    <row r="74" spans="2:16" x14ac:dyDescent="0.3">
      <c r="B74" t="s">
        <v>417</v>
      </c>
      <c r="C74" t="s">
        <v>23</v>
      </c>
      <c r="D74" s="19"/>
      <c r="E74" s="19"/>
      <c r="F74" s="19">
        <f>IF(F73&lt;=0,"introducir precio",F72/F73-1)</f>
        <v>-2.5654246418076232E-2</v>
      </c>
      <c r="G74" s="19"/>
      <c r="H74" s="19"/>
      <c r="I74" s="19"/>
      <c r="J74" s="19"/>
      <c r="K74" s="19"/>
      <c r="L74" s="19"/>
      <c r="M74" s="19"/>
      <c r="N74" s="19"/>
      <c r="O74" s="19"/>
      <c r="P74" s="19"/>
    </row>
    <row r="75" spans="2:16" x14ac:dyDescent="0.3">
      <c r="B75" t="s">
        <v>1691</v>
      </c>
      <c r="C75" t="s">
        <v>46</v>
      </c>
      <c r="D75" s="17"/>
      <c r="E75" s="17"/>
      <c r="F75" s="17">
        <f>P11</f>
        <v>102631.84764864022</v>
      </c>
      <c r="G75" s="17"/>
      <c r="H75" s="17"/>
      <c r="I75" s="17"/>
      <c r="J75" s="17"/>
      <c r="K75" s="17"/>
      <c r="L75" s="17"/>
      <c r="M75" s="17"/>
      <c r="N75" s="17"/>
      <c r="O75" s="17"/>
      <c r="P75" s="17"/>
    </row>
    <row r="77" spans="2:16" x14ac:dyDescent="0.3">
      <c r="B77" s="5" t="s">
        <v>1680</v>
      </c>
      <c r="C77" s="5"/>
      <c r="D77" s="5"/>
      <c r="E77" s="5"/>
      <c r="F77" s="5"/>
      <c r="G77" s="5"/>
      <c r="H77" s="5"/>
      <c r="I77" s="5"/>
      <c r="J77" s="5"/>
      <c r="K77" s="5"/>
      <c r="L77" s="5"/>
      <c r="M77" s="5"/>
      <c r="N77" s="5"/>
      <c r="O77" s="5"/>
      <c r="P77" s="5"/>
    </row>
    <row r="78" spans="2:16" x14ac:dyDescent="0.3">
      <c r="B78" s="101" t="s">
        <v>354</v>
      </c>
      <c r="C78" s="101"/>
      <c r="D78" s="101"/>
      <c r="E78" s="101"/>
      <c r="F78" s="101" t="str">
        <f>IF(P52&gt;P53,"OK","FALLO")</f>
        <v>OK</v>
      </c>
      <c r="G78" s="5"/>
      <c r="H78" s="5"/>
      <c r="I78" s="5"/>
      <c r="J78" s="5"/>
      <c r="K78" s="5"/>
      <c r="L78" s="5"/>
      <c r="M78" s="5"/>
      <c r="N78" s="5"/>
      <c r="O78" s="5"/>
      <c r="P78" s="5"/>
    </row>
    <row r="79" spans="2:16" x14ac:dyDescent="0.3">
      <c r="B79" s="101" t="s">
        <v>1681</v>
      </c>
      <c r="C79" s="101"/>
      <c r="D79" s="101"/>
      <c r="E79" s="101"/>
      <c r="F79" s="101" t="str">
        <f>IF(P50&gt;0,"OK","FALLO")</f>
        <v>OK</v>
      </c>
      <c r="G79" s="5"/>
      <c r="H79" s="5"/>
      <c r="I79" s="5"/>
      <c r="J79" s="5"/>
      <c r="K79" s="5"/>
      <c r="L79" s="5"/>
      <c r="M79" s="5"/>
      <c r="N79" s="5"/>
      <c r="O79" s="5"/>
      <c r="P79" s="5"/>
    </row>
    <row r="80" spans="2:16" x14ac:dyDescent="0.3">
      <c r="B80" s="101" t="s">
        <v>1682</v>
      </c>
      <c r="C80" s="101"/>
      <c r="D80" s="101"/>
      <c r="E80" s="101"/>
      <c r="F80" s="101" t="str">
        <f>IF(P12&gt;=P53,"OK","AVISO: el último año explícito crece menos que la perpetuidad")</f>
        <v>OK</v>
      </c>
      <c r="G80" s="5"/>
      <c r="H80" s="5"/>
      <c r="I80" s="5"/>
      <c r="J80" s="5"/>
      <c r="K80" s="5"/>
      <c r="L80" s="5"/>
      <c r="M80" s="5"/>
      <c r="N80" s="5"/>
      <c r="O80" s="5"/>
      <c r="P80" s="5"/>
    </row>
    <row r="81" spans="2:16" x14ac:dyDescent="0.3">
      <c r="B81" s="101" t="s">
        <v>1692</v>
      </c>
      <c r="C81" s="101"/>
      <c r="D81" s="101"/>
      <c r="E81" s="101"/>
      <c r="F81" s="101" t="str" cm="1">
        <f t="array" ref="F81">IF(SUMPRODUCT(--ISERROR($G$7:$P$57))=0,"OK","FALLO")</f>
        <v>OK</v>
      </c>
      <c r="G81" s="5"/>
      <c r="H81" s="5"/>
      <c r="I81" s="5"/>
      <c r="J81" s="5"/>
      <c r="K81" s="5"/>
      <c r="L81" s="5"/>
      <c r="M81" s="5"/>
      <c r="N81" s="5"/>
      <c r="O81" s="5"/>
      <c r="P81" s="5"/>
    </row>
    <row r="82" spans="2:16" x14ac:dyDescent="0.3">
      <c r="B82" s="101" t="s">
        <v>1693</v>
      </c>
      <c r="C82" s="101"/>
      <c r="D82" s="101"/>
      <c r="E82" s="101"/>
      <c r="F82" s="101" t="s">
        <v>1694</v>
      </c>
      <c r="G82" s="5"/>
      <c r="H82" s="5"/>
      <c r="I82" s="5"/>
      <c r="J82" s="5"/>
      <c r="K82" s="5"/>
      <c r="L82" s="5"/>
      <c r="M82" s="5"/>
      <c r="N82" s="5"/>
      <c r="O82" s="5"/>
      <c r="P82" s="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13FBC-38AC-40EA-A1F5-A412E0B2ADEE}">
  <dimension ref="A1:D57"/>
  <sheetViews>
    <sheetView workbookViewId="0"/>
  </sheetViews>
  <sheetFormatPr baseColWidth="10" defaultRowHeight="14.4" x14ac:dyDescent="0.3"/>
  <cols>
    <col min="2" max="2" width="77.77734375" customWidth="1"/>
    <col min="3" max="3" width="140.77734375" customWidth="1"/>
    <col min="4" max="4" width="25.88671875" customWidth="1"/>
  </cols>
  <sheetData>
    <row r="1" spans="1:4" ht="18" x14ac:dyDescent="0.35">
      <c r="A1" s="4" t="s">
        <v>567</v>
      </c>
    </row>
    <row r="2" spans="1:4" x14ac:dyDescent="0.3">
      <c r="A2" s="14" t="s">
        <v>568</v>
      </c>
    </row>
    <row r="4" spans="1:4" x14ac:dyDescent="0.3">
      <c r="B4" s="5" t="s">
        <v>569</v>
      </c>
      <c r="C4" s="5"/>
      <c r="D4" s="5"/>
    </row>
    <row r="5" spans="1:4" x14ac:dyDescent="0.3">
      <c r="B5" t="s">
        <v>570</v>
      </c>
      <c r="C5" t="s">
        <v>66</v>
      </c>
      <c r="D5" s="179">
        <f>'01 Summary'!$C$10</f>
        <v>198.27</v>
      </c>
    </row>
    <row r="6" spans="1:4" x14ac:dyDescent="0.3">
      <c r="B6" t="s">
        <v>414</v>
      </c>
      <c r="C6" t="s">
        <v>69</v>
      </c>
      <c r="D6" s="21">
        <f>'06 DCF'!$F$54</f>
        <v>1085.6999924345589</v>
      </c>
    </row>
    <row r="7" spans="1:4" x14ac:dyDescent="0.3">
      <c r="B7" t="s">
        <v>571</v>
      </c>
      <c r="C7" t="s">
        <v>46</v>
      </c>
      <c r="D7" s="17">
        <f>D5*D6</f>
        <v>215261.73750000002</v>
      </c>
    </row>
    <row r="8" spans="1:4" x14ac:dyDescent="0.3">
      <c r="B8" t="s">
        <v>572</v>
      </c>
      <c r="C8" t="s">
        <v>46</v>
      </c>
      <c r="D8" s="17">
        <f>'02 Assumptions'!$C$70</f>
        <v>15270</v>
      </c>
    </row>
    <row r="9" spans="1:4" x14ac:dyDescent="0.3">
      <c r="B9" t="s">
        <v>573</v>
      </c>
      <c r="C9" t="s">
        <v>46</v>
      </c>
      <c r="D9" s="17">
        <f>'02 Assumptions'!$C$71</f>
        <v>0</v>
      </c>
    </row>
    <row r="10" spans="1:4" x14ac:dyDescent="0.3">
      <c r="B10" t="s">
        <v>574</v>
      </c>
      <c r="C10" t="s">
        <v>46</v>
      </c>
      <c r="D10" s="17">
        <f>-'02 Assumptions'!$C$72</f>
        <v>-4533</v>
      </c>
    </row>
    <row r="11" spans="1:4" x14ac:dyDescent="0.3">
      <c r="B11" t="s">
        <v>575</v>
      </c>
      <c r="C11" t="s">
        <v>46</v>
      </c>
      <c r="D11" s="17">
        <f>'02 Assumptions'!$C$68*'03 Historical'!$F$11</f>
        <v>857.96</v>
      </c>
    </row>
    <row r="12" spans="1:4" x14ac:dyDescent="0.3">
      <c r="B12" t="s">
        <v>1961</v>
      </c>
      <c r="C12" t="s">
        <v>46</v>
      </c>
      <c r="D12" s="17">
        <f>-('02 Assumptions'!$C$73+'02 Assumptions'!$C$77)</f>
        <v>-5150</v>
      </c>
    </row>
    <row r="13" spans="1:4" x14ac:dyDescent="0.3">
      <c r="B13" t="s">
        <v>576</v>
      </c>
      <c r="C13" t="s">
        <v>46</v>
      </c>
      <c r="D13" s="17">
        <f>'02 Assumptions'!$C$74</f>
        <v>0</v>
      </c>
    </row>
    <row r="14" spans="1:4" x14ac:dyDescent="0.3">
      <c r="B14" t="s">
        <v>577</v>
      </c>
      <c r="C14" t="s">
        <v>46</v>
      </c>
      <c r="D14" s="17">
        <f>'02 Assumptions'!$C$75</f>
        <v>0</v>
      </c>
    </row>
    <row r="15" spans="1:4" x14ac:dyDescent="0.3">
      <c r="B15" s="3" t="s">
        <v>578</v>
      </c>
      <c r="C15" s="3" t="s">
        <v>46</v>
      </c>
      <c r="D15" s="18">
        <f>D7+SUM(D8:D14)</f>
        <v>221706.69750000001</v>
      </c>
    </row>
    <row r="16" spans="1:4" x14ac:dyDescent="0.3">
      <c r="B16" t="s">
        <v>579</v>
      </c>
      <c r="C16" t="s">
        <v>46</v>
      </c>
      <c r="D16" s="17">
        <f>'06 DCF'!$F$44</f>
        <v>149457.62152792938</v>
      </c>
    </row>
    <row r="17" spans="2:4" x14ac:dyDescent="0.3">
      <c r="B17" t="s">
        <v>580</v>
      </c>
      <c r="C17" t="s">
        <v>46</v>
      </c>
      <c r="D17" s="17">
        <f>D15-D16</f>
        <v>72249.075972070626</v>
      </c>
    </row>
    <row r="18" spans="2:4" x14ac:dyDescent="0.3">
      <c r="B18" t="s">
        <v>581</v>
      </c>
      <c r="C18" t="s">
        <v>66</v>
      </c>
      <c r="D18" s="164">
        <f>'06 DCF'!$F$55</f>
        <v>131.72392237678821</v>
      </c>
    </row>
    <row r="19" spans="2:4" x14ac:dyDescent="0.3">
      <c r="B19" t="s">
        <v>582</v>
      </c>
      <c r="C19" t="s">
        <v>66</v>
      </c>
      <c r="D19" s="164">
        <f>D5-D18</f>
        <v>66.546077623211801</v>
      </c>
    </row>
    <row r="21" spans="2:4" x14ac:dyDescent="0.3">
      <c r="B21" s="5" t="s">
        <v>583</v>
      </c>
      <c r="C21" s="5"/>
      <c r="D21" s="5"/>
    </row>
    <row r="22" spans="2:4" x14ac:dyDescent="0.3">
      <c r="B22" t="s">
        <v>584</v>
      </c>
      <c r="C22" t="s">
        <v>66</v>
      </c>
      <c r="D22" s="164" cm="1">
        <f t="array" ref="D22">(SUMPRODUCT('04 Operating Model'!$G$11:$P$11*(1-'04 Operating Model'!$G$55:$P$55),1/(1+'07 WACC'!$C$38)^'06 DCF'!$G$20:$P$20)+'04 Operating Model'!$P$11*(1-'04 Operating Model'!$P$55)*(1+'06 DCF'!$F$26)*(1-'06 DCF'!$F$26/'06 DCF'!$F$27)/('07 WACC'!$C$38-'06 DCF'!$F$26)/(1+'07 WACC'!$C$38)^'02 Assumptions'!$C$11)/'06 DCF'!$F$54*0.01</f>
        <v>5.1913992842375638</v>
      </c>
    </row>
    <row r="23" spans="2:4" x14ac:dyDescent="0.3">
      <c r="B23" s="3" t="s">
        <v>1446</v>
      </c>
      <c r="C23" s="3" t="s">
        <v>23</v>
      </c>
      <c r="D23" s="120" cm="1">
        <f t="array" ref="D23">IF($D$5&lt;=0,"introducir precio",$D$19/((SUMPRODUCT('04 Operating Model'!$G$11:$P$11*(1-'04 Operating Model'!$G$55:$P$55),1/(1+'07 WACC'!$C$38)^'06 DCF'!$G$20:$P$20)+'04 Operating Model'!$P$11*(1-'04 Operating Model'!$P$55)*(1+'06 DCF'!$F$26)*(1-'06 DCF'!$F$26/'06 DCF'!$F$27)/('07 WACC'!$C$38-'06 DCF'!$F$26)/(1+'07 WACC'!$C$38)^'02 Assumptions'!$C$11)/'06 DCF'!$F$54))</f>
        <v>0.12818524251305996</v>
      </c>
    </row>
    <row r="24" spans="2:4" x14ac:dyDescent="0.3">
      <c r="B24" t="s">
        <v>585</v>
      </c>
      <c r="C24" t="s">
        <v>23</v>
      </c>
      <c r="D24" s="88">
        <f>'04 Operating Model'!$P$30</f>
        <v>0.27900000000000008</v>
      </c>
    </row>
    <row r="25" spans="2:4" x14ac:dyDescent="0.3">
      <c r="B25" s="3" t="s">
        <v>586</v>
      </c>
      <c r="C25" s="3" t="s">
        <v>23</v>
      </c>
      <c r="D25" s="120">
        <f>IF($D$5&lt;=0,"introducir precio",D24+D23)</f>
        <v>0.40718524251306004</v>
      </c>
    </row>
    <row r="26" spans="2:4" x14ac:dyDescent="0.3">
      <c r="B26" t="s">
        <v>587</v>
      </c>
      <c r="C26" t="s">
        <v>23</v>
      </c>
      <c r="D26" s="88">
        <f>MAX('03 Historical'!D128:F128)</f>
        <v>0.27987535001354891</v>
      </c>
    </row>
    <row r="27" spans="2:4" x14ac:dyDescent="0.3">
      <c r="B27" t="s">
        <v>588</v>
      </c>
      <c r="D27" s="36" t="str">
        <f>IF($D$5&lt;=0,"—",IF($D$25&gt;$D$26,"EL PRECIO EXIGE UN MARGEN EBIT TERMINAL SUPERIOR AL MÁXIMO HISTÓRICO. Hay que justificar el mecanismo económico que lo permite (apalancamiento operativo, poder de precios, mix) o concluir que el precio descuenta más de lo defendible.","El margen terminal implícito está por debajo del máximo histórico: exigencia asumible."))</f>
        <v>EL PRECIO EXIGE UN MARGEN EBIT TERMINAL SUPERIOR AL MÁXIMO HISTÓRICO. Hay que justificar el mecanismo económico que lo permite (apalancamiento operativo, poder de precios, mix) o concluir que el precio descuenta más de lo defendible.</v>
      </c>
    </row>
    <row r="29" spans="2:4" x14ac:dyDescent="0.3">
      <c r="B29" s="5" t="s">
        <v>589</v>
      </c>
      <c r="C29" s="5"/>
      <c r="D29" s="5"/>
    </row>
    <row r="30" spans="2:4" x14ac:dyDescent="0.3">
      <c r="B30" t="s">
        <v>590</v>
      </c>
      <c r="C30" t="s">
        <v>66</v>
      </c>
      <c r="D30" s="164" cm="1">
        <f t="array" ref="D30">-SUMPRODUCT('04 Operating Model'!$G$11:$P$11,1/(1+'07 WACC'!$C$38)^'06 DCF'!$G$20:$P$20)/'06 DCF'!$F$54*0.01</f>
        <v>-3.4595881159334123</v>
      </c>
    </row>
    <row r="31" spans="2:4" x14ac:dyDescent="0.3">
      <c r="B31" s="3" t="s">
        <v>1447</v>
      </c>
      <c r="C31" s="3" t="s">
        <v>23</v>
      </c>
      <c r="D31" s="120">
        <f>IF($D$5&lt;=0,"introducir precio",$D$19/(D30/0.01))</f>
        <v>-0.19235260208210472</v>
      </c>
    </row>
    <row r="32" spans="2:4" x14ac:dyDescent="0.3">
      <c r="B32" t="s">
        <v>591</v>
      </c>
      <c r="C32" t="s">
        <v>23</v>
      </c>
      <c r="D32" s="88">
        <f>IF($D$5&lt;=0,"introducir precio",'04 Operating Model'!$P$35+D31)</f>
        <v>-0.16235260208210472</v>
      </c>
    </row>
    <row r="33" spans="2:4" x14ac:dyDescent="0.3">
      <c r="B33" s="13" t="s">
        <v>588</v>
      </c>
      <c r="C33" s="13"/>
      <c r="D33" s="151" t="str">
        <f>IF($D$5&lt;=0,"—",IF($D$32&lt;0,"EL PRECIO EXIGE UN CAPEX TERMINAL NEGATIVO, lo que es físicamente imposible: el precio no se puede justificar solo con eficiencia de capex.",IF($D$32&lt;0.05,"El capex terminal implícito cae por debajo del 5% de los ingresos: incompatible con un negocio de infraestructura cloud.","Capex terminal implícito dentro de un rango plausible.")))</f>
        <v>EL PRECIO EXIGE UN CAPEX TERMINAL NEGATIVO, lo que es físicamente imposible: el precio no se puede justificar solo con eficiencia de capex.</v>
      </c>
    </row>
    <row r="34" spans="2:4" x14ac:dyDescent="0.3">
      <c r="B34" s="5" t="s">
        <v>592</v>
      </c>
      <c r="C34" s="5"/>
      <c r="D34" s="5"/>
    </row>
    <row r="35" spans="2:4" x14ac:dyDescent="0.3">
      <c r="B35" t="s">
        <v>593</v>
      </c>
      <c r="C35" t="s">
        <v>46</v>
      </c>
      <c r="D35" s="17">
        <f>IF($D$5&lt;=0,"introducir precio",($D$15-'06 DCF'!$F$42)*(1+'07 WACC'!$C$38)^'02 Assumptions'!$C$11)</f>
        <v>421169.86581322446</v>
      </c>
    </row>
    <row r="36" spans="2:4" x14ac:dyDescent="0.3">
      <c r="B36" s="3" t="s">
        <v>594</v>
      </c>
      <c r="C36" s="3" t="s">
        <v>23</v>
      </c>
      <c r="D36" s="120">
        <f>IF($D$5&lt;=0,"introducir precio",IFERROR((('06 DCF'!$P$10*('06 DCF'!$F$27-1)+'06 DCF'!$F$27*$D$35)-SQRT(('06 DCF'!$P$10*('06 DCF'!$F$27-1)+'06 DCF'!$F$27*$D$35)^2-4*'06 DCF'!$P$10*('06 DCF'!$F$27*$D$35*'07 WACC'!$C$38-'06 DCF'!$P$10*'06 DCF'!$F$27)))/(2*'06 DCF'!$P$10),"sin solución real: el precio no es alcanzable ni con g→WACC"))</f>
        <v>7.9711133893603389E-2</v>
      </c>
    </row>
    <row r="37" spans="2:4" x14ac:dyDescent="0.3">
      <c r="B37" t="s">
        <v>595</v>
      </c>
      <c r="C37" t="s">
        <v>23</v>
      </c>
      <c r="D37" s="88">
        <f>'06 DCF'!$F$26</f>
        <v>0.03</v>
      </c>
    </row>
    <row r="38" spans="2:4" x14ac:dyDescent="0.3">
      <c r="B38" t="s">
        <v>596</v>
      </c>
      <c r="C38" t="s">
        <v>23</v>
      </c>
      <c r="D38" s="88">
        <f>'02 Assumptions'!$C$65</f>
        <v>0.04</v>
      </c>
    </row>
    <row r="39" spans="2:4" x14ac:dyDescent="0.3">
      <c r="B39" t="s">
        <v>588</v>
      </c>
      <c r="D39" s="36" t="str">
        <f>IF($D$5&lt;=0,"—",IF(NOT(ISNUMBER($D$36)),"El precio no se alcanza ni con g→WACC: hay que buscar la diferencia en el margen, el capex o el periodo explícito.",IF($D$36&gt;$D$38,"EL PRECIO EXIGE UN CRECIMIENTO PERPETUO SUPERIOR AL PIB NOMINAL. Eso implica que Qualcomm crecería indefinidamente más rápido que la economía: no es sostenible. El precio descuenta expectativas que el valor terminal no puede soportar.",IF($D$36&lt;0,"El precio es compatible incluso con decrecimiento perpetuo: el mercado descuenta menos de lo que proyecta el modelo.","Crecimiento terminal implícito dentro de un rango defendible."))))</f>
        <v>EL PRECIO EXIGE UN CRECIMIENTO PERPETUO SUPERIOR AL PIB NOMINAL. Eso implica que Qualcomm crecería indefinidamente más rápido que la economía: no es sostenible. El precio descuenta expectativas que el valor terminal no puede soportar.</v>
      </c>
    </row>
    <row r="41" spans="2:4" x14ac:dyDescent="0.3">
      <c r="B41" s="5" t="s">
        <v>597</v>
      </c>
      <c r="C41" s="5"/>
      <c r="D41" s="5"/>
    </row>
    <row r="42" spans="2:4" x14ac:dyDescent="0.3">
      <c r="B42" t="s">
        <v>598</v>
      </c>
      <c r="C42" t="s">
        <v>145</v>
      </c>
      <c r="D42" s="25">
        <f>IFERROR($D$35/'04 Operating Model'!$P$39,"introducir precio")</f>
        <v>16.878669763388942</v>
      </c>
    </row>
    <row r="43" spans="2:4" x14ac:dyDescent="0.3">
      <c r="B43" t="s">
        <v>599</v>
      </c>
      <c r="C43" t="s">
        <v>145</v>
      </c>
      <c r="D43" s="25">
        <f>'06 DCF'!$F$62</f>
        <v>8.2480731952847481</v>
      </c>
    </row>
    <row r="44" spans="2:4" x14ac:dyDescent="0.3">
      <c r="B44" t="s">
        <v>600</v>
      </c>
      <c r="C44" t="s">
        <v>23</v>
      </c>
      <c r="D44" s="88">
        <f>IFERROR($D$35/(1+'07 WACC'!$C$38)^'02 Assumptions'!$C$11/$D$15,"introducir precio")</f>
        <v>0.6373102217220934</v>
      </c>
    </row>
    <row r="46" spans="2:4" x14ac:dyDescent="0.3">
      <c r="B46" s="5" t="s">
        <v>601</v>
      </c>
      <c r="C46" s="5"/>
      <c r="D46" s="5"/>
    </row>
    <row r="47" spans="2:4" x14ac:dyDescent="0.3">
      <c r="B47" t="s">
        <v>602</v>
      </c>
      <c r="C47" t="s">
        <v>46</v>
      </c>
      <c r="D47" s="17">
        <f>'06 DCF'!$F$42</f>
        <v>80410.752959001911</v>
      </c>
    </row>
    <row r="48" spans="2:4" x14ac:dyDescent="0.3">
      <c r="B48" t="s">
        <v>603</v>
      </c>
      <c r="C48" t="s">
        <v>46</v>
      </c>
      <c r="D48" s="17">
        <f>'06 DCF'!$F$73</f>
        <v>141588.18955980332</v>
      </c>
    </row>
    <row r="49" spans="2:4" x14ac:dyDescent="0.3">
      <c r="B49" t="s">
        <v>604</v>
      </c>
      <c r="C49" t="s">
        <v>46</v>
      </c>
      <c r="D49" s="17">
        <f>'04 Operating Model'!$P$11</f>
        <v>81883.255155127539</v>
      </c>
    </row>
    <row r="50" spans="2:4" x14ac:dyDescent="0.3">
      <c r="B50" t="s">
        <v>605</v>
      </c>
      <c r="C50" t="s">
        <v>46</v>
      </c>
      <c r="D50" s="17">
        <f>IFERROR($D$49*(1+$D$23/'04 Operating Model'!$P$30),"introducir precio")</f>
        <v>119504.1330039404</v>
      </c>
    </row>
    <row r="52" spans="2:4" x14ac:dyDescent="0.3">
      <c r="B52" s="5" t="s">
        <v>606</v>
      </c>
      <c r="C52" s="5"/>
      <c r="D52" s="5"/>
    </row>
    <row r="53" spans="2:4" ht="28.8" x14ac:dyDescent="0.3">
      <c r="B53" s="37" t="s">
        <v>607</v>
      </c>
      <c r="C53" s="37" t="s">
        <v>608</v>
      </c>
    </row>
    <row r="54" spans="2:4" ht="28.8" x14ac:dyDescent="0.3">
      <c r="B54" s="37" t="s">
        <v>609</v>
      </c>
      <c r="C54" s="37" t="s">
        <v>610</v>
      </c>
    </row>
    <row r="55" spans="2:4" x14ac:dyDescent="0.3">
      <c r="B55" s="37" t="s">
        <v>611</v>
      </c>
      <c r="C55" s="37" t="s">
        <v>612</v>
      </c>
    </row>
    <row r="56" spans="2:4" ht="28.8" x14ac:dyDescent="0.3">
      <c r="B56" s="37" t="s">
        <v>613</v>
      </c>
      <c r="C56" s="37" t="s">
        <v>614</v>
      </c>
    </row>
    <row r="57" spans="2:4" ht="28.8" x14ac:dyDescent="0.3">
      <c r="B57" s="37" t="s">
        <v>615</v>
      </c>
      <c r="C57" s="37" t="s">
        <v>616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00D76-2719-46FA-BEB7-46D3BDC9D412}">
  <dimension ref="A1:E43"/>
  <sheetViews>
    <sheetView workbookViewId="0"/>
  </sheetViews>
  <sheetFormatPr baseColWidth="10" defaultRowHeight="14.4" x14ac:dyDescent="0.3"/>
  <cols>
    <col min="2" max="2" width="55.5546875" customWidth="1"/>
    <col min="3" max="4" width="63" customWidth="1"/>
    <col min="5" max="5" width="32.44140625" customWidth="1"/>
  </cols>
  <sheetData>
    <row r="1" spans="1:5" ht="18" x14ac:dyDescent="0.35">
      <c r="A1" s="4" t="s">
        <v>617</v>
      </c>
    </row>
    <row r="2" spans="1:5" x14ac:dyDescent="0.3">
      <c r="A2" s="14" t="s">
        <v>618</v>
      </c>
    </row>
    <row r="4" spans="1:5" x14ac:dyDescent="0.3">
      <c r="B4" s="5" t="s">
        <v>619</v>
      </c>
      <c r="C4" s="5"/>
      <c r="D4" s="5"/>
      <c r="E4" s="5"/>
    </row>
    <row r="5" spans="1:5" x14ac:dyDescent="0.3">
      <c r="B5" t="s">
        <v>620</v>
      </c>
      <c r="C5" s="21">
        <f>'06 DCF'!$F$44</f>
        <v>149457.62152792938</v>
      </c>
    </row>
    <row r="6" spans="1:5" x14ac:dyDescent="0.3">
      <c r="B6" t="s">
        <v>621</v>
      </c>
      <c r="C6" s="21">
        <f>'06 DCF'!$F$53</f>
        <v>143012.66152792939</v>
      </c>
    </row>
    <row r="7" spans="1:5" x14ac:dyDescent="0.3">
      <c r="B7" t="s">
        <v>1995</v>
      </c>
      <c r="C7" s="25">
        <f>C5/'03 Historical'!$F$11</f>
        <v>3.4840230669944843</v>
      </c>
    </row>
    <row r="8" spans="1:5" x14ac:dyDescent="0.3">
      <c r="B8" t="s">
        <v>1996</v>
      </c>
      <c r="C8" s="25">
        <f>C5/'03 Historical'!$F$125</f>
        <v>13.903465675952376</v>
      </c>
    </row>
    <row r="9" spans="1:5" x14ac:dyDescent="0.3">
      <c r="B9" t="s">
        <v>1997</v>
      </c>
      <c r="C9" s="25">
        <f>C5/'03 Historical'!$F$127</f>
        <v>16.3395235080277</v>
      </c>
    </row>
    <row r="10" spans="1:5" x14ac:dyDescent="0.3">
      <c r="B10" t="s">
        <v>622</v>
      </c>
      <c r="C10" s="25">
        <f>C5/'04 Operating Model'!$I$11</f>
        <v>2.6811906061945883</v>
      </c>
    </row>
    <row r="11" spans="1:5" x14ac:dyDescent="0.3">
      <c r="B11" t="s">
        <v>623</v>
      </c>
      <c r="C11" s="25">
        <f>C5/'04 Operating Model'!$I$39</f>
        <v>9.19112510183826</v>
      </c>
    </row>
    <row r="12" spans="1:5" x14ac:dyDescent="0.3">
      <c r="B12" t="s">
        <v>624</v>
      </c>
      <c r="C12" s="25">
        <f>C5/'06 DCF'!$K$15</f>
        <v>10.519275665152293</v>
      </c>
    </row>
    <row r="13" spans="1:5" x14ac:dyDescent="0.3">
      <c r="B13" t="s">
        <v>1998</v>
      </c>
      <c r="C13" s="25">
        <f>C6/'03 Historical'!$F$36</f>
        <v>10.36098395478732</v>
      </c>
    </row>
    <row r="14" spans="1:5" x14ac:dyDescent="0.3">
      <c r="B14" t="s">
        <v>625</v>
      </c>
      <c r="C14" s="85">
        <f>'06 DCF'!$K$15/C5</f>
        <v>9.5063579644817917E-2</v>
      </c>
    </row>
    <row r="16" spans="1:5" x14ac:dyDescent="0.3">
      <c r="B16" s="5" t="s">
        <v>626</v>
      </c>
      <c r="C16" s="5"/>
      <c r="D16" s="5"/>
      <c r="E16" s="5"/>
    </row>
    <row r="17" spans="2:5" x14ac:dyDescent="0.3">
      <c r="B17" t="s">
        <v>627</v>
      </c>
      <c r="C17" t="str">
        <f>'02 Assumptions'!$C$14</f>
        <v>OPERATIVO — coste en EBIT, pasivo fuera de la deuda neta</v>
      </c>
    </row>
    <row r="18" spans="2:5" x14ac:dyDescent="0.3">
      <c r="B18" t="s">
        <v>628</v>
      </c>
      <c r="C18" s="21">
        <f>'02 Assumptions'!$C$76</f>
        <v>832</v>
      </c>
    </row>
    <row r="19" spans="2:5" x14ac:dyDescent="0.3">
      <c r="B19" t="s">
        <v>629</v>
      </c>
      <c r="C19" s="164">
        <f>-C18/'06 DCF'!$F$54</f>
        <v>-0.76632587804881025</v>
      </c>
    </row>
    <row r="20" spans="2:5" x14ac:dyDescent="0.3">
      <c r="B20" t="s">
        <v>581</v>
      </c>
      <c r="C20" s="164">
        <f>'06 DCF'!$F$55</f>
        <v>131.72392237678821</v>
      </c>
    </row>
    <row r="21" spans="2:5" x14ac:dyDescent="0.3">
      <c r="B21" s="7" t="s">
        <v>630</v>
      </c>
      <c r="C21" s="180">
        <f>C20+C19</f>
        <v>130.95759649873941</v>
      </c>
    </row>
    <row r="22" spans="2:5" ht="100.8" x14ac:dyDescent="0.3">
      <c r="B22" s="113" t="s">
        <v>631</v>
      </c>
      <c r="C22">
        <f>'06 DCF'!$F$55</f>
        <v>131.72392237678821</v>
      </c>
    </row>
    <row r="23" spans="2:5" x14ac:dyDescent="0.3">
      <c r="B23" t="s">
        <v>630</v>
      </c>
      <c r="C23">
        <f>C22+C21</f>
        <v>262.68151887552762</v>
      </c>
    </row>
    <row r="24" spans="2:5" x14ac:dyDescent="0.3">
      <c r="B24" s="5" t="s">
        <v>2049</v>
      </c>
      <c r="C24" s="5"/>
      <c r="D24" s="5"/>
      <c r="E24" s="5"/>
    </row>
    <row r="25" spans="2:5" x14ac:dyDescent="0.3">
      <c r="B25" s="2" t="s">
        <v>632</v>
      </c>
      <c r="C25" s="2" t="s">
        <v>2050</v>
      </c>
      <c r="D25" s="2" t="s">
        <v>633</v>
      </c>
      <c r="E25" s="2" t="s">
        <v>634</v>
      </c>
    </row>
    <row r="26" spans="2:5" ht="28.8" x14ac:dyDescent="0.3">
      <c r="B26" s="37" t="s">
        <v>635</v>
      </c>
      <c r="C26" s="37" t="s">
        <v>2051</v>
      </c>
      <c r="D26" s="37" t="s">
        <v>636</v>
      </c>
      <c r="E26" s="37" t="s">
        <v>637</v>
      </c>
    </row>
    <row r="27" spans="2:5" ht="43.2" x14ac:dyDescent="0.3">
      <c r="B27" s="37" t="s">
        <v>638</v>
      </c>
      <c r="C27" s="37" t="s">
        <v>2052</v>
      </c>
      <c r="D27" s="37" t="s">
        <v>639</v>
      </c>
      <c r="E27" s="37" t="s">
        <v>640</v>
      </c>
    </row>
    <row r="28" spans="2:5" ht="28.8" x14ac:dyDescent="0.3">
      <c r="B28" s="37" t="s">
        <v>641</v>
      </c>
      <c r="C28" s="37" t="s">
        <v>2053</v>
      </c>
      <c r="D28" s="37" t="s">
        <v>652</v>
      </c>
      <c r="E28" s="37" t="s">
        <v>653</v>
      </c>
    </row>
    <row r="29" spans="2:5" x14ac:dyDescent="0.3">
      <c r="B29" s="37" t="s">
        <v>642</v>
      </c>
      <c r="C29" s="37" t="s">
        <v>643</v>
      </c>
      <c r="D29" s="37" t="s">
        <v>644</v>
      </c>
      <c r="E29" s="37" t="s">
        <v>637</v>
      </c>
    </row>
    <row r="30" spans="2:5" ht="28.8" x14ac:dyDescent="0.3">
      <c r="B30" s="37" t="s">
        <v>645</v>
      </c>
      <c r="C30" s="37" t="s">
        <v>2054</v>
      </c>
      <c r="D30" s="37" t="s">
        <v>654</v>
      </c>
      <c r="E30" s="37" t="s">
        <v>646</v>
      </c>
    </row>
    <row r="31" spans="2:5" ht="43.2" x14ac:dyDescent="0.3">
      <c r="B31" s="37" t="s">
        <v>655</v>
      </c>
      <c r="C31" s="37" t="s">
        <v>2055</v>
      </c>
      <c r="D31" s="37" t="s">
        <v>656</v>
      </c>
      <c r="E31" s="37" t="s">
        <v>647</v>
      </c>
    </row>
    <row r="32" spans="2:5" ht="43.2" x14ac:dyDescent="0.3">
      <c r="B32" s="37" t="s">
        <v>648</v>
      </c>
      <c r="C32" s="37" t="s">
        <v>2056</v>
      </c>
      <c r="D32" s="37" t="s">
        <v>657</v>
      </c>
      <c r="E32" s="37" t="s">
        <v>649</v>
      </c>
    </row>
    <row r="34" spans="2:5" x14ac:dyDescent="0.3">
      <c r="B34" s="5" t="s">
        <v>650</v>
      </c>
      <c r="C34" s="5"/>
      <c r="D34" s="5"/>
      <c r="E34" s="5"/>
    </row>
    <row r="35" spans="2:5" ht="115.2" x14ac:dyDescent="0.3">
      <c r="B35" s="121" t="s">
        <v>2057</v>
      </c>
    </row>
    <row r="37" spans="2:5" x14ac:dyDescent="0.3">
      <c r="B37" s="5" t="s">
        <v>651</v>
      </c>
      <c r="C37" s="5"/>
      <c r="D37" s="5"/>
      <c r="E37" s="5"/>
    </row>
    <row r="38" spans="2:5" ht="28.8" x14ac:dyDescent="0.3">
      <c r="B38" s="37" t="s">
        <v>658</v>
      </c>
      <c r="C38" s="37" t="s">
        <v>2058</v>
      </c>
    </row>
    <row r="39" spans="2:5" ht="28.8" x14ac:dyDescent="0.3">
      <c r="B39" s="37" t="s">
        <v>659</v>
      </c>
      <c r="C39" s="37" t="s">
        <v>2059</v>
      </c>
    </row>
    <row r="40" spans="2:5" ht="28.8" x14ac:dyDescent="0.3">
      <c r="B40" s="37" t="s">
        <v>660</v>
      </c>
      <c r="C40" s="37" t="s">
        <v>2060</v>
      </c>
    </row>
    <row r="41" spans="2:5" ht="43.2" x14ac:dyDescent="0.3">
      <c r="B41" s="37" t="s">
        <v>661</v>
      </c>
      <c r="C41" s="37" t="s">
        <v>2061</v>
      </c>
    </row>
    <row r="42" spans="2:5" ht="28.8" x14ac:dyDescent="0.3">
      <c r="B42" s="37" t="s">
        <v>662</v>
      </c>
      <c r="C42" s="37" t="s">
        <v>2062</v>
      </c>
    </row>
    <row r="43" spans="2:5" ht="43.2" x14ac:dyDescent="0.3">
      <c r="B43" s="37" t="s">
        <v>663</v>
      </c>
      <c r="C43" s="37" t="s">
        <v>2063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9BA2C-B483-40AA-81AA-D79C9EF1EF37}">
  <dimension ref="A1:H36"/>
  <sheetViews>
    <sheetView workbookViewId="0"/>
  </sheetViews>
  <sheetFormatPr baseColWidth="10" defaultRowHeight="14.4" x14ac:dyDescent="0.3"/>
  <cols>
    <col min="2" max="2" width="72.21875" customWidth="1"/>
    <col min="3" max="3" width="140.77734375" customWidth="1"/>
    <col min="4" max="8" width="18.5546875" customWidth="1"/>
  </cols>
  <sheetData>
    <row r="1" spans="1:8" ht="18" x14ac:dyDescent="0.35">
      <c r="A1" s="4" t="s">
        <v>664</v>
      </c>
    </row>
    <row r="2" spans="1:8" x14ac:dyDescent="0.3">
      <c r="A2" s="14" t="s">
        <v>2064</v>
      </c>
    </row>
    <row r="4" spans="1:8" ht="57.6" x14ac:dyDescent="0.3">
      <c r="B4" s="122" t="s">
        <v>2065</v>
      </c>
      <c r="C4" s="97"/>
      <c r="D4" s="97"/>
      <c r="E4" s="97"/>
      <c r="F4" s="97"/>
      <c r="G4" s="97"/>
      <c r="H4" s="97"/>
    </row>
    <row r="5" spans="1:8" ht="57.6" x14ac:dyDescent="0.3">
      <c r="B5" s="156" t="s">
        <v>1474</v>
      </c>
    </row>
    <row r="6" spans="1:8" ht="28.8" x14ac:dyDescent="0.3">
      <c r="B6" s="123" t="s">
        <v>665</v>
      </c>
      <c r="C6" s="123" t="s">
        <v>666</v>
      </c>
      <c r="D6" s="123" t="s">
        <v>667</v>
      </c>
      <c r="E6" s="123" t="s">
        <v>668</v>
      </c>
      <c r="F6" s="123" t="s">
        <v>669</v>
      </c>
      <c r="G6" s="123" t="s">
        <v>670</v>
      </c>
      <c r="H6" s="123" t="s">
        <v>671</v>
      </c>
    </row>
    <row r="7" spans="1:8" x14ac:dyDescent="0.3">
      <c r="B7" t="str">
        <f>'00 Panel del Analista'!B250</f>
        <v>QCT IoT + Data Center y otros</v>
      </c>
      <c r="C7" s="17">
        <f>'04 Operating Model'!$I$7</f>
        <v>19502.353920000001</v>
      </c>
      <c r="D7" s="87">
        <f>'00 Panel del Analista'!C250</f>
        <v>0.22</v>
      </c>
      <c r="E7" s="124">
        <f>C7*D7</f>
        <v>4290.5178624</v>
      </c>
      <c r="F7" s="125">
        <f>'00 Panel del Analista'!D250</f>
        <v>20</v>
      </c>
      <c r="G7" s="17">
        <f>E7*F7</f>
        <v>85810.357248</v>
      </c>
      <c r="H7" s="85">
        <f>G7/$G$11</f>
        <v>0.3741107699936207</v>
      </c>
    </row>
    <row r="8" spans="1:8" x14ac:dyDescent="0.3">
      <c r="B8" t="str">
        <f>'00 Panel del Analista'!B251</f>
        <v>QCT Handsets</v>
      </c>
      <c r="C8" s="17">
        <f>'04 Operating Model'!$I$8</f>
        <v>21551.903340000001</v>
      </c>
      <c r="D8" s="87">
        <f>'00 Panel del Analista'!C251</f>
        <v>0.25</v>
      </c>
      <c r="E8" s="124">
        <f>C8*D8</f>
        <v>5387.9758350000002</v>
      </c>
      <c r="F8" s="125">
        <f>'00 Panel del Analista'!D251</f>
        <v>10</v>
      </c>
      <c r="G8" s="17">
        <f>E8*F8</f>
        <v>53879.758350000004</v>
      </c>
      <c r="H8" s="85">
        <f>G8/$G$11</f>
        <v>0.23490168937454831</v>
      </c>
    </row>
    <row r="9" spans="1:8" x14ac:dyDescent="0.3">
      <c r="B9" t="str">
        <f>'00 Panel del Analista'!B252</f>
        <v>QTL Licencias</v>
      </c>
      <c r="C9" s="17">
        <f>'04 Operating Model'!$I$9</f>
        <v>5332.1408000000001</v>
      </c>
      <c r="D9" s="87">
        <f>'00 Panel del Analista'!C252</f>
        <v>0.7</v>
      </c>
      <c r="E9" s="124">
        <f>C9*D9</f>
        <v>3732.49856</v>
      </c>
      <c r="F9" s="125">
        <f>'00 Panel del Analista'!D252</f>
        <v>14</v>
      </c>
      <c r="G9" s="17">
        <f>E9*F9</f>
        <v>52254.97984</v>
      </c>
      <c r="H9" s="85">
        <f>G9/$G$11</f>
        <v>0.22781807896970577</v>
      </c>
    </row>
    <row r="10" spans="1:8" x14ac:dyDescent="0.3">
      <c r="B10" t="str">
        <f>'00 Panel del Analista'!B253</f>
        <v>QCT Automoción</v>
      </c>
      <c r="C10" s="17">
        <f>'04 Operating Model'!$I$10</f>
        <v>9356.6069999999982</v>
      </c>
      <c r="D10" s="87">
        <f>'00 Panel del Analista'!C253</f>
        <v>0.2</v>
      </c>
      <c r="E10" s="124">
        <f>C10*D10</f>
        <v>1871.3213999999998</v>
      </c>
      <c r="F10" s="125">
        <f>'00 Panel del Analista'!D253</f>
        <v>20</v>
      </c>
      <c r="G10" s="17">
        <f>E10*F10</f>
        <v>37426.428</v>
      </c>
      <c r="H10" s="85">
        <f>G10/$G$11</f>
        <v>0.16316946166212523</v>
      </c>
    </row>
    <row r="11" spans="1:8" x14ac:dyDescent="0.3">
      <c r="B11" s="75" t="s">
        <v>672</v>
      </c>
      <c r="C11" s="105">
        <f>SUM(C7:C10)</f>
        <v>55743.005059999996</v>
      </c>
      <c r="D11" s="75"/>
      <c r="E11" s="105">
        <f>SUM(E7:E10)</f>
        <v>15282.313657400002</v>
      </c>
      <c r="F11" s="75"/>
      <c r="G11" s="105">
        <f>SUM(G7:G10)</f>
        <v>229371.523438</v>
      </c>
      <c r="H11" s="126">
        <f>G11/$G$11</f>
        <v>1</v>
      </c>
    </row>
    <row r="13" spans="1:8" x14ac:dyDescent="0.3">
      <c r="B13" t="s">
        <v>1471</v>
      </c>
      <c r="D13" t="s">
        <v>1472</v>
      </c>
      <c r="E13" s="125">
        <f>'00 Panel del Analista'!E250</f>
        <v>12</v>
      </c>
      <c r="G13" s="17">
        <f>-'04 Operating Model'!$I$23*E13</f>
        <v>0</v>
      </c>
    </row>
    <row r="14" spans="1:8" x14ac:dyDescent="0.3">
      <c r="B14" s="22" t="s">
        <v>1473</v>
      </c>
      <c r="G14" s="17">
        <f>0</f>
        <v>0</v>
      </c>
    </row>
    <row r="15" spans="1:8" x14ac:dyDescent="0.3">
      <c r="B15" s="3" t="s">
        <v>673</v>
      </c>
      <c r="C15" s="3"/>
      <c r="D15" s="3"/>
      <c r="E15" s="3"/>
      <c r="F15" s="3"/>
      <c r="G15" s="18">
        <f>G11+G13+G14</f>
        <v>229371.523438</v>
      </c>
    </row>
    <row r="16" spans="1:8" x14ac:dyDescent="0.3">
      <c r="B16" t="s">
        <v>674</v>
      </c>
      <c r="G16" s="17">
        <f>-'02 Assumptions'!$C$70</f>
        <v>-15270</v>
      </c>
    </row>
    <row r="17" spans="2:8" x14ac:dyDescent="0.3">
      <c r="B17" t="s">
        <v>675</v>
      </c>
      <c r="G17" s="17">
        <f>-'02 Assumptions'!$C$71</f>
        <v>0</v>
      </c>
    </row>
    <row r="18" spans="2:8" x14ac:dyDescent="0.3">
      <c r="B18" t="s">
        <v>409</v>
      </c>
      <c r="G18" s="17">
        <f>'02 Assumptions'!$C$72</f>
        <v>4533</v>
      </c>
    </row>
    <row r="19" spans="2:8" x14ac:dyDescent="0.3">
      <c r="B19" t="s">
        <v>676</v>
      </c>
      <c r="G19" s="17">
        <f>-'02 Assumptions'!$C$68*'03 Historical'!$F$11</f>
        <v>-857.96</v>
      </c>
    </row>
    <row r="20" spans="2:8" x14ac:dyDescent="0.3">
      <c r="B20" t="s">
        <v>1959</v>
      </c>
      <c r="G20" s="17">
        <f>'02 Assumptions'!$C$73+'02 Assumptions'!$C$77</f>
        <v>5150</v>
      </c>
    </row>
    <row r="21" spans="2:8" x14ac:dyDescent="0.3">
      <c r="B21" t="s">
        <v>411</v>
      </c>
      <c r="G21" s="17">
        <f>-'02 Assumptions'!$C$74</f>
        <v>0</v>
      </c>
    </row>
    <row r="22" spans="2:8" x14ac:dyDescent="0.3">
      <c r="B22" t="s">
        <v>412</v>
      </c>
      <c r="G22" s="17">
        <f>-'02 Assumptions'!$C$75</f>
        <v>0</v>
      </c>
    </row>
    <row r="23" spans="2:8" x14ac:dyDescent="0.3">
      <c r="B23" s="3" t="s">
        <v>677</v>
      </c>
      <c r="C23" s="3"/>
      <c r="D23" s="3"/>
      <c r="E23" s="3"/>
      <c r="F23" s="3"/>
      <c r="G23" s="18">
        <f>G15+SUM(G16:G22)</f>
        <v>222926.56343800001</v>
      </c>
    </row>
    <row r="24" spans="2:8" x14ac:dyDescent="0.3">
      <c r="B24" t="s">
        <v>414</v>
      </c>
      <c r="G24" s="21">
        <f>'06 DCF'!$F$54</f>
        <v>1085.6999924345589</v>
      </c>
    </row>
    <row r="25" spans="2:8" x14ac:dyDescent="0.3">
      <c r="B25" s="99" t="s">
        <v>678</v>
      </c>
      <c r="C25" s="99"/>
      <c r="D25" s="99"/>
      <c r="E25" s="99"/>
      <c r="F25" s="99"/>
      <c r="G25" s="181">
        <f>G23/G24</f>
        <v>205.32980104210236</v>
      </c>
    </row>
    <row r="27" spans="2:8" x14ac:dyDescent="0.3">
      <c r="B27" t="s">
        <v>679</v>
      </c>
      <c r="G27" s="164">
        <f>'06 DCF'!$F$55</f>
        <v>131.72392237678821</v>
      </c>
    </row>
    <row r="28" spans="2:8" x14ac:dyDescent="0.3">
      <c r="B28" t="s">
        <v>680</v>
      </c>
      <c r="G28" s="164">
        <f>G25-G27</f>
        <v>73.605878665314151</v>
      </c>
    </row>
    <row r="29" spans="2:8" x14ac:dyDescent="0.3">
      <c r="B29" t="s">
        <v>681</v>
      </c>
      <c r="G29" s="47">
        <f>G25/G27-1</f>
        <v>0.55878899851440078</v>
      </c>
    </row>
    <row r="31" spans="2:8" x14ac:dyDescent="0.3">
      <c r="B31" s="5" t="s">
        <v>682</v>
      </c>
      <c r="C31" s="16"/>
      <c r="D31" s="16"/>
      <c r="E31" s="16"/>
      <c r="F31" s="16"/>
      <c r="G31" s="16"/>
      <c r="H31" s="16"/>
    </row>
    <row r="32" spans="2:8" ht="28.8" x14ac:dyDescent="0.3">
      <c r="B32" s="37" t="s">
        <v>683</v>
      </c>
      <c r="C32" s="37" t="s">
        <v>2066</v>
      </c>
    </row>
    <row r="33" spans="2:3" ht="28.8" x14ac:dyDescent="0.3">
      <c r="B33" s="37" t="s">
        <v>684</v>
      </c>
      <c r="C33" s="37" t="s">
        <v>2067</v>
      </c>
    </row>
    <row r="34" spans="2:3" ht="28.8" x14ac:dyDescent="0.3">
      <c r="B34" s="37" t="s">
        <v>685</v>
      </c>
      <c r="C34" s="37" t="s">
        <v>2068</v>
      </c>
    </row>
    <row r="35" spans="2:3" ht="28.8" x14ac:dyDescent="0.3">
      <c r="B35" s="37" t="s">
        <v>686</v>
      </c>
      <c r="C35" s="37" t="s">
        <v>687</v>
      </c>
    </row>
    <row r="36" spans="2:3" ht="28.8" x14ac:dyDescent="0.3">
      <c r="B36" s="37" t="s">
        <v>688</v>
      </c>
      <c r="C36" s="37" t="s">
        <v>689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0FDDB-391B-4C55-9465-300AD264F0F5}">
  <dimension ref="A1:I87"/>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RowHeight="14.4" x14ac:dyDescent="0.3"/>
  <cols>
    <col min="2" max="2" width="6.44140625" customWidth="1"/>
    <col min="3" max="3" width="72.21875" customWidth="1"/>
    <col min="4" max="4" width="17.5546875" customWidth="1"/>
    <col min="5" max="5" width="20.33203125" customWidth="1"/>
    <col min="6" max="6" width="13.88671875" customWidth="1"/>
    <col min="7" max="8" width="50" customWidth="1"/>
    <col min="9" max="9" width="57.44140625" customWidth="1"/>
  </cols>
  <sheetData>
    <row r="1" spans="1:9" ht="18" x14ac:dyDescent="0.35">
      <c r="A1" s="4" t="s">
        <v>1777</v>
      </c>
    </row>
    <row r="2" spans="1:9" x14ac:dyDescent="0.3">
      <c r="A2" s="89" t="s">
        <v>690</v>
      </c>
    </row>
    <row r="4" spans="1:9" x14ac:dyDescent="0.3">
      <c r="B4" s="5" t="s">
        <v>691</v>
      </c>
      <c r="C4" s="16"/>
      <c r="D4" s="16"/>
      <c r="E4" s="16"/>
      <c r="F4" s="16"/>
      <c r="G4" s="16"/>
      <c r="H4" s="16"/>
      <c r="I4" s="16"/>
    </row>
    <row r="5" spans="1:9" x14ac:dyDescent="0.3">
      <c r="B5" s="3" t="s">
        <v>692</v>
      </c>
      <c r="C5" s="3"/>
      <c r="D5" s="3">
        <f>COUNTIF($F$10:$F$87,"*FALLO*")</f>
        <v>0</v>
      </c>
    </row>
    <row r="6" spans="1:9" x14ac:dyDescent="0.3">
      <c r="B6" s="3" t="s">
        <v>693</v>
      </c>
      <c r="C6" s="3"/>
      <c r="D6" s="3">
        <f>COUNTIF($F$10:$F$87,"*AVISO*")</f>
        <v>2</v>
      </c>
    </row>
    <row r="7" spans="1:9" x14ac:dyDescent="0.3">
      <c r="B7" s="3" t="s">
        <v>694</v>
      </c>
      <c r="C7" s="3"/>
      <c r="D7" s="3">
        <f>COUNTIF($F$10:$F$87,"OK")</f>
        <v>76</v>
      </c>
    </row>
    <row r="8" spans="1:9" x14ac:dyDescent="0.3">
      <c r="B8" s="3" t="s">
        <v>695</v>
      </c>
      <c r="C8" s="3"/>
      <c r="D8" s="40" t="str">
        <f>IF(D5&gt;0,"MODELO NO UTILIZABLE — corregir los FALLOS",IF(D6&gt;0,"UTILIZABLE CON RESERVAS — revisar los AVISOS","AUDITORÍA SUPERADA"))</f>
        <v>UTILIZABLE CON RESERVAS — revisar los AVISOS</v>
      </c>
    </row>
    <row r="9" spans="1:9" x14ac:dyDescent="0.3">
      <c r="B9" s="2" t="s">
        <v>0</v>
      </c>
      <c r="C9" s="2" t="s">
        <v>696</v>
      </c>
      <c r="D9" s="2" t="s">
        <v>698</v>
      </c>
      <c r="E9" s="2" t="s">
        <v>697</v>
      </c>
      <c r="F9" s="2" t="s">
        <v>699</v>
      </c>
      <c r="G9" s="2" t="s">
        <v>700</v>
      </c>
      <c r="H9" s="2" t="s">
        <v>701</v>
      </c>
      <c r="I9" s="2" t="s">
        <v>702</v>
      </c>
    </row>
    <row r="10" spans="1:9" x14ac:dyDescent="0.3">
      <c r="B10" s="128">
        <v>1</v>
      </c>
      <c r="C10" s="129" t="s">
        <v>1938</v>
      </c>
      <c r="D10" s="129">
        <f>'03 Historical'!E75</f>
        <v>0</v>
      </c>
      <c r="E10" s="129">
        <v>0</v>
      </c>
      <c r="F10" s="130" t="str">
        <f t="shared" ref="F10:F17" si="0">IF(ABS(D10)&lt;1,"OK","FALLO")</f>
        <v>OK</v>
      </c>
      <c r="G10" s="129" t="s">
        <v>703</v>
      </c>
      <c r="H10" s="129" t="s">
        <v>704</v>
      </c>
      <c r="I10" s="129" t="s">
        <v>705</v>
      </c>
    </row>
    <row r="11" spans="1:9" x14ac:dyDescent="0.3">
      <c r="B11" s="131">
        <v>2</v>
      </c>
      <c r="C11" s="132" t="s">
        <v>1939</v>
      </c>
      <c r="D11" s="132">
        <f>'03 Historical'!F75</f>
        <v>0</v>
      </c>
      <c r="E11" s="132">
        <v>0</v>
      </c>
      <c r="F11" s="133" t="str">
        <f t="shared" si="0"/>
        <v>OK</v>
      </c>
      <c r="G11" s="132" t="s">
        <v>703</v>
      </c>
      <c r="H11" s="132" t="s">
        <v>704</v>
      </c>
      <c r="I11" s="132" t="s">
        <v>705</v>
      </c>
    </row>
    <row r="12" spans="1:9" x14ac:dyDescent="0.3">
      <c r="B12" s="131">
        <v>3</v>
      </c>
      <c r="C12" s="132" t="s">
        <v>1940</v>
      </c>
      <c r="D12" s="132">
        <f>'03 Historical'!E11-44284</f>
        <v>0</v>
      </c>
      <c r="E12" s="132">
        <v>0</v>
      </c>
      <c r="F12" s="133" t="str">
        <f t="shared" si="0"/>
        <v>OK</v>
      </c>
      <c r="G12" s="132" t="s">
        <v>706</v>
      </c>
      <c r="H12" s="132" t="s">
        <v>707</v>
      </c>
      <c r="I12" s="132" t="s">
        <v>708</v>
      </c>
    </row>
    <row r="13" spans="1:9" x14ac:dyDescent="0.3">
      <c r="B13" s="131">
        <v>4</v>
      </c>
      <c r="C13" s="132" t="s">
        <v>709</v>
      </c>
      <c r="D13" s="132">
        <f>'03 Historical'!F105</f>
        <v>0</v>
      </c>
      <c r="E13" s="132">
        <v>0</v>
      </c>
      <c r="F13" s="133" t="str">
        <f t="shared" si="0"/>
        <v>OK</v>
      </c>
      <c r="G13" s="132" t="s">
        <v>710</v>
      </c>
      <c r="H13" s="132" t="s">
        <v>711</v>
      </c>
      <c r="I13" s="132" t="s">
        <v>712</v>
      </c>
    </row>
    <row r="14" spans="1:9" x14ac:dyDescent="0.3">
      <c r="B14" s="131">
        <v>5</v>
      </c>
      <c r="C14" s="132" t="s">
        <v>713</v>
      </c>
      <c r="D14" s="132">
        <f>'03 Historical'!E105</f>
        <v>0</v>
      </c>
      <c r="E14" s="132">
        <v>0</v>
      </c>
      <c r="F14" s="133" t="str">
        <f t="shared" si="0"/>
        <v>OK</v>
      </c>
      <c r="G14" s="132" t="s">
        <v>714</v>
      </c>
      <c r="H14" s="132" t="s">
        <v>715</v>
      </c>
      <c r="I14" s="132" t="s">
        <v>712</v>
      </c>
    </row>
    <row r="15" spans="1:9" x14ac:dyDescent="0.3">
      <c r="B15" s="131">
        <v>6</v>
      </c>
      <c r="C15" s="132" t="s">
        <v>716</v>
      </c>
      <c r="D15" s="132">
        <f>'03 Historical'!F111</f>
        <v>0</v>
      </c>
      <c r="E15" s="132">
        <v>0</v>
      </c>
      <c r="F15" s="133" t="str">
        <f t="shared" si="0"/>
        <v>OK</v>
      </c>
      <c r="G15" s="132" t="s">
        <v>717</v>
      </c>
      <c r="H15" s="132" t="s">
        <v>718</v>
      </c>
      <c r="I15" s="132" t="s">
        <v>719</v>
      </c>
    </row>
    <row r="16" spans="1:9" x14ac:dyDescent="0.3">
      <c r="B16" s="131">
        <v>7</v>
      </c>
      <c r="C16" s="132" t="s">
        <v>720</v>
      </c>
      <c r="D16" s="132">
        <f>'03 Historical'!E111</f>
        <v>0</v>
      </c>
      <c r="E16" s="132">
        <v>0</v>
      </c>
      <c r="F16" s="133" t="str">
        <f t="shared" si="0"/>
        <v>OK</v>
      </c>
      <c r="G16" s="132" t="s">
        <v>721</v>
      </c>
      <c r="H16" s="132" t="s">
        <v>722</v>
      </c>
      <c r="I16" s="132" t="s">
        <v>723</v>
      </c>
    </row>
    <row r="17" spans="2:9" x14ac:dyDescent="0.3">
      <c r="B17" s="131">
        <v>8</v>
      </c>
      <c r="C17" s="132" t="s">
        <v>1941</v>
      </c>
      <c r="D17" s="132">
        <f>'03 Historical'!F71-27658</f>
        <v>0</v>
      </c>
      <c r="E17" s="132">
        <v>0</v>
      </c>
      <c r="F17" s="133" t="str">
        <f t="shared" si="0"/>
        <v>OK</v>
      </c>
      <c r="G17" s="132" t="s">
        <v>724</v>
      </c>
      <c r="H17" s="132" t="s">
        <v>725</v>
      </c>
      <c r="I17" s="132" t="s">
        <v>726</v>
      </c>
    </row>
    <row r="18" spans="2:9" x14ac:dyDescent="0.3">
      <c r="B18" s="131">
        <v>9</v>
      </c>
      <c r="C18" s="132" t="s">
        <v>1942</v>
      </c>
      <c r="D18" s="132">
        <f>'02 Assumptions'!P57</f>
        <v>0.17</v>
      </c>
      <c r="E18" s="132" t="s">
        <v>727</v>
      </c>
      <c r="F18" s="133" t="str">
        <f>IF(D18&gt;'02 Assumptions'!F59,"OK","FALLO")</f>
        <v>OK</v>
      </c>
      <c r="G18" s="132" t="s">
        <v>728</v>
      </c>
      <c r="H18" s="132" t="s">
        <v>729</v>
      </c>
      <c r="I18" s="132" t="s">
        <v>730</v>
      </c>
    </row>
    <row r="19" spans="2:9" x14ac:dyDescent="0.3">
      <c r="B19" s="131">
        <v>10</v>
      </c>
      <c r="C19" s="132" t="s">
        <v>731</v>
      </c>
      <c r="D19" s="132">
        <f>'06 DCF'!G14</f>
        <v>-100</v>
      </c>
      <c r="E19" s="132" t="s">
        <v>727</v>
      </c>
      <c r="F19" s="133" t="str">
        <f>IF(D19&lt;0,"OK","FALLO")</f>
        <v>OK</v>
      </c>
      <c r="G19" s="132" t="s">
        <v>732</v>
      </c>
      <c r="H19" s="132" t="s">
        <v>733</v>
      </c>
      <c r="I19" s="132" t="s">
        <v>734</v>
      </c>
    </row>
    <row r="20" spans="2:9" ht="28.8" x14ac:dyDescent="0.3">
      <c r="B20" s="131">
        <v>11</v>
      </c>
      <c r="C20" s="132" t="s">
        <v>735</v>
      </c>
      <c r="D20" s="132">
        <f>SUM('05 Three Statement'!G61:P61)</f>
        <v>0</v>
      </c>
      <c r="E20" s="132">
        <v>0</v>
      </c>
      <c r="F20" s="133" t="str">
        <f>IF(ABS(D20)&lt;1,"OK","FALLO")</f>
        <v>OK</v>
      </c>
      <c r="G20" s="132" t="s">
        <v>736</v>
      </c>
      <c r="H20" s="132" t="s">
        <v>737</v>
      </c>
      <c r="I20" s="132" t="s">
        <v>738</v>
      </c>
    </row>
    <row r="21" spans="2:9" x14ac:dyDescent="0.3">
      <c r="B21" s="131">
        <v>12</v>
      </c>
      <c r="C21" s="132" t="s">
        <v>739</v>
      </c>
      <c r="D21" s="132">
        <f>SUM('05 Three Statement'!G89:P89)</f>
        <v>0</v>
      </c>
      <c r="E21" s="132">
        <v>0</v>
      </c>
      <c r="F21" s="133" t="str">
        <f>IF(ABS(D21)&lt;1,"OK","FALLO")</f>
        <v>OK</v>
      </c>
      <c r="G21" s="132" t="s">
        <v>740</v>
      </c>
      <c r="H21" s="132" t="s">
        <v>741</v>
      </c>
      <c r="I21" s="132" t="s">
        <v>742</v>
      </c>
    </row>
    <row r="22" spans="2:9" x14ac:dyDescent="0.3">
      <c r="B22" s="131">
        <v>13</v>
      </c>
      <c r="C22" s="132" t="s">
        <v>743</v>
      </c>
      <c r="D22" s="132" cm="1">
        <f t="array" ref="D22">MIN('05 Three Statement'!G35:P35-'05 Three Statement'!G31:P31)</f>
        <v>3250.7324601598193</v>
      </c>
      <c r="E22" s="132" t="s">
        <v>744</v>
      </c>
      <c r="F22" s="133" t="str">
        <f>IF(D22&gt;=-1,"OK","FALLO")</f>
        <v>OK</v>
      </c>
      <c r="G22" s="132" t="s">
        <v>745</v>
      </c>
      <c r="H22" s="132" t="s">
        <v>746</v>
      </c>
      <c r="I22" s="132" t="s">
        <v>747</v>
      </c>
    </row>
    <row r="23" spans="2:9" x14ac:dyDescent="0.3">
      <c r="B23" s="131">
        <v>14</v>
      </c>
      <c r="C23" s="132" t="s">
        <v>748</v>
      </c>
      <c r="D23" s="132">
        <f>MIN('05 Three Statement'!G24:P24)</f>
        <v>0</v>
      </c>
      <c r="E23" s="132" t="s">
        <v>744</v>
      </c>
      <c r="F23" s="133" t="str">
        <f>IF(D23&gt;=-1,"OK","FALLO")</f>
        <v>OK</v>
      </c>
      <c r="G23" s="132" t="s">
        <v>749</v>
      </c>
      <c r="H23" s="132" t="s">
        <v>750</v>
      </c>
      <c r="I23" s="132" t="s">
        <v>751</v>
      </c>
    </row>
    <row r="24" spans="2:9" x14ac:dyDescent="0.3">
      <c r="B24" s="131">
        <v>15</v>
      </c>
      <c r="C24" s="132" t="s">
        <v>752</v>
      </c>
      <c r="D24" s="132">
        <f>SUM('05 Three Statement'!G42:P42)-SUM('04 Operating Model'!G37:P37)</f>
        <v>0</v>
      </c>
      <c r="E24" s="132">
        <v>0</v>
      </c>
      <c r="F24" s="133" t="str">
        <f>IF(ABS(D24)&lt;1,"OK","FALLO")</f>
        <v>OK</v>
      </c>
      <c r="G24" s="132" t="s">
        <v>753</v>
      </c>
      <c r="H24" s="132" t="s">
        <v>754</v>
      </c>
      <c r="I24" s="132" t="s">
        <v>755</v>
      </c>
    </row>
    <row r="25" spans="2:9" x14ac:dyDescent="0.3">
      <c r="B25" s="131">
        <v>16</v>
      </c>
      <c r="C25" s="132" t="s">
        <v>756</v>
      </c>
      <c r="D25" s="132">
        <f>'05 Three Statement'!P45</f>
        <v>0</v>
      </c>
      <c r="E25" s="132" t="s">
        <v>757</v>
      </c>
      <c r="F25" s="133" t="str">
        <f>IF(ABS(D25)&lt;50,"OK","AVISO")</f>
        <v>OK</v>
      </c>
      <c r="G25" s="132" t="s">
        <v>758</v>
      </c>
      <c r="H25" s="132" t="s">
        <v>759</v>
      </c>
      <c r="I25" s="132" t="s">
        <v>760</v>
      </c>
    </row>
    <row r="26" spans="2:9" x14ac:dyDescent="0.3">
      <c r="B26" s="131">
        <v>17</v>
      </c>
      <c r="C26" s="132" t="s">
        <v>761</v>
      </c>
      <c r="D26" s="132">
        <f>'06 DCF'!P15</f>
        <v>18233.214921430597</v>
      </c>
      <c r="E26" s="132" t="s">
        <v>762</v>
      </c>
      <c r="F26" s="133" t="str">
        <f>IF(D26&gt;0,"OK","FALLO")</f>
        <v>OK</v>
      </c>
      <c r="G26" s="132" t="s">
        <v>763</v>
      </c>
      <c r="H26" s="132" t="s">
        <v>764</v>
      </c>
      <c r="I26" s="132" t="s">
        <v>765</v>
      </c>
    </row>
    <row r="27" spans="2:9" x14ac:dyDescent="0.3">
      <c r="B27" s="131">
        <v>18</v>
      </c>
      <c r="C27" s="132" t="s">
        <v>766</v>
      </c>
      <c r="D27" s="132">
        <f>'06 DCF'!F74</f>
        <v>0</v>
      </c>
      <c r="E27" s="132" t="s">
        <v>767</v>
      </c>
      <c r="F27" s="133" t="str">
        <f>IF(D27&lt;=3,"OK","AVISO")</f>
        <v>OK</v>
      </c>
      <c r="G27" s="132" t="s">
        <v>768</v>
      </c>
      <c r="H27" s="132" t="s">
        <v>769</v>
      </c>
      <c r="I27" s="132" t="s">
        <v>770</v>
      </c>
    </row>
    <row r="28" spans="2:9" x14ac:dyDescent="0.3">
      <c r="B28" s="131">
        <v>19</v>
      </c>
      <c r="C28" s="132" t="s">
        <v>1943</v>
      </c>
      <c r="D28" s="132">
        <f>'06 DCF'!G15/'03 Historical'!F132</f>
        <v>1.0090810659011613</v>
      </c>
      <c r="E28" s="132" t="s">
        <v>1944</v>
      </c>
      <c r="F28" s="133" t="str">
        <f>IF(AND(D28&gt;=0.5,D28&lt;=1.5),"OK","AVISO")</f>
        <v>OK</v>
      </c>
      <c r="G28" s="132" t="s">
        <v>771</v>
      </c>
      <c r="H28" s="132" t="s">
        <v>772</v>
      </c>
      <c r="I28" s="132" t="s">
        <v>773</v>
      </c>
    </row>
    <row r="29" spans="2:9" x14ac:dyDescent="0.3">
      <c r="B29" s="131">
        <v>20</v>
      </c>
      <c r="C29" s="132" t="s">
        <v>774</v>
      </c>
      <c r="D29" s="132">
        <f>'03 Historical'!F137-('02 Assumptions'!C70+'02 Assumptions'!C71-'02 Assumptions'!C72-'02 Assumptions'!C73)</f>
        <v>0</v>
      </c>
      <c r="E29" s="132">
        <v>0</v>
      </c>
      <c r="F29" s="133" t="str">
        <f>IF(ABS(D29)&lt;1,"OK","FALLO")</f>
        <v>OK</v>
      </c>
      <c r="G29" s="132" t="s">
        <v>775</v>
      </c>
      <c r="H29" s="132" t="s">
        <v>776</v>
      </c>
      <c r="I29" s="132" t="s">
        <v>777</v>
      </c>
    </row>
    <row r="30" spans="2:9" x14ac:dyDescent="0.3">
      <c r="B30" s="131">
        <v>21</v>
      </c>
      <c r="C30" s="132" t="s">
        <v>778</v>
      </c>
      <c r="D30" s="132">
        <f>'07 WACC'!C43</f>
        <v>8.5405442729144923E-2</v>
      </c>
      <c r="E30" s="132" t="s">
        <v>762</v>
      </c>
      <c r="F30" s="133" t="str">
        <f>IF(D30&gt;0,"OK","FALLO")</f>
        <v>OK</v>
      </c>
      <c r="G30" s="132" t="s">
        <v>779</v>
      </c>
      <c r="H30" s="132" t="s">
        <v>780</v>
      </c>
      <c r="I30" s="132" t="s">
        <v>781</v>
      </c>
    </row>
    <row r="31" spans="2:9" x14ac:dyDescent="0.3">
      <c r="B31" s="131">
        <v>22</v>
      </c>
      <c r="C31" s="132" t="s">
        <v>782</v>
      </c>
      <c r="D31" s="132">
        <f>'07 WACC'!C43</f>
        <v>8.5405442729144923E-2</v>
      </c>
      <c r="E31" s="132" t="s">
        <v>783</v>
      </c>
      <c r="F31" s="133" t="str">
        <f>IF(D31&gt;0.02,"OK","AVISO")</f>
        <v>OK</v>
      </c>
      <c r="G31" s="132" t="s">
        <v>784</v>
      </c>
      <c r="H31" s="132" t="s">
        <v>785</v>
      </c>
      <c r="I31" s="132" t="s">
        <v>786</v>
      </c>
    </row>
    <row r="32" spans="2:9" x14ac:dyDescent="0.3">
      <c r="B32" s="131">
        <v>23</v>
      </c>
      <c r="C32" s="132" t="s">
        <v>787</v>
      </c>
      <c r="D32" s="132">
        <f>'07 WACC'!C9-'07 WACC'!C25</f>
        <v>6.5291712611983799E-2</v>
      </c>
      <c r="E32" s="132" t="s">
        <v>762</v>
      </c>
      <c r="F32" s="133" t="str">
        <f>IF(D32&gt;0,"OK","FALLO")</f>
        <v>OK</v>
      </c>
      <c r="G32" s="132" t="s">
        <v>788</v>
      </c>
      <c r="H32" s="132" t="s">
        <v>789</v>
      </c>
      <c r="I32" s="132" t="s">
        <v>790</v>
      </c>
    </row>
    <row r="33" spans="2:9" x14ac:dyDescent="0.3">
      <c r="B33" s="131">
        <v>24</v>
      </c>
      <c r="C33" s="132" t="s">
        <v>791</v>
      </c>
      <c r="D33" s="132">
        <f>'07 WACC'!C25-'07 WACC'!C24</f>
        <v>9.3579169575479515E-3</v>
      </c>
      <c r="E33" s="132" t="s">
        <v>744</v>
      </c>
      <c r="F33" s="133" t="str">
        <f>IF(D33&gt;=0,"OK","AVISO")</f>
        <v>OK</v>
      </c>
      <c r="G33" s="132" t="s">
        <v>792</v>
      </c>
      <c r="H33" s="132" t="s">
        <v>793</v>
      </c>
      <c r="I33" s="132" t="s">
        <v>1953</v>
      </c>
    </row>
    <row r="34" spans="2:9" x14ac:dyDescent="0.3">
      <c r="B34" s="131">
        <v>25</v>
      </c>
      <c r="C34" s="132" t="s">
        <v>794</v>
      </c>
      <c r="D34" s="132">
        <f>'07 WACC'!C19-'07 WACC'!C15</f>
        <v>9.4459517254533054E-2</v>
      </c>
      <c r="E34" s="132" t="s">
        <v>762</v>
      </c>
      <c r="F34" s="133" t="str">
        <f>IF(D34&gt;0,"OK","FALLO")</f>
        <v>OK</v>
      </c>
      <c r="G34" s="132" t="s">
        <v>795</v>
      </c>
      <c r="H34" s="132" t="s">
        <v>796</v>
      </c>
      <c r="I34" s="132" t="s">
        <v>797</v>
      </c>
    </row>
    <row r="35" spans="2:9" x14ac:dyDescent="0.3">
      <c r="B35" s="131">
        <v>26</v>
      </c>
      <c r="C35" s="132" t="s">
        <v>798</v>
      </c>
      <c r="D35" s="132">
        <f>'07 WACC'!C31</f>
        <v>7.0000000000000007E-2</v>
      </c>
      <c r="E35" s="132" t="s">
        <v>799</v>
      </c>
      <c r="F35" s="133" t="str">
        <f>IF(AND(D35&gt;=0.05,D35&lt;=0.45),"OK","AVISO")</f>
        <v>OK</v>
      </c>
      <c r="G35" s="132" t="s">
        <v>800</v>
      </c>
      <c r="H35" s="132" t="s">
        <v>801</v>
      </c>
      <c r="I35" s="132" t="s">
        <v>802</v>
      </c>
    </row>
    <row r="36" spans="2:9" ht="28.8" x14ac:dyDescent="0.3">
      <c r="B36" s="131">
        <v>27</v>
      </c>
      <c r="C36" s="132" t="s">
        <v>803</v>
      </c>
      <c r="D36" s="132" t="s">
        <v>804</v>
      </c>
      <c r="E36" s="132" t="s">
        <v>805</v>
      </c>
      <c r="F36" s="133" t="str">
        <f>"OK"</f>
        <v>OK</v>
      </c>
      <c r="G36" s="132" t="s">
        <v>806</v>
      </c>
      <c r="H36" s="132" t="s">
        <v>807</v>
      </c>
      <c r="I36" s="132" t="s">
        <v>808</v>
      </c>
    </row>
    <row r="37" spans="2:9" x14ac:dyDescent="0.3">
      <c r="B37" s="131">
        <v>28</v>
      </c>
      <c r="C37" s="132" t="s">
        <v>809</v>
      </c>
      <c r="D37" s="132">
        <f>'02 Assumptions'!C65-'06 DCF'!F26</f>
        <v>1.0000000000000002E-2</v>
      </c>
      <c r="E37" s="132" t="s">
        <v>744</v>
      </c>
      <c r="F37" s="133" t="str">
        <f>IF(D37&gt;=0,"OK","FALLO")</f>
        <v>OK</v>
      </c>
      <c r="G37" s="132" t="s">
        <v>810</v>
      </c>
      <c r="H37" s="132" t="s">
        <v>811</v>
      </c>
      <c r="I37" s="132" t="s">
        <v>812</v>
      </c>
    </row>
    <row r="38" spans="2:9" ht="28.8" x14ac:dyDescent="0.3">
      <c r="B38" s="131">
        <v>29</v>
      </c>
      <c r="C38" s="132" t="s">
        <v>813</v>
      </c>
      <c r="D38" s="132" t="s">
        <v>814</v>
      </c>
      <c r="E38" s="132" t="s">
        <v>815</v>
      </c>
      <c r="F38" s="133" t="str">
        <f>"OK"</f>
        <v>OK</v>
      </c>
      <c r="G38" s="132" t="s">
        <v>816</v>
      </c>
      <c r="H38" s="132" t="s">
        <v>817</v>
      </c>
      <c r="I38" s="132" t="s">
        <v>818</v>
      </c>
    </row>
    <row r="39" spans="2:9" x14ac:dyDescent="0.3">
      <c r="B39" s="131">
        <v>30</v>
      </c>
      <c r="C39" s="132" t="s">
        <v>819</v>
      </c>
      <c r="D39" s="132">
        <f>'06 DCF'!F28-'06 DCF'!F26/'06 DCF'!F27</f>
        <v>0</v>
      </c>
      <c r="E39" s="132">
        <v>0</v>
      </c>
      <c r="F39" s="133" t="str">
        <f>IF(ABS(D39)&lt;0.0001,"OK","FALLO")</f>
        <v>OK</v>
      </c>
      <c r="G39" s="132" t="s">
        <v>820</v>
      </c>
      <c r="H39" s="132" t="s">
        <v>821</v>
      </c>
      <c r="I39" s="132" t="s">
        <v>822</v>
      </c>
    </row>
    <row r="40" spans="2:9" x14ac:dyDescent="0.3">
      <c r="B40" s="131">
        <v>31</v>
      </c>
      <c r="C40" s="132" t="s">
        <v>823</v>
      </c>
      <c r="D40" s="132">
        <f>'04 Operating Model'!P64-'06 DCF'!F27</f>
        <v>0.30462782347582767</v>
      </c>
      <c r="E40" s="132" t="s">
        <v>744</v>
      </c>
      <c r="F40" s="133" t="str">
        <f>IF(D40&gt;=0,"OK","AVISO")</f>
        <v>OK</v>
      </c>
      <c r="G40" s="132" t="s">
        <v>824</v>
      </c>
      <c r="H40" s="132" t="s">
        <v>825</v>
      </c>
      <c r="I40" s="132" t="s">
        <v>826</v>
      </c>
    </row>
    <row r="41" spans="2:9" x14ac:dyDescent="0.3">
      <c r="B41" s="131">
        <v>32</v>
      </c>
      <c r="C41" s="132" t="s">
        <v>827</v>
      </c>
      <c r="D41" s="132">
        <f>'06 DCF'!F62</f>
        <v>8.2480731952847481</v>
      </c>
      <c r="E41" s="132" t="s">
        <v>828</v>
      </c>
      <c r="F41" s="133" t="str">
        <f>IF(AND(D41&gt;=8,D41&lt;=25),"OK","AVISO")</f>
        <v>OK</v>
      </c>
      <c r="G41" s="132" t="s">
        <v>829</v>
      </c>
      <c r="H41" s="132" t="s">
        <v>830</v>
      </c>
      <c r="I41" s="132" t="s">
        <v>831</v>
      </c>
    </row>
    <row r="42" spans="2:9" x14ac:dyDescent="0.3">
      <c r="B42" s="131">
        <v>33</v>
      </c>
      <c r="C42" s="132" t="s">
        <v>832</v>
      </c>
      <c r="D42" s="132">
        <f>'06 DCF'!F45</f>
        <v>0.46198292106518363</v>
      </c>
      <c r="E42" s="132" t="s">
        <v>833</v>
      </c>
      <c r="F42" s="133" t="str">
        <f>IF(D42&lt;0.75,"OK","AVISO")</f>
        <v>OK</v>
      </c>
      <c r="G42" s="132" t="s">
        <v>834</v>
      </c>
      <c r="H42" s="132" t="s">
        <v>835</v>
      </c>
      <c r="I42" s="132" t="s">
        <v>836</v>
      </c>
    </row>
    <row r="43" spans="2:9" x14ac:dyDescent="0.3">
      <c r="B43" s="131">
        <v>34</v>
      </c>
      <c r="C43" s="132" t="s">
        <v>837</v>
      </c>
      <c r="D43" s="132">
        <f>MAX('03 Historical'!D128:F128)-'04 Operating Model'!P30</f>
        <v>8.7535001354882569E-4</v>
      </c>
      <c r="E43" s="132" t="s">
        <v>744</v>
      </c>
      <c r="F43" s="133" t="str">
        <f>IF(D43&gt;=0,"OK","AVISO")</f>
        <v>OK</v>
      </c>
      <c r="G43" s="132" t="s">
        <v>838</v>
      </c>
      <c r="H43" s="132" t="s">
        <v>839</v>
      </c>
      <c r="I43" s="132" t="s">
        <v>840</v>
      </c>
    </row>
    <row r="44" spans="2:9" x14ac:dyDescent="0.3">
      <c r="B44" s="131">
        <v>35</v>
      </c>
      <c r="C44" s="132" t="s">
        <v>841</v>
      </c>
      <c r="D44" s="132">
        <f>'04 Operating Model'!P41</f>
        <v>1.1656755598442659</v>
      </c>
      <c r="E44" s="132" t="s">
        <v>842</v>
      </c>
      <c r="F44" s="133" t="str">
        <f>IF(AND(D44&gt;=0.8,D44&lt;=1.3),"OK","AVISO")</f>
        <v>OK</v>
      </c>
      <c r="G44" s="132" t="s">
        <v>843</v>
      </c>
      <c r="H44" s="132" t="s">
        <v>844</v>
      </c>
      <c r="I44" s="132" t="s">
        <v>845</v>
      </c>
    </row>
    <row r="45" spans="2:9" x14ac:dyDescent="0.3">
      <c r="B45" s="131">
        <v>36</v>
      </c>
      <c r="C45" s="132" t="s">
        <v>846</v>
      </c>
      <c r="D45" s="132">
        <f>'04 Operating Model'!G41</f>
        <v>1.1145491107744692</v>
      </c>
      <c r="E45" s="132" t="s">
        <v>847</v>
      </c>
      <c r="F45" s="133" t="str">
        <f>IF(ABS(D45-1)&gt;0.05,"OK","AVISO")</f>
        <v>OK</v>
      </c>
      <c r="G45" s="132" t="s">
        <v>848</v>
      </c>
      <c r="H45" s="132" t="s">
        <v>849</v>
      </c>
      <c r="I45" s="132" t="s">
        <v>850</v>
      </c>
    </row>
    <row r="46" spans="2:9" ht="28.8" x14ac:dyDescent="0.3">
      <c r="B46" s="131">
        <v>37</v>
      </c>
      <c r="C46" s="132" t="s">
        <v>1945</v>
      </c>
      <c r="D46" s="132">
        <f>'02 Assumptions'!P30-MAX('03 Historical'!D18:F18)</f>
        <v>-1.511960371644161E-2</v>
      </c>
      <c r="E46" s="132" t="s">
        <v>1946</v>
      </c>
      <c r="F46" s="133" t="str">
        <f>IF(D46&lt;=0,"OK","FALLO")</f>
        <v>OK</v>
      </c>
      <c r="G46" s="132" t="s">
        <v>1999</v>
      </c>
      <c r="H46" s="132" t="s">
        <v>852</v>
      </c>
      <c r="I46" s="132" t="s">
        <v>853</v>
      </c>
    </row>
    <row r="47" spans="2:9" ht="28.8" x14ac:dyDescent="0.3">
      <c r="B47" s="131">
        <v>38</v>
      </c>
      <c r="C47" s="132" t="s">
        <v>854</v>
      </c>
      <c r="D47" s="132" t="s">
        <v>855</v>
      </c>
      <c r="E47" s="132" t="s">
        <v>856</v>
      </c>
      <c r="F47" s="133" t="str">
        <f>"OK"</f>
        <v>OK</v>
      </c>
      <c r="G47" s="132" t="s">
        <v>857</v>
      </c>
      <c r="H47" s="132" t="s">
        <v>858</v>
      </c>
      <c r="I47" s="132" t="s">
        <v>859</v>
      </c>
    </row>
    <row r="48" spans="2:9" x14ac:dyDescent="0.3">
      <c r="B48" s="131">
        <v>39</v>
      </c>
      <c r="C48" s="132" t="s">
        <v>1947</v>
      </c>
      <c r="D48" s="132">
        <f>'04 Operating Model'!P52-'04 Operating Model'!F52</f>
        <v>-3.6185382752460846E-2</v>
      </c>
      <c r="E48" s="132" t="s">
        <v>1948</v>
      </c>
      <c r="F48" s="133" t="str">
        <f>IF(ABS(D48)&lt;=0.05,"OK","AVISO")</f>
        <v>OK</v>
      </c>
      <c r="G48" s="132" t="s">
        <v>860</v>
      </c>
      <c r="H48" s="132" t="s">
        <v>861</v>
      </c>
      <c r="I48" s="132" t="s">
        <v>862</v>
      </c>
    </row>
    <row r="49" spans="2:9" x14ac:dyDescent="0.3">
      <c r="B49" s="131">
        <v>40</v>
      </c>
      <c r="C49" s="132" t="s">
        <v>863</v>
      </c>
      <c r="D49" s="132">
        <f>'02 Assumptions'!G48-'03 Historical'!F134</f>
        <v>-1.7179355680917539</v>
      </c>
      <c r="E49" s="132" t="s">
        <v>864</v>
      </c>
      <c r="F49" s="133" t="str">
        <f>IF(ABS(D49)&lt;=10,"OK","AVISO")</f>
        <v>OK</v>
      </c>
      <c r="G49" s="132" t="s">
        <v>865</v>
      </c>
      <c r="H49" s="132" t="s">
        <v>866</v>
      </c>
      <c r="I49" s="132" t="s">
        <v>867</v>
      </c>
    </row>
    <row r="50" spans="2:9" x14ac:dyDescent="0.3">
      <c r="B50" s="131">
        <v>41</v>
      </c>
      <c r="C50" s="132" t="s">
        <v>868</v>
      </c>
      <c r="D50" s="132">
        <f>'06 DCF'!F53-('06 DCF'!F44+SUM('06 DCF'!F46:F52))</f>
        <v>0</v>
      </c>
      <c r="E50" s="132">
        <v>0</v>
      </c>
      <c r="F50" s="133" t="str">
        <f>IF(ABS(D50)&lt;1,"OK","FALLO")</f>
        <v>OK</v>
      </c>
      <c r="G50" s="132" t="s">
        <v>869</v>
      </c>
      <c r="H50" s="132" t="s">
        <v>870</v>
      </c>
      <c r="I50" s="132" t="s">
        <v>871</v>
      </c>
    </row>
    <row r="51" spans="2:9" x14ac:dyDescent="0.3">
      <c r="B51" s="131">
        <v>42</v>
      </c>
      <c r="C51" s="132" t="s">
        <v>872</v>
      </c>
      <c r="D51" s="132">
        <f>COUNTIF('06 DCF'!F46:F52,-'02 Assumptions'!C70)</f>
        <v>1</v>
      </c>
      <c r="E51" s="132">
        <v>1</v>
      </c>
      <c r="F51" s="133" t="str">
        <f>IF(D51=1,"OK","FALLO")</f>
        <v>OK</v>
      </c>
      <c r="G51" s="132" t="s">
        <v>873</v>
      </c>
      <c r="H51" s="132" t="s">
        <v>874</v>
      </c>
      <c r="I51" s="132" t="s">
        <v>875</v>
      </c>
    </row>
    <row r="52" spans="2:9" ht="28.8" x14ac:dyDescent="0.3">
      <c r="B52" s="131">
        <v>43</v>
      </c>
      <c r="C52" s="132" t="s">
        <v>876</v>
      </c>
      <c r="D52" s="132">
        <f>'06 DCF'!F47</f>
        <v>0</v>
      </c>
      <c r="E52" s="132" t="s">
        <v>1949</v>
      </c>
      <c r="F52" s="133" t="str">
        <f>IF(D52&lt;=0,"OK","FALLO")</f>
        <v>OK</v>
      </c>
      <c r="G52" s="132" t="s">
        <v>877</v>
      </c>
      <c r="H52" s="132" t="s">
        <v>878</v>
      </c>
      <c r="I52" s="132" t="s">
        <v>879</v>
      </c>
    </row>
    <row r="53" spans="2:9" ht="28.8" x14ac:dyDescent="0.3">
      <c r="B53" s="131">
        <v>44</v>
      </c>
      <c r="C53" s="132" t="s">
        <v>1451</v>
      </c>
      <c r="D53" s="132">
        <f>COUNTIF('06 DCF'!$F$46:$F$52,-'02 Assumptions'!$C$76)</f>
        <v>0</v>
      </c>
      <c r="E53" s="132" t="s">
        <v>1452</v>
      </c>
      <c r="F53" s="133" t="str">
        <f>IF(D53=0,"OK","FALLO")</f>
        <v>OK</v>
      </c>
      <c r="G53" s="132" t="s">
        <v>1453</v>
      </c>
      <c r="H53" s="132" t="s">
        <v>880</v>
      </c>
      <c r="I53" s="132" t="s">
        <v>881</v>
      </c>
    </row>
    <row r="54" spans="2:9" ht="28.8" x14ac:dyDescent="0.3">
      <c r="B54" s="131">
        <v>45</v>
      </c>
      <c r="C54" s="132" t="s">
        <v>882</v>
      </c>
      <c r="D54" s="132">
        <f>'06 DCF'!F51</f>
        <v>0</v>
      </c>
      <c r="E54" s="132" t="s">
        <v>1950</v>
      </c>
      <c r="F54" s="133" t="str">
        <f>IF(D54&lt;=0,"OK","FALLO")</f>
        <v>OK</v>
      </c>
      <c r="G54" s="132" t="s">
        <v>883</v>
      </c>
      <c r="H54" s="132" t="s">
        <v>1951</v>
      </c>
      <c r="I54" s="132" t="s">
        <v>884</v>
      </c>
    </row>
    <row r="55" spans="2:9" ht="28.8" x14ac:dyDescent="0.3">
      <c r="B55" s="131">
        <v>46</v>
      </c>
      <c r="C55" s="132" t="s">
        <v>885</v>
      </c>
      <c r="D55" s="132">
        <f>'06 DCF'!F52</f>
        <v>0</v>
      </c>
      <c r="E55" s="132" t="s">
        <v>1952</v>
      </c>
      <c r="F55" s="133" t="str">
        <f>IF(D55&lt;=0,"OK","FALLO")</f>
        <v>OK</v>
      </c>
      <c r="G55" s="132" t="s">
        <v>886</v>
      </c>
      <c r="H55" s="132" t="s">
        <v>887</v>
      </c>
      <c r="I55" s="132" t="s">
        <v>888</v>
      </c>
    </row>
    <row r="56" spans="2:9" x14ac:dyDescent="0.3">
      <c r="B56" s="131">
        <v>47</v>
      </c>
      <c r="C56" s="132" t="s">
        <v>889</v>
      </c>
      <c r="D56" s="132">
        <f>'06 DCF'!F49</f>
        <v>-857.96</v>
      </c>
      <c r="E56" s="132" t="s">
        <v>851</v>
      </c>
      <c r="F56" s="133" t="str">
        <f>IF(D56&lt;0,"OK","FALLO")</f>
        <v>OK</v>
      </c>
      <c r="G56" s="132" t="s">
        <v>890</v>
      </c>
      <c r="H56" s="132" t="s">
        <v>878</v>
      </c>
      <c r="I56" s="132" t="s">
        <v>891</v>
      </c>
    </row>
    <row r="57" spans="2:9" x14ac:dyDescent="0.3">
      <c r="B57" s="131">
        <v>48</v>
      </c>
      <c r="C57" s="132" t="s">
        <v>892</v>
      </c>
      <c r="D57" s="134">
        <f>'06 DCF'!F54-'03 Historical'!F39</f>
        <v>20.699992434558908</v>
      </c>
      <c r="E57" s="132" t="s">
        <v>762</v>
      </c>
      <c r="F57" s="133" t="str">
        <f>IF(D57&gt;0,"OK","FALLO")</f>
        <v>OK</v>
      </c>
      <c r="G57" s="132" t="s">
        <v>893</v>
      </c>
      <c r="H57" s="132" t="s">
        <v>894</v>
      </c>
      <c r="I57" s="132" t="s">
        <v>895</v>
      </c>
    </row>
    <row r="58" spans="2:9" ht="28.8" x14ac:dyDescent="0.3">
      <c r="B58" s="131">
        <v>49</v>
      </c>
      <c r="C58" s="132" t="s">
        <v>896</v>
      </c>
      <c r="D58" s="132" t="s">
        <v>897</v>
      </c>
      <c r="E58" s="132" t="s">
        <v>898</v>
      </c>
      <c r="F58" s="133" t="str">
        <f>"OK"</f>
        <v>OK</v>
      </c>
      <c r="G58" s="132" t="s">
        <v>899</v>
      </c>
      <c r="H58" s="132" t="s">
        <v>900</v>
      </c>
      <c r="I58" s="132" t="s">
        <v>901</v>
      </c>
    </row>
    <row r="59" spans="2:9" x14ac:dyDescent="0.3">
      <c r="B59" s="131">
        <v>50</v>
      </c>
      <c r="C59" s="132" t="s">
        <v>902</v>
      </c>
      <c r="D59" s="132">
        <f>'06 DCF'!F55</f>
        <v>131.72392237678821</v>
      </c>
      <c r="E59" s="132" t="s">
        <v>903</v>
      </c>
      <c r="F59" s="133" t="str">
        <f>IF(_xlfn.ISFORMULA('06 DCF'!F55),"OK","FALLO")</f>
        <v>OK</v>
      </c>
      <c r="G59" s="132" t="s">
        <v>904</v>
      </c>
      <c r="H59" s="132" t="s">
        <v>905</v>
      </c>
      <c r="I59" s="132" t="s">
        <v>906</v>
      </c>
    </row>
    <row r="60" spans="2:9" ht="28.8" x14ac:dyDescent="0.3">
      <c r="B60" s="131">
        <v>51</v>
      </c>
      <c r="C60" s="132" t="s">
        <v>1954</v>
      </c>
      <c r="D60" s="132">
        <f>'04 Operating Model'!I62</f>
        <v>0.72147402299999996</v>
      </c>
      <c r="E60" s="132" t="s">
        <v>1955</v>
      </c>
      <c r="F60" s="133" t="str">
        <f>IF(AND(D60&gt;=0.6,D60&lt;=1.2),"OK","AVISO")</f>
        <v>OK</v>
      </c>
      <c r="G60" s="132" t="s">
        <v>1956</v>
      </c>
      <c r="H60" s="132" t="s">
        <v>1957</v>
      </c>
      <c r="I60" s="132" t="s">
        <v>1958</v>
      </c>
    </row>
    <row r="61" spans="2:9" x14ac:dyDescent="0.3">
      <c r="B61" s="131">
        <v>52</v>
      </c>
      <c r="C61" s="132" t="s">
        <v>907</v>
      </c>
      <c r="D61" s="132">
        <f>'04 Operating Model'!P69</f>
        <v>-1.5852849515416819E-2</v>
      </c>
      <c r="E61" s="132" t="s">
        <v>908</v>
      </c>
      <c r="F61" s="133" t="str">
        <f>IF(ABS(D61)&lt;=0.05,"OK","AVISO")</f>
        <v>OK</v>
      </c>
      <c r="G61" s="132" t="s">
        <v>909</v>
      </c>
      <c r="H61" s="132" t="s">
        <v>910</v>
      </c>
      <c r="I61" s="132" t="s">
        <v>911</v>
      </c>
    </row>
    <row r="62" spans="2:9" x14ac:dyDescent="0.3">
      <c r="B62" s="131">
        <v>53</v>
      </c>
      <c r="C62" s="132" t="s">
        <v>912</v>
      </c>
      <c r="D62" s="132">
        <f>'04 Operating Model'!P64-'07 WACC'!C38</f>
        <v>0.48922238074668273</v>
      </c>
      <c r="E62" s="132" t="s">
        <v>762</v>
      </c>
      <c r="F62" s="133" t="str">
        <f>IF(D62&gt;0,"OK","AVISO")</f>
        <v>OK</v>
      </c>
      <c r="G62" s="132" t="s">
        <v>913</v>
      </c>
      <c r="H62" s="132" t="s">
        <v>914</v>
      </c>
      <c r="I62" s="132" t="s">
        <v>915</v>
      </c>
    </row>
    <row r="63" spans="2:9" ht="28.8" x14ac:dyDescent="0.3">
      <c r="B63" s="131">
        <v>54</v>
      </c>
      <c r="C63" s="132" t="s">
        <v>916</v>
      </c>
      <c r="D63" s="132" t="s">
        <v>917</v>
      </c>
      <c r="E63" s="132" t="s">
        <v>918</v>
      </c>
      <c r="F63" s="133" t="str">
        <f>IF(AND('09 Escenarios'!F9&gt;0,'09 Escenarios'!F13&lt;1),"OK","FALLO")</f>
        <v>OK</v>
      </c>
      <c r="G63" s="132" t="s">
        <v>919</v>
      </c>
      <c r="H63" s="132" t="s">
        <v>920</v>
      </c>
      <c r="I63" s="132" t="s">
        <v>921</v>
      </c>
    </row>
    <row r="64" spans="2:9" x14ac:dyDescent="0.3">
      <c r="B64" s="131">
        <v>55</v>
      </c>
      <c r="C64" s="132" t="s">
        <v>922</v>
      </c>
      <c r="D64" s="132" t="s">
        <v>923</v>
      </c>
      <c r="E64" s="132" t="s">
        <v>924</v>
      </c>
      <c r="F64" s="133" t="str">
        <f>IF(AND('09 Escenarios'!D9&lt;'09 Escenarios'!E9,'09 Escenarios'!E9&lt;'09 Escenarios'!F9),"OK","FALLO")</f>
        <v>OK</v>
      </c>
      <c r="G64" s="132" t="s">
        <v>925</v>
      </c>
      <c r="H64" s="132" t="s">
        <v>926</v>
      </c>
      <c r="I64" s="132" t="s">
        <v>927</v>
      </c>
    </row>
    <row r="65" spans="2:9" x14ac:dyDescent="0.3">
      <c r="B65" s="131">
        <v>56</v>
      </c>
      <c r="C65" s="132" t="s">
        <v>928</v>
      </c>
      <c r="D65" s="132">
        <f>'02 Assumptions'!C104</f>
        <v>0</v>
      </c>
      <c r="E65" s="132">
        <v>0</v>
      </c>
      <c r="F65" s="133" t="str">
        <f>IF(D65=0,"OK","FALLO: el libro está desplazado")</f>
        <v>OK</v>
      </c>
      <c r="G65" s="132" t="s">
        <v>929</v>
      </c>
      <c r="H65" s="132" t="s">
        <v>930</v>
      </c>
      <c r="I65" s="132" t="s">
        <v>931</v>
      </c>
    </row>
    <row r="66" spans="2:9" x14ac:dyDescent="0.3">
      <c r="B66" s="131">
        <v>57</v>
      </c>
      <c r="C66" s="132" t="s">
        <v>932</v>
      </c>
      <c r="D66" s="132" t="s">
        <v>933</v>
      </c>
      <c r="E66" s="132" t="s">
        <v>898</v>
      </c>
      <c r="F66" s="133" t="str">
        <f>"OK"</f>
        <v>OK</v>
      </c>
      <c r="G66" s="132" t="s">
        <v>934</v>
      </c>
      <c r="H66" s="132" t="s">
        <v>935</v>
      </c>
      <c r="I66" s="132" t="s">
        <v>936</v>
      </c>
    </row>
    <row r="67" spans="2:9" x14ac:dyDescent="0.3">
      <c r="B67" s="131">
        <v>58</v>
      </c>
      <c r="C67" s="132" t="s">
        <v>937</v>
      </c>
      <c r="D67" s="132" t="s">
        <v>938</v>
      </c>
      <c r="E67" s="132" t="s">
        <v>898</v>
      </c>
      <c r="F67" s="133" t="str">
        <f>"OK"</f>
        <v>OK</v>
      </c>
      <c r="G67" s="132" t="s">
        <v>939</v>
      </c>
      <c r="H67" s="132" t="s">
        <v>940</v>
      </c>
      <c r="I67" s="132" t="s">
        <v>941</v>
      </c>
    </row>
    <row r="68" spans="2:9" ht="28.8" x14ac:dyDescent="0.3">
      <c r="B68" s="131">
        <v>59</v>
      </c>
      <c r="C68" s="132" t="s">
        <v>942</v>
      </c>
      <c r="D68" s="132" t="s">
        <v>943</v>
      </c>
      <c r="E68" s="132" t="s">
        <v>944</v>
      </c>
      <c r="F68" s="133" t="str">
        <f>"OK"</f>
        <v>OK</v>
      </c>
      <c r="G68" s="132" t="s">
        <v>945</v>
      </c>
      <c r="H68" s="132" t="s">
        <v>946</v>
      </c>
      <c r="I68" s="132" t="s">
        <v>947</v>
      </c>
    </row>
    <row r="69" spans="2:9" x14ac:dyDescent="0.3">
      <c r="B69" s="131">
        <v>60</v>
      </c>
      <c r="C69" s="132" t="s">
        <v>948</v>
      </c>
      <c r="D69" s="132">
        <f>Sensibilidad!F8-'06 DCF'!F55</f>
        <v>0</v>
      </c>
      <c r="E69" s="132">
        <v>0</v>
      </c>
      <c r="F69" s="133" t="str">
        <f>IF(ABS(D69)&lt;0.01,"OK","FALLO")</f>
        <v>OK</v>
      </c>
      <c r="G69" s="132" t="s">
        <v>949</v>
      </c>
      <c r="H69" s="132" t="s">
        <v>950</v>
      </c>
      <c r="I69" s="132" t="s">
        <v>951</v>
      </c>
    </row>
    <row r="70" spans="2:9" x14ac:dyDescent="0.3">
      <c r="B70" s="131">
        <v>61</v>
      </c>
      <c r="C70" s="132" t="s">
        <v>952</v>
      </c>
      <c r="D70" s="132" cm="1">
        <f t="array" ref="D70">SUMPRODUCT(--ISERROR('04 Operating Model'!D7:P70))</f>
        <v>0</v>
      </c>
      <c r="E70" s="132">
        <v>0</v>
      </c>
      <c r="F70" s="133" t="str">
        <f>IF(D70=0,"OK","FALLO")</f>
        <v>OK</v>
      </c>
      <c r="G70" s="132" t="s">
        <v>1438</v>
      </c>
      <c r="H70" s="132" t="s">
        <v>953</v>
      </c>
      <c r="I70" s="132" t="s">
        <v>954</v>
      </c>
    </row>
    <row r="71" spans="2:9" ht="28.8" x14ac:dyDescent="0.3">
      <c r="B71" s="131">
        <v>62</v>
      </c>
      <c r="C71" s="132" t="s">
        <v>955</v>
      </c>
      <c r="D71" s="132" cm="1">
        <f t="array" ref="D71">SUMPRODUCT(--ISERROR('05 Three Statement'!D6:P94))</f>
        <v>0</v>
      </c>
      <c r="E71" s="132">
        <v>0</v>
      </c>
      <c r="F71" s="133" t="str">
        <f>IF(D71=0,"OK","FALLO")</f>
        <v>OK</v>
      </c>
      <c r="G71" s="132" t="s">
        <v>1649</v>
      </c>
      <c r="H71" s="132" t="s">
        <v>1650</v>
      </c>
      <c r="I71" s="132" t="s">
        <v>954</v>
      </c>
    </row>
    <row r="72" spans="2:9" x14ac:dyDescent="0.3">
      <c r="B72" s="131">
        <v>63</v>
      </c>
      <c r="C72" s="132" t="s">
        <v>958</v>
      </c>
      <c r="D72" s="132" cm="1">
        <f t="array" ref="D72">SUMPRODUCT(--ISERROR('06 DCF'!D6:P75))</f>
        <v>0</v>
      </c>
      <c r="E72" s="132">
        <v>0</v>
      </c>
      <c r="F72" s="133" t="str">
        <f>IF(D72=0,"OK","FALLO")</f>
        <v>OK</v>
      </c>
      <c r="G72" s="132" t="s">
        <v>956</v>
      </c>
      <c r="H72" s="132" t="s">
        <v>959</v>
      </c>
      <c r="I72" s="132" t="s">
        <v>957</v>
      </c>
    </row>
    <row r="73" spans="2:9" x14ac:dyDescent="0.3">
      <c r="B73" s="131">
        <v>64</v>
      </c>
      <c r="C73" s="132" t="s">
        <v>960</v>
      </c>
      <c r="D73" s="132" cm="1">
        <f t="array" ref="D73">SUMPRODUCT(--ISERROR(Sensibilidad!D6:H46))</f>
        <v>0</v>
      </c>
      <c r="E73" s="132">
        <v>0</v>
      </c>
      <c r="F73" s="133" t="str">
        <f>IF(D73=0,"OK","FALLO")</f>
        <v>OK</v>
      </c>
      <c r="G73" s="132" t="s">
        <v>956</v>
      </c>
      <c r="H73" s="132" t="s">
        <v>961</v>
      </c>
      <c r="I73" s="132" t="s">
        <v>962</v>
      </c>
    </row>
    <row r="74" spans="2:9" ht="57.6" x14ac:dyDescent="0.3">
      <c r="B74" s="131">
        <v>65</v>
      </c>
      <c r="C74" s="132" t="s">
        <v>963</v>
      </c>
      <c r="D74" s="132">
        <f>'01 Summary'!C10</f>
        <v>198.27</v>
      </c>
      <c r="E74" s="132" t="s">
        <v>762</v>
      </c>
      <c r="F74" s="133" t="str">
        <f>IF(D74&gt;0,"OK","AVISO: sin precio no hay upside ni Reverse DCF")</f>
        <v>OK</v>
      </c>
      <c r="G74" s="132" t="s">
        <v>964</v>
      </c>
      <c r="H74" s="132" t="s">
        <v>965</v>
      </c>
      <c r="I74" s="132" t="s">
        <v>966</v>
      </c>
    </row>
    <row r="75" spans="2:9" ht="28.8" x14ac:dyDescent="0.3">
      <c r="B75" s="95">
        <v>66</v>
      </c>
      <c r="C75" s="135" t="s">
        <v>1454</v>
      </c>
      <c r="D75" s="135">
        <f>'07 WACC'!C56</f>
        <v>0</v>
      </c>
      <c r="E75" s="135" t="s">
        <v>1455</v>
      </c>
      <c r="F75" s="136" t="str">
        <f>IF(LEN(TRIM('07 WACC'!C56))&gt;0,"OK","AVISO")</f>
        <v>OK</v>
      </c>
      <c r="G75" s="135" t="s">
        <v>1651</v>
      </c>
      <c r="H75" s="135" t="s">
        <v>1652</v>
      </c>
      <c r="I75" s="135" t="s">
        <v>1653</v>
      </c>
    </row>
    <row r="76" spans="2:9" ht="28.8" x14ac:dyDescent="0.3">
      <c r="B76">
        <v>67</v>
      </c>
      <c r="C76" s="37" t="s">
        <v>1456</v>
      </c>
      <c r="D76" s="37">
        <f>'02 Assumptions'!C11-COLUMNS('06 DCF'!$G$15:$P$15)</f>
        <v>0</v>
      </c>
      <c r="E76" s="37">
        <v>0</v>
      </c>
      <c r="F76" s="127" t="str">
        <f>IF(D76=0,"OK","FALLO: C11 no coincide con las columnas")</f>
        <v>OK</v>
      </c>
      <c r="G76" s="37" t="s">
        <v>1457</v>
      </c>
      <c r="H76" s="37" t="s">
        <v>1458</v>
      </c>
      <c r="I76" s="37" t="s">
        <v>1459</v>
      </c>
    </row>
    <row r="77" spans="2:9" ht="57.6" x14ac:dyDescent="0.3">
      <c r="B77">
        <v>68</v>
      </c>
      <c r="C77" s="37" t="s">
        <v>1460</v>
      </c>
      <c r="D77" s="154" cm="1">
        <f t="array" ref="D77">MAX(ABS('04 Operating Model'!G71:P71))/MAX(ABS('06 DCF'!G15:P15))</f>
        <v>9.5860305114849184E-4</v>
      </c>
      <c r="E77" s="37" t="s">
        <v>1461</v>
      </c>
      <c r="F77" s="127" t="str">
        <f>IF(D77&lt;0.05,"OK","AVISO")</f>
        <v>OK</v>
      </c>
      <c r="G77" s="37" t="s">
        <v>1462</v>
      </c>
      <c r="H77" s="37" t="s">
        <v>1463</v>
      </c>
      <c r="I77" s="37" t="s">
        <v>1464</v>
      </c>
    </row>
    <row r="78" spans="2:9" ht="28.8" x14ac:dyDescent="0.3">
      <c r="B78">
        <v>69</v>
      </c>
      <c r="C78" s="37" t="s">
        <v>1467</v>
      </c>
      <c r="D78" s="155">
        <f>'04 Operating Model'!P12-'06 DCF'!F26</f>
        <v>5.8933901702609426E-3</v>
      </c>
      <c r="E78" s="37" t="s">
        <v>744</v>
      </c>
      <c r="F78" s="127" t="str">
        <f>IF(D78&gt;=0,"OK","FALLO: el último año explícito crece menos que la perpetuidad")</f>
        <v>OK</v>
      </c>
      <c r="G78" s="37" t="s">
        <v>1468</v>
      </c>
      <c r="H78" s="37" t="s">
        <v>1469</v>
      </c>
      <c r="I78" s="37" t="s">
        <v>1470</v>
      </c>
    </row>
    <row r="79" spans="2:9" x14ac:dyDescent="0.3">
      <c r="B79" s="128">
        <v>70</v>
      </c>
      <c r="C79" s="129" t="s">
        <v>1738</v>
      </c>
      <c r="D79" s="129" t="str">
        <f>'Escenario Pesimista'!F81</f>
        <v>OK</v>
      </c>
      <c r="E79" s="129" t="s">
        <v>1739</v>
      </c>
      <c r="F79" s="130" t="str">
        <f>IF($D$79="OK","OK","FALLO")</f>
        <v>OK</v>
      </c>
      <c r="G79" s="129" t="s">
        <v>1740</v>
      </c>
      <c r="H79" s="129" t="s">
        <v>1741</v>
      </c>
      <c r="I79" s="129" t="s">
        <v>1742</v>
      </c>
    </row>
    <row r="80" spans="2:9" x14ac:dyDescent="0.3">
      <c r="B80" s="131">
        <v>71</v>
      </c>
      <c r="C80" s="132" t="s">
        <v>1743</v>
      </c>
      <c r="D80" s="132" t="str">
        <f>'Escenario Base'!F81</f>
        <v>OK</v>
      </c>
      <c r="E80" s="132" t="s">
        <v>1739</v>
      </c>
      <c r="F80" s="133" t="str">
        <f>IF($D$80="OK","OK","FALLO")</f>
        <v>OK</v>
      </c>
      <c r="G80" s="132" t="s">
        <v>1744</v>
      </c>
      <c r="H80" s="132" t="s">
        <v>1745</v>
      </c>
      <c r="I80" s="132" t="s">
        <v>1746</v>
      </c>
    </row>
    <row r="81" spans="2:9" x14ac:dyDescent="0.3">
      <c r="B81" s="131">
        <v>72</v>
      </c>
      <c r="C81" s="132" t="s">
        <v>1747</v>
      </c>
      <c r="D81" s="132" t="str">
        <f>'Escenario Optimista'!F81</f>
        <v>OK</v>
      </c>
      <c r="E81" s="132" t="s">
        <v>1739</v>
      </c>
      <c r="F81" s="133" t="str">
        <f>IF($D$81="OK","OK","FALLO")</f>
        <v>OK</v>
      </c>
      <c r="G81" s="132" t="s">
        <v>1748</v>
      </c>
      <c r="H81" s="132" t="s">
        <v>1749</v>
      </c>
      <c r="I81" s="132" t="s">
        <v>1750</v>
      </c>
    </row>
    <row r="82" spans="2:9" ht="28.8" x14ac:dyDescent="0.3">
      <c r="B82" s="131">
        <v>73</v>
      </c>
      <c r="C82" s="132" t="s">
        <v>1751</v>
      </c>
      <c r="D82" s="132">
        <f>'Escenario Base'!F72-'06 DCF'!F55</f>
        <v>0</v>
      </c>
      <c r="E82" s="132">
        <v>0</v>
      </c>
      <c r="F82" s="133" t="str">
        <f>IF(ABS($D$82)&lt;0.01,"OK","FALLO: la réplica del escenario Base no coincide con el DCF")</f>
        <v>OK</v>
      </c>
      <c r="G82" s="132" t="s">
        <v>1752</v>
      </c>
      <c r="H82" s="132" t="s">
        <v>1753</v>
      </c>
      <c r="I82" s="132" t="s">
        <v>1754</v>
      </c>
    </row>
    <row r="83" spans="2:9" x14ac:dyDescent="0.3">
      <c r="B83" s="131">
        <v>74</v>
      </c>
      <c r="C83" s="132" t="s">
        <v>1755</v>
      </c>
      <c r="D83" s="132" t="str">
        <f>'01 Summary'!G26</f>
        <v>OK</v>
      </c>
      <c r="E83" s="132" t="s">
        <v>1739</v>
      </c>
      <c r="F83" s="133" t="str">
        <f>IF($D$83="OK","OK","FALLO")</f>
        <v>OK</v>
      </c>
      <c r="G83" s="132" t="s">
        <v>1756</v>
      </c>
      <c r="H83" s="132" t="s">
        <v>1757</v>
      </c>
      <c r="I83" s="132" t="s">
        <v>1758</v>
      </c>
    </row>
    <row r="84" spans="2:9" ht="28.8" x14ac:dyDescent="0.3">
      <c r="B84" s="131">
        <v>75</v>
      </c>
      <c r="C84" s="132" t="s">
        <v>1759</v>
      </c>
      <c r="D84" s="132">
        <f>'Escenario Pesimista'!P52-'Escenario Optimista'!P52</f>
        <v>1.4999999999999999E-2</v>
      </c>
      <c r="E84" s="132" t="s">
        <v>762</v>
      </c>
      <c r="F84" s="133" t="str">
        <f>IF($D$84&gt;0,"OK","FALLO")</f>
        <v>OK</v>
      </c>
      <c r="G84" s="132" t="s">
        <v>1760</v>
      </c>
      <c r="H84" s="132" t="s">
        <v>1761</v>
      </c>
      <c r="I84" s="132" t="s">
        <v>1762</v>
      </c>
    </row>
    <row r="85" spans="2:9" x14ac:dyDescent="0.3">
      <c r="B85" s="131">
        <v>76</v>
      </c>
      <c r="C85" s="132" t="s">
        <v>1763</v>
      </c>
      <c r="D85" s="132">
        <f>'01 Summary'!D79</f>
        <v>1</v>
      </c>
      <c r="E85" s="132">
        <v>1</v>
      </c>
      <c r="F85" s="133" t="str">
        <f>IF(ABS($D$85-1)&lt;0.0001,"OK","FALLO")</f>
        <v>OK</v>
      </c>
      <c r="G85" s="132" t="s">
        <v>1764</v>
      </c>
      <c r="H85" s="132" t="s">
        <v>1765</v>
      </c>
      <c r="I85" s="132" t="s">
        <v>1766</v>
      </c>
    </row>
    <row r="86" spans="2:9" ht="28.8" x14ac:dyDescent="0.3">
      <c r="B86" s="131">
        <v>77</v>
      </c>
      <c r="C86" s="132" t="s">
        <v>1767</v>
      </c>
      <c r="D86" s="132">
        <f>'01 Summary'!C85</f>
        <v>2.5156790851427</v>
      </c>
      <c r="E86" s="132" t="s">
        <v>1768</v>
      </c>
      <c r="F86" s="133" t="str">
        <f>IF(NOT(ISNUMBER($D$86)),"AVISO",IF($D$86&lt;2.5,"OK","AVISO"))</f>
        <v>AVISO</v>
      </c>
      <c r="G86" s="132" t="s">
        <v>1769</v>
      </c>
      <c r="H86" s="132" t="s">
        <v>1770</v>
      </c>
      <c r="I86" s="132" t="s">
        <v>1771</v>
      </c>
    </row>
    <row r="87" spans="2:9" ht="115.2" x14ac:dyDescent="0.3">
      <c r="B87" s="95">
        <v>78</v>
      </c>
      <c r="C87" s="135" t="s">
        <v>1772</v>
      </c>
      <c r="D87" s="135">
        <f>'01 Summary'!E60</f>
        <v>16</v>
      </c>
      <c r="E87" s="135" t="s">
        <v>1773</v>
      </c>
      <c r="F87" s="136" t="str">
        <f>"AVISO: los múltiplos de '01 Summary'!E59:E64 son inputs del analista, NO peers observados"</f>
        <v>AVISO: los múltiplos de '01 Summary'!E59:E64 son inputs del analista, NO peers observados</v>
      </c>
      <c r="G87" s="135" t="s">
        <v>1774</v>
      </c>
      <c r="H87" s="135" t="s">
        <v>1775</v>
      </c>
      <c r="I87" s="135" t="s">
        <v>1776</v>
      </c>
    </row>
  </sheetData>
  <conditionalFormatting sqref="F10:F75">
    <cfRule type="containsText" dxfId="11" priority="1" operator="containsText" text="FALLO">
      <formula>NOT(ISERROR(SEARCH("FALLO",F10)))</formula>
    </cfRule>
    <cfRule type="containsText" dxfId="10" priority="2" operator="containsText" text="AVISO">
      <formula>NOT(ISERROR(SEARCH("AVISO",F10)))</formula>
    </cfRule>
    <cfRule type="containsText" dxfId="9" priority="3" operator="containsText" text="OK">
      <formula>NOT(ISERROR(SEARCH("OK",F10)))</formula>
    </cfRule>
  </conditionalFormatting>
  <conditionalFormatting sqref="F10:F77">
    <cfRule type="containsText" dxfId="8" priority="4" operator="containsText" text="FALLO">
      <formula>NOT(ISERROR(SEARCH("FALLO",F10)))</formula>
    </cfRule>
    <cfRule type="containsText" dxfId="7" priority="5" operator="containsText" text="AVISO">
      <formula>NOT(ISERROR(SEARCH("AVISO",F10)))</formula>
    </cfRule>
    <cfRule type="containsText" dxfId="6" priority="6" operator="containsText" text="OK">
      <formula>NOT(ISERROR(SEARCH("OK",F10)))</formula>
    </cfRule>
  </conditionalFormatting>
  <conditionalFormatting sqref="F10:F78">
    <cfRule type="containsText" dxfId="5" priority="7" operator="containsText" text="FALLO">
      <formula>NOT(ISERROR(SEARCH("FALLO",F10)))</formula>
    </cfRule>
    <cfRule type="containsText" dxfId="4" priority="8" operator="containsText" text="AVISO">
      <formula>NOT(ISERROR(SEARCH("AVISO",F10)))</formula>
    </cfRule>
    <cfRule type="containsText" dxfId="3" priority="9" operator="containsText" text="OK">
      <formula>NOT(ISERROR(SEARCH("OK",F10)))</formula>
    </cfRule>
  </conditionalFormatting>
  <conditionalFormatting sqref="F10:F87">
    <cfRule type="containsText" dxfId="2" priority="10" operator="containsText" text="FALLO">
      <formula>NOT(ISERROR(SEARCH("FALLO",F10)))</formula>
    </cfRule>
    <cfRule type="containsText" dxfId="1" priority="11" operator="containsText" text="AVISO">
      <formula>NOT(ISERROR(SEARCH("AVISO",F10)))</formula>
    </cfRule>
    <cfRule type="containsText" dxfId="0" priority="12" operator="containsText" text="OK">
      <formula>NOT(ISERROR(SEARCH("OK",F10)))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64D3E-0C97-4B8D-956C-875941D2618C}">
  <dimension ref="A1:L25"/>
  <sheetViews>
    <sheetView workbookViewId="0">
      <pane ySplit="5" topLeftCell="A6" activePane="bottomLeft" state="frozen"/>
      <selection pane="bottomLeft"/>
    </sheetView>
  </sheetViews>
  <sheetFormatPr baseColWidth="10" defaultRowHeight="14.4" x14ac:dyDescent="0.3"/>
  <cols>
    <col min="1" max="1" width="5.5546875" customWidth="1"/>
    <col min="2" max="2" width="35.21875" customWidth="1"/>
    <col min="3" max="3" width="48.109375" customWidth="1"/>
    <col min="4" max="12" width="17.5546875" customWidth="1"/>
  </cols>
  <sheetData>
    <row r="1" spans="1:12" ht="18" x14ac:dyDescent="0.35">
      <c r="A1" s="4" t="s">
        <v>2069</v>
      </c>
    </row>
    <row r="2" spans="1:12" x14ac:dyDescent="0.3">
      <c r="A2" t="s">
        <v>2070</v>
      </c>
    </row>
    <row r="3" spans="1:12" x14ac:dyDescent="0.3">
      <c r="A3" t="s">
        <v>2071</v>
      </c>
    </row>
    <row r="5" spans="1:12" ht="28.8" x14ac:dyDescent="0.3">
      <c r="A5" s="9" t="s">
        <v>0</v>
      </c>
      <c r="B5" s="9" t="s">
        <v>1</v>
      </c>
      <c r="C5" s="9" t="s">
        <v>2</v>
      </c>
      <c r="D5" s="9" t="s">
        <v>3</v>
      </c>
      <c r="E5" s="9" t="s">
        <v>4</v>
      </c>
      <c r="F5" s="9" t="s">
        <v>5</v>
      </c>
      <c r="G5" s="9" t="s">
        <v>6</v>
      </c>
      <c r="H5" s="9" t="s">
        <v>7</v>
      </c>
      <c r="I5" s="9" t="s">
        <v>8</v>
      </c>
      <c r="J5" s="9" t="s">
        <v>9</v>
      </c>
      <c r="K5" s="9" t="s">
        <v>10</v>
      </c>
      <c r="L5" s="9" t="s">
        <v>11</v>
      </c>
    </row>
    <row r="6" spans="1:12" ht="86.4" x14ac:dyDescent="0.3">
      <c r="A6" s="10">
        <v>1</v>
      </c>
      <c r="B6" s="10" t="s">
        <v>12</v>
      </c>
      <c r="C6" s="10" t="s">
        <v>2072</v>
      </c>
      <c r="D6" s="10" t="s">
        <v>2073</v>
      </c>
      <c r="E6" s="10" t="s">
        <v>2074</v>
      </c>
      <c r="F6" s="10" t="s">
        <v>2075</v>
      </c>
      <c r="G6" s="11" t="s">
        <v>2076</v>
      </c>
      <c r="H6" s="229" t="s">
        <v>2077</v>
      </c>
      <c r="I6" s="10" t="s">
        <v>14</v>
      </c>
      <c r="J6" s="10" t="s">
        <v>15</v>
      </c>
      <c r="K6" s="10" t="s">
        <v>2078</v>
      </c>
      <c r="L6" s="10" t="s">
        <v>2079</v>
      </c>
    </row>
    <row r="7" spans="1:12" ht="86.4" x14ac:dyDescent="0.3">
      <c r="A7" s="10">
        <v>2</v>
      </c>
      <c r="B7" s="10" t="s">
        <v>18</v>
      </c>
      <c r="C7" s="10" t="s">
        <v>2080</v>
      </c>
      <c r="D7" s="10" t="s">
        <v>2081</v>
      </c>
      <c r="E7" s="10" t="s">
        <v>2082</v>
      </c>
      <c r="F7" s="10" t="s">
        <v>2075</v>
      </c>
      <c r="G7" s="11" t="s">
        <v>2076</v>
      </c>
      <c r="H7" s="229" t="s">
        <v>2083</v>
      </c>
      <c r="I7" s="10" t="s">
        <v>14</v>
      </c>
      <c r="J7" s="10" t="s">
        <v>15</v>
      </c>
      <c r="K7" s="10" t="s">
        <v>2084</v>
      </c>
      <c r="L7" s="10" t="s">
        <v>17</v>
      </c>
    </row>
    <row r="8" spans="1:12" ht="72" x14ac:dyDescent="0.3">
      <c r="A8" s="10">
        <v>3</v>
      </c>
      <c r="B8" s="10" t="s">
        <v>19</v>
      </c>
      <c r="C8" s="10" t="s">
        <v>2085</v>
      </c>
      <c r="D8" s="10" t="s">
        <v>2081</v>
      </c>
      <c r="E8" s="10" t="s">
        <v>2086</v>
      </c>
      <c r="F8" s="10" t="s">
        <v>2075</v>
      </c>
      <c r="G8" s="11" t="s">
        <v>2076</v>
      </c>
      <c r="H8" s="229" t="s">
        <v>2077</v>
      </c>
      <c r="I8" s="10" t="s">
        <v>14</v>
      </c>
      <c r="J8" s="10" t="s">
        <v>15</v>
      </c>
      <c r="K8" s="10" t="s">
        <v>2078</v>
      </c>
      <c r="L8" s="10" t="s">
        <v>2079</v>
      </c>
    </row>
    <row r="9" spans="1:12" ht="72" x14ac:dyDescent="0.3">
      <c r="A9" s="10">
        <v>4</v>
      </c>
      <c r="B9" s="10" t="s">
        <v>20</v>
      </c>
      <c r="C9" s="10" t="s">
        <v>2087</v>
      </c>
      <c r="D9" s="10" t="s">
        <v>13</v>
      </c>
      <c r="E9" s="10" t="s">
        <v>2088</v>
      </c>
      <c r="F9" s="10" t="s">
        <v>2075</v>
      </c>
      <c r="G9" s="11" t="s">
        <v>2076</v>
      </c>
      <c r="H9" s="229" t="s">
        <v>2089</v>
      </c>
      <c r="I9" s="10" t="s">
        <v>14</v>
      </c>
      <c r="J9" s="10" t="s">
        <v>15</v>
      </c>
      <c r="K9" s="10" t="s">
        <v>16</v>
      </c>
      <c r="L9" s="10" t="s">
        <v>17</v>
      </c>
    </row>
    <row r="10" spans="1:12" ht="57.6" x14ac:dyDescent="0.3">
      <c r="A10" s="10">
        <v>5</v>
      </c>
      <c r="B10" s="10" t="s">
        <v>21</v>
      </c>
      <c r="C10" s="10" t="s">
        <v>2090</v>
      </c>
      <c r="D10" s="10" t="s">
        <v>2091</v>
      </c>
      <c r="E10" s="10" t="s">
        <v>2092</v>
      </c>
      <c r="F10" s="10" t="s">
        <v>2093</v>
      </c>
      <c r="G10" s="11">
        <f>DATE(2025,11,5)</f>
        <v>45966</v>
      </c>
      <c r="H10" s="229" t="s">
        <v>24</v>
      </c>
      <c r="I10" s="10" t="s">
        <v>14</v>
      </c>
      <c r="J10" s="10" t="s">
        <v>15</v>
      </c>
      <c r="K10" s="10" t="s">
        <v>16</v>
      </c>
      <c r="L10" s="10" t="s">
        <v>17</v>
      </c>
    </row>
    <row r="11" spans="1:12" ht="72" x14ac:dyDescent="0.3">
      <c r="A11" s="10">
        <v>6</v>
      </c>
      <c r="B11" s="10" t="s">
        <v>22</v>
      </c>
      <c r="C11" s="10" t="s">
        <v>2094</v>
      </c>
      <c r="D11" s="10" t="s">
        <v>2095</v>
      </c>
      <c r="E11" s="10" t="s">
        <v>2096</v>
      </c>
      <c r="F11" s="10" t="s">
        <v>2075</v>
      </c>
      <c r="G11" s="11" t="s">
        <v>2076</v>
      </c>
      <c r="H11" s="229" t="s">
        <v>2077</v>
      </c>
      <c r="I11" s="10" t="s">
        <v>14</v>
      </c>
      <c r="J11" s="10" t="s">
        <v>23</v>
      </c>
      <c r="K11" s="10" t="s">
        <v>16</v>
      </c>
      <c r="L11" s="10" t="s">
        <v>17</v>
      </c>
    </row>
    <row r="12" spans="1:12" ht="86.4" x14ac:dyDescent="0.3">
      <c r="A12" s="10">
        <v>7</v>
      </c>
      <c r="B12" s="10" t="s">
        <v>2097</v>
      </c>
      <c r="C12" s="10" t="s">
        <v>2098</v>
      </c>
      <c r="D12" s="10" t="s">
        <v>2099</v>
      </c>
      <c r="E12" s="10" t="s">
        <v>2100</v>
      </c>
      <c r="F12" s="10" t="s">
        <v>24</v>
      </c>
      <c r="G12" s="11" t="s">
        <v>2076</v>
      </c>
      <c r="H12" s="229" t="s">
        <v>2101</v>
      </c>
      <c r="I12" s="10" t="s">
        <v>14</v>
      </c>
      <c r="J12" s="10" t="s">
        <v>15</v>
      </c>
      <c r="K12" s="10" t="s">
        <v>2102</v>
      </c>
      <c r="L12" s="10" t="s">
        <v>33</v>
      </c>
    </row>
    <row r="13" spans="1:12" ht="72" x14ac:dyDescent="0.3">
      <c r="A13" s="10">
        <v>8</v>
      </c>
      <c r="B13" s="10" t="s">
        <v>2103</v>
      </c>
      <c r="C13" s="10" t="s">
        <v>2158</v>
      </c>
      <c r="D13" s="10" t="s">
        <v>2081</v>
      </c>
      <c r="E13" s="10" t="s">
        <v>2104</v>
      </c>
      <c r="F13" s="10" t="s">
        <v>2075</v>
      </c>
      <c r="G13" s="11">
        <f>DATE(2026,9,8)</f>
        <v>46273</v>
      </c>
      <c r="H13" s="229" t="s">
        <v>2105</v>
      </c>
      <c r="I13" s="10" t="s">
        <v>24</v>
      </c>
      <c r="J13" s="10" t="s">
        <v>2106</v>
      </c>
      <c r="K13" s="10" t="s">
        <v>16</v>
      </c>
      <c r="L13" s="10" t="s">
        <v>17</v>
      </c>
    </row>
    <row r="14" spans="1:12" ht="57.6" x14ac:dyDescent="0.3">
      <c r="A14" s="10">
        <v>9</v>
      </c>
      <c r="B14" s="10" t="s">
        <v>2107</v>
      </c>
      <c r="C14" s="10" t="s">
        <v>2108</v>
      </c>
      <c r="D14" s="10" t="s">
        <v>2091</v>
      </c>
      <c r="E14" s="10" t="s">
        <v>2109</v>
      </c>
      <c r="F14" s="10" t="s">
        <v>2093</v>
      </c>
      <c r="G14" s="11">
        <f>DATE(2025,11,5)</f>
        <v>45966</v>
      </c>
      <c r="H14" s="229" t="s">
        <v>24</v>
      </c>
      <c r="I14" s="10" t="s">
        <v>14</v>
      </c>
      <c r="J14" s="10" t="s">
        <v>15</v>
      </c>
      <c r="K14" s="10" t="s">
        <v>16</v>
      </c>
      <c r="L14" s="10" t="s">
        <v>17</v>
      </c>
    </row>
    <row r="15" spans="1:12" ht="43.2" x14ac:dyDescent="0.3">
      <c r="A15" s="10">
        <v>10</v>
      </c>
      <c r="B15" s="10" t="s">
        <v>25</v>
      </c>
      <c r="C15" s="10" t="s">
        <v>2149</v>
      </c>
      <c r="D15" s="10" t="s">
        <v>2150</v>
      </c>
      <c r="E15" s="10" t="s">
        <v>2151</v>
      </c>
      <c r="F15" s="10" t="s">
        <v>2152</v>
      </c>
      <c r="G15" s="11" t="s">
        <v>24</v>
      </c>
      <c r="H15" s="229" t="s">
        <v>234</v>
      </c>
      <c r="I15" s="10" t="s">
        <v>14</v>
      </c>
      <c r="J15" s="10" t="s">
        <v>26</v>
      </c>
      <c r="K15" s="10" t="s">
        <v>27</v>
      </c>
      <c r="L15" s="10" t="s">
        <v>28</v>
      </c>
    </row>
    <row r="16" spans="1:12" ht="115.2" x14ac:dyDescent="0.3">
      <c r="A16" s="10">
        <v>11</v>
      </c>
      <c r="B16" s="10" t="s">
        <v>2110</v>
      </c>
      <c r="C16" s="10" t="s">
        <v>2153</v>
      </c>
      <c r="D16" s="10" t="s">
        <v>2154</v>
      </c>
      <c r="E16" s="10" t="s">
        <v>2155</v>
      </c>
      <c r="F16" s="10" t="s">
        <v>2156</v>
      </c>
      <c r="G16" s="11" t="s">
        <v>24</v>
      </c>
      <c r="H16" s="229" t="s">
        <v>2157</v>
      </c>
      <c r="I16" s="10" t="s">
        <v>24</v>
      </c>
      <c r="J16" s="10" t="s">
        <v>23</v>
      </c>
      <c r="K16" s="10" t="s">
        <v>27</v>
      </c>
      <c r="L16" s="10" t="s">
        <v>28</v>
      </c>
    </row>
    <row r="17" spans="1:12" ht="43.2" x14ac:dyDescent="0.3">
      <c r="A17" s="10">
        <v>12</v>
      </c>
      <c r="B17" s="10" t="s">
        <v>29</v>
      </c>
      <c r="C17" s="10" t="s">
        <v>2111</v>
      </c>
      <c r="D17" s="10" t="s">
        <v>30</v>
      </c>
      <c r="E17" s="10" t="s">
        <v>2112</v>
      </c>
      <c r="F17" s="10" t="s">
        <v>24</v>
      </c>
      <c r="G17" s="11" t="s">
        <v>24</v>
      </c>
      <c r="H17" s="229" t="s">
        <v>31</v>
      </c>
      <c r="I17" s="10" t="s">
        <v>14</v>
      </c>
      <c r="J17" s="10" t="s">
        <v>15</v>
      </c>
      <c r="K17" s="10" t="s">
        <v>32</v>
      </c>
      <c r="L17" s="10" t="s">
        <v>33</v>
      </c>
    </row>
    <row r="19" spans="1:12" x14ac:dyDescent="0.3">
      <c r="A19" s="5" t="s">
        <v>34</v>
      </c>
    </row>
    <row r="20" spans="1:12" ht="86.4" x14ac:dyDescent="0.3">
      <c r="A20" s="12" t="s">
        <v>35</v>
      </c>
      <c r="B20" s="12" t="s">
        <v>2113</v>
      </c>
      <c r="C20" s="10" t="s">
        <v>2159</v>
      </c>
    </row>
    <row r="21" spans="1:12" ht="72" x14ac:dyDescent="0.3">
      <c r="A21" s="12" t="s">
        <v>36</v>
      </c>
      <c r="B21" s="12" t="s">
        <v>2114</v>
      </c>
      <c r="C21" s="10" t="s">
        <v>2160</v>
      </c>
    </row>
    <row r="22" spans="1:12" ht="72" x14ac:dyDescent="0.3">
      <c r="A22" s="12" t="s">
        <v>37</v>
      </c>
      <c r="B22" s="12" t="s">
        <v>2115</v>
      </c>
    </row>
    <row r="23" spans="1:12" ht="86.4" x14ac:dyDescent="0.3">
      <c r="A23" s="12" t="s">
        <v>38</v>
      </c>
      <c r="B23" s="12" t="s">
        <v>2116</v>
      </c>
    </row>
    <row r="24" spans="1:12" ht="86.4" x14ac:dyDescent="0.3">
      <c r="A24" s="12" t="s">
        <v>39</v>
      </c>
      <c r="B24" s="12" t="s">
        <v>2117</v>
      </c>
    </row>
    <row r="25" spans="1:12" ht="57.6" x14ac:dyDescent="0.3">
      <c r="A25" s="12" t="s">
        <v>40</v>
      </c>
      <c r="B25" s="12" t="s">
        <v>2118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043FD-29EC-4F2E-90B4-D67A70B7A0B3}">
  <dimension ref="A1:H70"/>
  <sheetViews>
    <sheetView topLeftCell="A71" workbookViewId="0"/>
  </sheetViews>
  <sheetFormatPr baseColWidth="10" defaultRowHeight="14.4" x14ac:dyDescent="0.3"/>
  <cols>
    <col min="2" max="2" width="50" customWidth="1"/>
    <col min="3" max="3" width="79.6640625" customWidth="1"/>
    <col min="4" max="4" width="61.109375" customWidth="1"/>
    <col min="5" max="5" width="79.6640625" customWidth="1"/>
    <col min="6" max="6" width="55.5546875" customWidth="1"/>
    <col min="7" max="7" width="61.109375" customWidth="1"/>
    <col min="8" max="8" width="70.33203125" customWidth="1"/>
  </cols>
  <sheetData>
    <row r="1" spans="1:3" ht="19.8" x14ac:dyDescent="0.4">
      <c r="A1" s="137" t="s">
        <v>967</v>
      </c>
    </row>
    <row r="3" spans="1:3" ht="15.6" x14ac:dyDescent="0.3">
      <c r="B3" s="138" t="s">
        <v>968</v>
      </c>
      <c r="C3" s="138"/>
    </row>
    <row r="4" spans="1:3" ht="72" x14ac:dyDescent="0.3">
      <c r="B4" s="139" t="s">
        <v>607</v>
      </c>
      <c r="C4" s="37" t="s">
        <v>969</v>
      </c>
    </row>
    <row r="5" spans="1:3" ht="72" x14ac:dyDescent="0.3">
      <c r="B5" s="139" t="s">
        <v>970</v>
      </c>
      <c r="C5" s="37" t="s">
        <v>971</v>
      </c>
    </row>
    <row r="6" spans="1:3" ht="43.2" x14ac:dyDescent="0.3">
      <c r="B6" s="139" t="s">
        <v>972</v>
      </c>
      <c r="C6" s="37" t="s">
        <v>973</v>
      </c>
    </row>
    <row r="7" spans="1:3" ht="15.6" x14ac:dyDescent="0.3">
      <c r="B7" s="138" t="s">
        <v>974</v>
      </c>
      <c r="C7" s="138"/>
    </row>
    <row r="8" spans="1:3" ht="57.6" x14ac:dyDescent="0.3">
      <c r="B8" s="139" t="s">
        <v>975</v>
      </c>
      <c r="C8" s="37" t="s">
        <v>976</v>
      </c>
    </row>
    <row r="9" spans="1:3" ht="43.2" x14ac:dyDescent="0.3">
      <c r="B9" s="139" t="s">
        <v>977</v>
      </c>
      <c r="C9" s="37" t="s">
        <v>978</v>
      </c>
    </row>
    <row r="10" spans="1:3" ht="57.6" x14ac:dyDescent="0.3">
      <c r="B10" s="139" t="s">
        <v>979</v>
      </c>
      <c r="C10" s="37" t="s">
        <v>980</v>
      </c>
    </row>
    <row r="11" spans="1:3" ht="43.2" x14ac:dyDescent="0.3">
      <c r="B11" s="139" t="s">
        <v>981</v>
      </c>
      <c r="C11" s="37" t="s">
        <v>982</v>
      </c>
    </row>
    <row r="12" spans="1:3" ht="31.2" x14ac:dyDescent="0.3">
      <c r="B12" s="138" t="s">
        <v>983</v>
      </c>
      <c r="C12" s="138"/>
    </row>
    <row r="13" spans="1:3" ht="57.6" x14ac:dyDescent="0.3">
      <c r="B13" s="139" t="s">
        <v>984</v>
      </c>
      <c r="C13" s="37" t="s">
        <v>985</v>
      </c>
    </row>
    <row r="14" spans="1:3" ht="43.2" x14ac:dyDescent="0.3">
      <c r="B14" s="139" t="s">
        <v>986</v>
      </c>
      <c r="C14" s="37" t="s">
        <v>987</v>
      </c>
    </row>
    <row r="15" spans="1:3" ht="43.2" x14ac:dyDescent="0.3">
      <c r="B15" s="139" t="s">
        <v>988</v>
      </c>
      <c r="C15" s="37" t="s">
        <v>989</v>
      </c>
    </row>
    <row r="16" spans="1:3" ht="43.2" x14ac:dyDescent="0.3">
      <c r="B16" s="139" t="s">
        <v>990</v>
      </c>
      <c r="C16" s="37" t="s">
        <v>991</v>
      </c>
    </row>
    <row r="17" spans="2:3" ht="31.2" x14ac:dyDescent="0.3">
      <c r="B17" s="138" t="s">
        <v>992</v>
      </c>
      <c r="C17" s="138"/>
    </row>
    <row r="18" spans="2:3" ht="57.6" x14ac:dyDescent="0.3">
      <c r="B18" s="139" t="s">
        <v>993</v>
      </c>
      <c r="C18" s="37" t="s">
        <v>2119</v>
      </c>
    </row>
    <row r="19" spans="2:3" ht="43.2" x14ac:dyDescent="0.3">
      <c r="B19" s="139" t="s">
        <v>994</v>
      </c>
      <c r="C19" s="37" t="s">
        <v>995</v>
      </c>
    </row>
    <row r="20" spans="2:3" ht="43.2" x14ac:dyDescent="0.3">
      <c r="B20" s="139" t="s">
        <v>996</v>
      </c>
      <c r="C20" s="37" t="s">
        <v>997</v>
      </c>
    </row>
    <row r="21" spans="2:3" ht="43.2" x14ac:dyDescent="0.3">
      <c r="B21" s="139" t="s">
        <v>998</v>
      </c>
      <c r="C21" s="37" t="s">
        <v>999</v>
      </c>
    </row>
    <row r="22" spans="2:3" ht="28.8" x14ac:dyDescent="0.3">
      <c r="B22" s="139" t="s">
        <v>1000</v>
      </c>
      <c r="C22" s="37" t="s">
        <v>1001</v>
      </c>
    </row>
    <row r="23" spans="2:3" ht="15.6" x14ac:dyDescent="0.3">
      <c r="B23" s="138" t="s">
        <v>1002</v>
      </c>
      <c r="C23" s="138"/>
    </row>
    <row r="24" spans="2:3" ht="43.2" x14ac:dyDescent="0.3">
      <c r="B24" s="139" t="s">
        <v>1003</v>
      </c>
      <c r="C24" s="37" t="s">
        <v>1004</v>
      </c>
    </row>
    <row r="25" spans="2:3" ht="43.2" x14ac:dyDescent="0.3">
      <c r="B25" s="139" t="s">
        <v>1005</v>
      </c>
      <c r="C25" s="37" t="s">
        <v>1006</v>
      </c>
    </row>
    <row r="26" spans="2:3" ht="72" x14ac:dyDescent="0.3">
      <c r="B26" s="139" t="s">
        <v>2120</v>
      </c>
      <c r="C26" s="37" t="s">
        <v>2121</v>
      </c>
    </row>
    <row r="27" spans="2:3" ht="57.6" x14ac:dyDescent="0.3">
      <c r="B27" s="139" t="s">
        <v>1007</v>
      </c>
      <c r="C27" s="37" t="s">
        <v>1008</v>
      </c>
    </row>
    <row r="28" spans="2:3" ht="57.6" x14ac:dyDescent="0.3">
      <c r="B28" s="139" t="s">
        <v>1009</v>
      </c>
      <c r="C28" s="37" t="s">
        <v>1010</v>
      </c>
    </row>
    <row r="29" spans="2:3" ht="43.2" x14ac:dyDescent="0.3">
      <c r="B29" s="139" t="s">
        <v>22</v>
      </c>
      <c r="C29" s="37" t="s">
        <v>1011</v>
      </c>
    </row>
    <row r="30" spans="2:3" ht="43.2" x14ac:dyDescent="0.3">
      <c r="B30" s="139" t="s">
        <v>1012</v>
      </c>
      <c r="C30" s="37" t="s">
        <v>1013</v>
      </c>
    </row>
    <row r="31" spans="2:3" ht="43.2" x14ac:dyDescent="0.3">
      <c r="B31" s="139" t="s">
        <v>1014</v>
      </c>
      <c r="C31" s="37" t="s">
        <v>1015</v>
      </c>
    </row>
    <row r="32" spans="2:3" ht="72" x14ac:dyDescent="0.3">
      <c r="B32" s="139" t="s">
        <v>1016</v>
      </c>
      <c r="C32" s="37" t="s">
        <v>1017</v>
      </c>
    </row>
    <row r="33" spans="2:8" ht="15.6" x14ac:dyDescent="0.3">
      <c r="B33" s="138" t="s">
        <v>1018</v>
      </c>
      <c r="C33" s="138"/>
    </row>
    <row r="34" spans="2:8" ht="72" x14ac:dyDescent="0.3">
      <c r="B34" s="139" t="s">
        <v>381</v>
      </c>
      <c r="C34" s="37" t="s">
        <v>1019</v>
      </c>
    </row>
    <row r="35" spans="2:8" ht="43.2" x14ac:dyDescent="0.3">
      <c r="B35" s="139" t="s">
        <v>348</v>
      </c>
      <c r="C35" s="37" t="s">
        <v>1020</v>
      </c>
    </row>
    <row r="36" spans="2:8" ht="57.6" x14ac:dyDescent="0.3">
      <c r="B36" s="139" t="s">
        <v>1021</v>
      </c>
      <c r="C36" s="37" t="s">
        <v>1022</v>
      </c>
    </row>
    <row r="37" spans="2:8" ht="43.2" x14ac:dyDescent="0.3">
      <c r="B37" s="139" t="s">
        <v>1023</v>
      </c>
      <c r="C37" s="37" t="s">
        <v>1024</v>
      </c>
    </row>
    <row r="38" spans="2:8" ht="57.6" x14ac:dyDescent="0.3">
      <c r="B38" s="139" t="s">
        <v>1025</v>
      </c>
      <c r="C38" s="37" t="s">
        <v>1026</v>
      </c>
    </row>
    <row r="39" spans="2:8" ht="86.4" x14ac:dyDescent="0.3">
      <c r="B39" s="139" t="s">
        <v>1027</v>
      </c>
      <c r="C39" s="37" t="s">
        <v>1028</v>
      </c>
    </row>
    <row r="41" spans="2:8" ht="31.2" x14ac:dyDescent="0.3">
      <c r="B41" s="138" t="s">
        <v>1483</v>
      </c>
      <c r="C41" s="1"/>
      <c r="D41" s="1"/>
      <c r="E41" s="1"/>
      <c r="F41" s="1"/>
      <c r="G41" s="1"/>
      <c r="H41" s="1"/>
    </row>
    <row r="42" spans="2:8" x14ac:dyDescent="0.3">
      <c r="B42" s="157" t="s">
        <v>1484</v>
      </c>
      <c r="C42" s="157" t="s">
        <v>1485</v>
      </c>
      <c r="D42" s="157" t="s">
        <v>1486</v>
      </c>
      <c r="E42" s="157" t="s">
        <v>1487</v>
      </c>
      <c r="F42" s="157" t="s">
        <v>1488</v>
      </c>
      <c r="G42" s="157" t="s">
        <v>1489</v>
      </c>
      <c r="H42" s="157" t="s">
        <v>1490</v>
      </c>
    </row>
    <row r="43" spans="2:8" ht="43.2" x14ac:dyDescent="0.3">
      <c r="B43" s="141" t="s">
        <v>1491</v>
      </c>
      <c r="C43" s="129" t="s">
        <v>1492</v>
      </c>
      <c r="D43" s="129" t="s">
        <v>2122</v>
      </c>
      <c r="E43" s="183" t="s">
        <v>1493</v>
      </c>
      <c r="F43" s="129" t="s">
        <v>2123</v>
      </c>
      <c r="G43" s="129" t="s">
        <v>1494</v>
      </c>
      <c r="H43" s="129" t="s">
        <v>1495</v>
      </c>
    </row>
    <row r="44" spans="2:8" ht="43.2" x14ac:dyDescent="0.3">
      <c r="B44" s="142" t="s">
        <v>476</v>
      </c>
      <c r="C44" s="132" t="s">
        <v>1496</v>
      </c>
      <c r="D44" s="132" t="s">
        <v>1497</v>
      </c>
      <c r="E44" s="184" t="s">
        <v>1498</v>
      </c>
      <c r="F44" s="132" t="s">
        <v>1499</v>
      </c>
      <c r="G44" s="132" t="s">
        <v>1500</v>
      </c>
      <c r="H44" s="132" t="s">
        <v>2124</v>
      </c>
    </row>
    <row r="45" spans="2:8" ht="28.8" x14ac:dyDescent="0.3">
      <c r="B45" s="142" t="s">
        <v>1501</v>
      </c>
      <c r="C45" s="132" t="s">
        <v>1502</v>
      </c>
      <c r="D45" s="132" t="s">
        <v>1503</v>
      </c>
      <c r="E45" s="184" t="s">
        <v>1504</v>
      </c>
      <c r="F45" s="132" t="s">
        <v>1505</v>
      </c>
      <c r="G45" s="132" t="s">
        <v>1506</v>
      </c>
      <c r="H45" s="132" t="s">
        <v>1507</v>
      </c>
    </row>
    <row r="46" spans="2:8" ht="28.8" x14ac:dyDescent="0.3">
      <c r="B46" s="142" t="s">
        <v>1508</v>
      </c>
      <c r="C46" s="132" t="s">
        <v>1509</v>
      </c>
      <c r="D46" s="132" t="s">
        <v>1510</v>
      </c>
      <c r="E46" s="184" t="s">
        <v>1511</v>
      </c>
      <c r="F46" s="132" t="s">
        <v>1512</v>
      </c>
      <c r="G46" s="132" t="s">
        <v>1513</v>
      </c>
      <c r="H46" s="132" t="s">
        <v>1514</v>
      </c>
    </row>
    <row r="47" spans="2:8" ht="43.2" x14ac:dyDescent="0.3">
      <c r="B47" s="142" t="s">
        <v>1515</v>
      </c>
      <c r="C47" s="132" t="s">
        <v>1516</v>
      </c>
      <c r="D47" s="132" t="s">
        <v>1517</v>
      </c>
      <c r="E47" s="184" t="s">
        <v>1518</v>
      </c>
      <c r="F47" s="132" t="s">
        <v>1519</v>
      </c>
      <c r="G47" s="132" t="s">
        <v>1520</v>
      </c>
      <c r="H47" s="132" t="s">
        <v>1521</v>
      </c>
    </row>
    <row r="48" spans="2:8" ht="43.2" x14ac:dyDescent="0.3">
      <c r="B48" s="142" t="s">
        <v>1522</v>
      </c>
      <c r="C48" s="132" t="s">
        <v>1523</v>
      </c>
      <c r="D48" s="132" t="s">
        <v>1524</v>
      </c>
      <c r="E48" s="184" t="s">
        <v>1525</v>
      </c>
      <c r="F48" s="132" t="s">
        <v>1526</v>
      </c>
      <c r="G48" s="132" t="s">
        <v>2125</v>
      </c>
      <c r="H48" s="132" t="s">
        <v>1527</v>
      </c>
    </row>
    <row r="49" spans="2:8" ht="43.2" x14ac:dyDescent="0.3">
      <c r="B49" s="142" t="s">
        <v>1014</v>
      </c>
      <c r="C49" s="132" t="s">
        <v>1528</v>
      </c>
      <c r="D49" s="132" t="s">
        <v>1529</v>
      </c>
      <c r="E49" s="184" t="s">
        <v>1530</v>
      </c>
      <c r="F49" s="132" t="s">
        <v>1531</v>
      </c>
      <c r="G49" s="132" t="s">
        <v>2126</v>
      </c>
      <c r="H49" s="132" t="s">
        <v>1532</v>
      </c>
    </row>
    <row r="50" spans="2:8" ht="43.2" x14ac:dyDescent="0.3">
      <c r="B50" s="142" t="s">
        <v>1533</v>
      </c>
      <c r="C50" s="132" t="s">
        <v>1534</v>
      </c>
      <c r="D50" s="132" t="s">
        <v>1535</v>
      </c>
      <c r="E50" s="184" t="s">
        <v>1536</v>
      </c>
      <c r="F50" s="132" t="s">
        <v>1537</v>
      </c>
      <c r="G50" s="132" t="s">
        <v>1538</v>
      </c>
      <c r="H50" s="132" t="s">
        <v>1539</v>
      </c>
    </row>
    <row r="51" spans="2:8" ht="43.2" x14ac:dyDescent="0.3">
      <c r="B51" s="142" t="s">
        <v>1540</v>
      </c>
      <c r="C51" s="132" t="s">
        <v>1541</v>
      </c>
      <c r="D51" s="132" t="s">
        <v>1542</v>
      </c>
      <c r="E51" s="184" t="s">
        <v>1543</v>
      </c>
      <c r="F51" s="132" t="str">
        <f>"NWC FY2026E = "&amp;FIXED('04 Operating Model'!F50,0)&amp;" (positivo: los inventarios pesan más que los proveedores)"</f>
        <v>NWC FY2026E = 5.776 (positivo: los inventarios pesan más que los proveedores)</v>
      </c>
      <c r="G51" s="132" t="s">
        <v>1544</v>
      </c>
      <c r="H51" s="132" t="s">
        <v>1545</v>
      </c>
    </row>
    <row r="52" spans="2:8" ht="43.2" x14ac:dyDescent="0.3">
      <c r="B52" s="142" t="s">
        <v>381</v>
      </c>
      <c r="C52" s="132" t="s">
        <v>1546</v>
      </c>
      <c r="D52" s="132" t="s">
        <v>1547</v>
      </c>
      <c r="E52" s="184" t="s">
        <v>1548</v>
      </c>
      <c r="F52" s="132" t="s">
        <v>1549</v>
      </c>
      <c r="G52" s="132" t="s">
        <v>1550</v>
      </c>
      <c r="H52" s="132" t="s">
        <v>1551</v>
      </c>
    </row>
    <row r="53" spans="2:8" ht="43.2" x14ac:dyDescent="0.3">
      <c r="B53" s="142" t="s">
        <v>1552</v>
      </c>
      <c r="C53" s="132" t="s">
        <v>1553</v>
      </c>
      <c r="D53" s="132" t="s">
        <v>1554</v>
      </c>
      <c r="E53" s="184" t="s">
        <v>1555</v>
      </c>
      <c r="F53" s="132" t="s">
        <v>1556</v>
      </c>
      <c r="G53" s="132" t="s">
        <v>1557</v>
      </c>
      <c r="H53" s="132" t="s">
        <v>1558</v>
      </c>
    </row>
    <row r="54" spans="2:8" ht="43.2" x14ac:dyDescent="0.3">
      <c r="B54" s="142" t="s">
        <v>1559</v>
      </c>
      <c r="C54" s="132" t="s">
        <v>1560</v>
      </c>
      <c r="D54" s="132" t="s">
        <v>1561</v>
      </c>
      <c r="E54" s="184" t="s">
        <v>1562</v>
      </c>
      <c r="F54" s="132" t="s">
        <v>1563</v>
      </c>
      <c r="G54" s="132" t="s">
        <v>1564</v>
      </c>
      <c r="H54" s="132" t="s">
        <v>1565</v>
      </c>
    </row>
    <row r="55" spans="2:8" ht="43.2" x14ac:dyDescent="0.3">
      <c r="B55" s="142" t="s">
        <v>1566</v>
      </c>
      <c r="C55" s="132" t="s">
        <v>1567</v>
      </c>
      <c r="D55" s="132" t="s">
        <v>1568</v>
      </c>
      <c r="E55" s="184" t="s">
        <v>1569</v>
      </c>
      <c r="F55" s="132" t="s">
        <v>1570</v>
      </c>
      <c r="G55" s="132" t="s">
        <v>1571</v>
      </c>
      <c r="H55" s="132" t="s">
        <v>1572</v>
      </c>
    </row>
    <row r="56" spans="2:8" ht="43.2" x14ac:dyDescent="0.3">
      <c r="B56" s="142" t="s">
        <v>348</v>
      </c>
      <c r="C56" s="132" t="s">
        <v>1573</v>
      </c>
      <c r="D56" s="132" t="s">
        <v>1574</v>
      </c>
      <c r="E56" s="184" t="s">
        <v>1575</v>
      </c>
      <c r="F56" s="132" t="s">
        <v>1576</v>
      </c>
      <c r="G56" s="132" t="s">
        <v>2127</v>
      </c>
      <c r="H56" s="132" t="s">
        <v>1577</v>
      </c>
    </row>
    <row r="57" spans="2:8" ht="43.2" x14ac:dyDescent="0.3">
      <c r="B57" s="142" t="s">
        <v>1578</v>
      </c>
      <c r="C57" s="132" t="s">
        <v>1579</v>
      </c>
      <c r="D57" s="132" t="s">
        <v>1580</v>
      </c>
      <c r="E57" s="184" t="s">
        <v>1581</v>
      </c>
      <c r="F57" s="132" t="s">
        <v>1582</v>
      </c>
      <c r="G57" s="132" t="s">
        <v>1583</v>
      </c>
      <c r="H57" s="132" t="s">
        <v>1584</v>
      </c>
    </row>
    <row r="58" spans="2:8" ht="28.8" x14ac:dyDescent="0.3">
      <c r="B58" s="142" t="s">
        <v>1585</v>
      </c>
      <c r="C58" s="132" t="s">
        <v>1586</v>
      </c>
      <c r="D58" s="132" t="s">
        <v>1587</v>
      </c>
      <c r="E58" s="184" t="s">
        <v>1588</v>
      </c>
      <c r="F58" s="132" t="s">
        <v>1589</v>
      </c>
      <c r="G58" s="132" t="s">
        <v>1590</v>
      </c>
      <c r="H58" s="132" t="s">
        <v>1591</v>
      </c>
    </row>
    <row r="59" spans="2:8" ht="28.8" x14ac:dyDescent="0.3">
      <c r="B59" s="142" t="s">
        <v>670</v>
      </c>
      <c r="C59" s="132" t="s">
        <v>1592</v>
      </c>
      <c r="D59" s="132" t="s">
        <v>1593</v>
      </c>
      <c r="E59" s="184" t="s">
        <v>1594</v>
      </c>
      <c r="F59" s="132" t="s">
        <v>1595</v>
      </c>
      <c r="G59" s="132" t="s">
        <v>1596</v>
      </c>
      <c r="H59" s="132" t="s">
        <v>1597</v>
      </c>
    </row>
    <row r="60" spans="2:8" ht="28.8" x14ac:dyDescent="0.3">
      <c r="B60" s="142" t="s">
        <v>1598</v>
      </c>
      <c r="C60" s="132" t="s">
        <v>1599</v>
      </c>
      <c r="D60" s="132" t="s">
        <v>1600</v>
      </c>
      <c r="E60" s="184" t="s">
        <v>1601</v>
      </c>
      <c r="F60" s="132" t="str">
        <f>FIXED('06 DCF'!F44,0)&amp;" + ("&amp;FIXED(SUM('06 DCF'!F46:F52),0)&amp;") = "&amp;FIXED('06 DCF'!F53,0)</f>
        <v>149.458 + (-6.445) = 143.013</v>
      </c>
      <c r="G60" s="132" t="s">
        <v>1602</v>
      </c>
      <c r="H60" s="132" t="s">
        <v>1603</v>
      </c>
    </row>
    <row r="61" spans="2:8" ht="28.8" x14ac:dyDescent="0.3">
      <c r="B61" s="142" t="s">
        <v>1478</v>
      </c>
      <c r="C61" s="132" t="s">
        <v>1604</v>
      </c>
      <c r="D61" s="132" t="s">
        <v>1605</v>
      </c>
      <c r="E61" s="184" t="s">
        <v>1606</v>
      </c>
      <c r="F61" s="132" t="s">
        <v>1607</v>
      </c>
      <c r="G61" s="132" t="s">
        <v>1608</v>
      </c>
      <c r="H61" s="132" t="s">
        <v>1609</v>
      </c>
    </row>
    <row r="62" spans="2:8" ht="43.2" x14ac:dyDescent="0.3">
      <c r="B62" s="142" t="s">
        <v>1610</v>
      </c>
      <c r="C62" s="132" t="s">
        <v>1611</v>
      </c>
      <c r="D62" s="132" t="s">
        <v>1612</v>
      </c>
      <c r="E62" s="184" t="s">
        <v>1613</v>
      </c>
      <c r="F62" s="132" t="s">
        <v>1614</v>
      </c>
      <c r="G62" s="132" t="s">
        <v>1615</v>
      </c>
      <c r="H62" s="132" t="s">
        <v>1616</v>
      </c>
    </row>
    <row r="63" spans="2:8" ht="43.2" x14ac:dyDescent="0.3">
      <c r="B63" s="142" t="s">
        <v>1617</v>
      </c>
      <c r="C63" s="132" t="s">
        <v>1618</v>
      </c>
      <c r="D63" s="132" t="s">
        <v>1619</v>
      </c>
      <c r="E63" s="184" t="s">
        <v>1620</v>
      </c>
      <c r="F63" s="132" t="s">
        <v>1621</v>
      </c>
      <c r="G63" s="132" t="s">
        <v>1622</v>
      </c>
      <c r="H63" s="132" t="s">
        <v>1623</v>
      </c>
    </row>
    <row r="64" spans="2:8" ht="28.8" x14ac:dyDescent="0.3">
      <c r="B64" s="142" t="s">
        <v>1624</v>
      </c>
      <c r="C64" s="132" t="s">
        <v>1625</v>
      </c>
      <c r="D64" s="132" t="s">
        <v>1626</v>
      </c>
      <c r="E64" s="184" t="s">
        <v>1627</v>
      </c>
      <c r="F64" s="132" t="s">
        <v>1628</v>
      </c>
      <c r="G64" s="132" t="s">
        <v>1629</v>
      </c>
      <c r="H64" s="132" t="s">
        <v>1630</v>
      </c>
    </row>
    <row r="65" spans="2:8" ht="28.8" x14ac:dyDescent="0.3">
      <c r="B65" s="142" t="s">
        <v>1631</v>
      </c>
      <c r="C65" s="132" t="s">
        <v>1632</v>
      </c>
      <c r="D65" s="132" t="s">
        <v>1633</v>
      </c>
      <c r="E65" s="184" t="s">
        <v>1634</v>
      </c>
      <c r="F65" s="132" t="s">
        <v>1635</v>
      </c>
      <c r="G65" s="132" t="s">
        <v>1636</v>
      </c>
      <c r="H65" s="132" t="s">
        <v>1637</v>
      </c>
    </row>
    <row r="66" spans="2:8" ht="43.2" x14ac:dyDescent="0.3">
      <c r="B66" s="143" t="s">
        <v>1638</v>
      </c>
      <c r="C66" s="135" t="s">
        <v>1639</v>
      </c>
      <c r="D66" s="135" t="s">
        <v>1640</v>
      </c>
      <c r="E66" s="185" t="s">
        <v>1641</v>
      </c>
      <c r="F66" s="135" t="s">
        <v>1642</v>
      </c>
      <c r="G66" s="135" t="s">
        <v>1643</v>
      </c>
      <c r="H66" s="135" t="s">
        <v>1644</v>
      </c>
    </row>
    <row r="67" spans="2:8" x14ac:dyDescent="0.3">
      <c r="E67" s="182"/>
    </row>
    <row r="68" spans="2:8" x14ac:dyDescent="0.3">
      <c r="E68" s="182"/>
    </row>
    <row r="69" spans="2:8" x14ac:dyDescent="0.3">
      <c r="E69" s="182"/>
    </row>
    <row r="70" spans="2:8" x14ac:dyDescent="0.3">
      <c r="E70" s="18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4D1-A5B5-4BFD-8DE1-26A30D42F1E8}">
  <dimension ref="A1:G54"/>
  <sheetViews>
    <sheetView workbookViewId="0"/>
  </sheetViews>
  <sheetFormatPr baseColWidth="10" defaultRowHeight="14.4" x14ac:dyDescent="0.3"/>
  <cols>
    <col min="2" max="2" width="61.109375" customWidth="1"/>
    <col min="3" max="3" width="77.77734375" customWidth="1"/>
    <col min="4" max="6" width="59.21875" customWidth="1"/>
    <col min="7" max="7" width="55.5546875" customWidth="1"/>
  </cols>
  <sheetData>
    <row r="1" spans="1:7" ht="19.8" x14ac:dyDescent="0.4">
      <c r="A1" s="137" t="s">
        <v>1029</v>
      </c>
    </row>
    <row r="2" spans="1:7" x14ac:dyDescent="0.3">
      <c r="A2" s="14" t="s">
        <v>1030</v>
      </c>
    </row>
    <row r="4" spans="1:7" x14ac:dyDescent="0.3">
      <c r="B4" s="15" t="s">
        <v>1031</v>
      </c>
      <c r="C4" s="15" t="s">
        <v>1032</v>
      </c>
      <c r="D4" s="15" t="s">
        <v>1033</v>
      </c>
      <c r="E4" s="15" t="s">
        <v>1034</v>
      </c>
      <c r="F4" s="15" t="s">
        <v>1035</v>
      </c>
      <c r="G4" s="15" t="s">
        <v>1036</v>
      </c>
    </row>
    <row r="5" spans="1:7" ht="43.2" x14ac:dyDescent="0.3">
      <c r="B5" s="141" t="s">
        <v>1037</v>
      </c>
      <c r="C5" s="129" t="s">
        <v>1038</v>
      </c>
      <c r="D5" s="129" t="s">
        <v>1039</v>
      </c>
      <c r="E5" s="129" t="s">
        <v>1040</v>
      </c>
      <c r="F5" s="129" t="s">
        <v>1041</v>
      </c>
      <c r="G5" s="129" t="s">
        <v>1042</v>
      </c>
    </row>
    <row r="6" spans="1:7" ht="28.8" x14ac:dyDescent="0.3">
      <c r="B6" s="142" t="s">
        <v>1043</v>
      </c>
      <c r="C6" s="132" t="s">
        <v>1044</v>
      </c>
      <c r="D6" s="132" t="s">
        <v>1045</v>
      </c>
      <c r="E6" s="132" t="s">
        <v>1046</v>
      </c>
      <c r="F6" s="132" t="s">
        <v>1047</v>
      </c>
      <c r="G6" s="132" t="s">
        <v>1048</v>
      </c>
    </row>
    <row r="7" spans="1:7" ht="43.2" x14ac:dyDescent="0.3">
      <c r="B7" s="142" t="s">
        <v>1049</v>
      </c>
      <c r="C7" s="132" t="s">
        <v>1050</v>
      </c>
      <c r="D7" s="132" t="s">
        <v>1051</v>
      </c>
      <c r="E7" s="132" t="s">
        <v>1052</v>
      </c>
      <c r="F7" s="132" t="s">
        <v>1053</v>
      </c>
      <c r="G7" s="132" t="s">
        <v>1054</v>
      </c>
    </row>
    <row r="8" spans="1:7" ht="43.2" x14ac:dyDescent="0.3">
      <c r="B8" s="142" t="s">
        <v>1055</v>
      </c>
      <c r="C8" s="132" t="s">
        <v>1056</v>
      </c>
      <c r="D8" s="132" t="s">
        <v>1057</v>
      </c>
      <c r="E8" s="132" t="s">
        <v>1058</v>
      </c>
      <c r="F8" s="132" t="s">
        <v>1059</v>
      </c>
      <c r="G8" s="132" t="s">
        <v>1060</v>
      </c>
    </row>
    <row r="9" spans="1:7" ht="28.8" x14ac:dyDescent="0.3">
      <c r="B9" s="142" t="s">
        <v>1061</v>
      </c>
      <c r="C9" s="132" t="s">
        <v>1062</v>
      </c>
      <c r="D9" s="132" t="s">
        <v>1063</v>
      </c>
      <c r="E9" s="132" t="s">
        <v>1064</v>
      </c>
      <c r="F9" s="132" t="s">
        <v>2128</v>
      </c>
      <c r="G9" s="132" t="s">
        <v>1065</v>
      </c>
    </row>
    <row r="10" spans="1:7" ht="43.2" x14ac:dyDescent="0.3">
      <c r="B10" s="142" t="s">
        <v>1066</v>
      </c>
      <c r="C10" s="132" t="s">
        <v>1067</v>
      </c>
      <c r="D10" s="132" t="s">
        <v>1068</v>
      </c>
      <c r="E10" s="132" t="s">
        <v>1069</v>
      </c>
      <c r="F10" s="132" t="s">
        <v>2129</v>
      </c>
      <c r="G10" s="132" t="s">
        <v>1070</v>
      </c>
    </row>
    <row r="11" spans="1:7" ht="28.8" x14ac:dyDescent="0.3">
      <c r="B11" s="142" t="s">
        <v>1071</v>
      </c>
      <c r="C11" s="132" t="s">
        <v>1072</v>
      </c>
      <c r="D11" s="132" t="s">
        <v>1073</v>
      </c>
      <c r="E11" s="132" t="s">
        <v>1074</v>
      </c>
      <c r="F11" s="132" t="s">
        <v>2130</v>
      </c>
      <c r="G11" s="132" t="s">
        <v>1075</v>
      </c>
    </row>
    <row r="12" spans="1:7" ht="43.2" x14ac:dyDescent="0.3">
      <c r="B12" s="142" t="s">
        <v>1076</v>
      </c>
      <c r="C12" s="132" t="s">
        <v>1077</v>
      </c>
      <c r="D12" s="132" t="s">
        <v>2131</v>
      </c>
      <c r="E12" s="132" t="s">
        <v>1078</v>
      </c>
      <c r="F12" s="132" t="s">
        <v>1079</v>
      </c>
      <c r="G12" s="132" t="s">
        <v>1080</v>
      </c>
    </row>
    <row r="13" spans="1:7" ht="43.2" x14ac:dyDescent="0.3">
      <c r="B13" s="142" t="s">
        <v>1081</v>
      </c>
      <c r="C13" s="132" t="s">
        <v>2132</v>
      </c>
      <c r="D13" s="132" t="s">
        <v>1082</v>
      </c>
      <c r="E13" s="132" t="s">
        <v>1083</v>
      </c>
      <c r="F13" s="132" t="s">
        <v>1084</v>
      </c>
      <c r="G13" s="132" t="s">
        <v>1085</v>
      </c>
    </row>
    <row r="14" spans="1:7" ht="28.8" x14ac:dyDescent="0.3">
      <c r="B14" s="142" t="s">
        <v>1086</v>
      </c>
      <c r="C14" s="132" t="s">
        <v>1087</v>
      </c>
      <c r="D14" s="132" t="s">
        <v>2133</v>
      </c>
      <c r="E14" s="132" t="s">
        <v>1088</v>
      </c>
      <c r="F14" s="132" t="s">
        <v>1089</v>
      </c>
      <c r="G14" s="132" t="s">
        <v>1090</v>
      </c>
    </row>
    <row r="15" spans="1:7" ht="28.8" x14ac:dyDescent="0.3">
      <c r="B15" s="142" t="s">
        <v>1091</v>
      </c>
      <c r="C15" s="132" t="s">
        <v>1092</v>
      </c>
      <c r="D15" s="132" t="s">
        <v>1093</v>
      </c>
      <c r="E15" s="132" t="s">
        <v>1094</v>
      </c>
      <c r="F15" s="132" t="s">
        <v>1095</v>
      </c>
      <c r="G15" s="132" t="s">
        <v>1096</v>
      </c>
    </row>
    <row r="16" spans="1:7" ht="28.8" x14ac:dyDescent="0.3">
      <c r="B16" s="142" t="s">
        <v>1097</v>
      </c>
      <c r="C16" s="132" t="s">
        <v>1098</v>
      </c>
      <c r="D16" s="132" t="s">
        <v>2134</v>
      </c>
      <c r="E16" s="132" t="s">
        <v>1099</v>
      </c>
      <c r="F16" s="132" t="s">
        <v>1100</v>
      </c>
      <c r="G16" s="132" t="s">
        <v>1101</v>
      </c>
    </row>
    <row r="17" spans="2:7" ht="43.2" x14ac:dyDescent="0.3">
      <c r="B17" s="142" t="s">
        <v>1102</v>
      </c>
      <c r="C17" s="132" t="s">
        <v>1103</v>
      </c>
      <c r="D17" s="132" t="s">
        <v>1104</v>
      </c>
      <c r="E17" s="132" t="s">
        <v>1105</v>
      </c>
      <c r="F17" s="132" t="s">
        <v>1106</v>
      </c>
      <c r="G17" s="132" t="s">
        <v>1107</v>
      </c>
    </row>
    <row r="18" spans="2:7" ht="43.2" x14ac:dyDescent="0.3">
      <c r="B18" s="142" t="s">
        <v>1108</v>
      </c>
      <c r="C18" s="132" t="s">
        <v>1109</v>
      </c>
      <c r="D18" s="132" t="s">
        <v>1110</v>
      </c>
      <c r="E18" s="132" t="s">
        <v>1111</v>
      </c>
      <c r="F18" s="132" t="s">
        <v>1112</v>
      </c>
      <c r="G18" s="132" t="s">
        <v>1113</v>
      </c>
    </row>
    <row r="19" spans="2:7" ht="43.2" x14ac:dyDescent="0.3">
      <c r="B19" s="142" t="s">
        <v>1114</v>
      </c>
      <c r="C19" s="132" t="s">
        <v>1115</v>
      </c>
      <c r="D19" s="132" t="s">
        <v>1116</v>
      </c>
      <c r="E19" s="132" t="s">
        <v>1117</v>
      </c>
      <c r="F19" s="132" t="s">
        <v>1118</v>
      </c>
      <c r="G19" s="132" t="s">
        <v>1119</v>
      </c>
    </row>
    <row r="20" spans="2:7" ht="28.8" x14ac:dyDescent="0.3">
      <c r="B20" s="142" t="s">
        <v>1120</v>
      </c>
      <c r="C20" s="132" t="s">
        <v>1121</v>
      </c>
      <c r="D20" s="132" t="s">
        <v>1122</v>
      </c>
      <c r="E20" s="132" t="s">
        <v>1117</v>
      </c>
      <c r="F20" s="132" t="s">
        <v>1123</v>
      </c>
      <c r="G20" s="132" t="s">
        <v>1124</v>
      </c>
    </row>
    <row r="21" spans="2:7" ht="28.8" x14ac:dyDescent="0.3">
      <c r="B21" s="142" t="s">
        <v>1125</v>
      </c>
      <c r="C21" s="132" t="s">
        <v>1126</v>
      </c>
      <c r="D21" s="132" t="s">
        <v>1127</v>
      </c>
      <c r="E21" s="132" t="s">
        <v>1117</v>
      </c>
      <c r="F21" s="132" t="s">
        <v>1128</v>
      </c>
      <c r="G21" s="132" t="s">
        <v>1129</v>
      </c>
    </row>
    <row r="22" spans="2:7" ht="43.2" x14ac:dyDescent="0.3">
      <c r="B22" s="143" t="s">
        <v>1130</v>
      </c>
      <c r="C22" s="135" t="s">
        <v>1131</v>
      </c>
      <c r="D22" s="135" t="s">
        <v>1132</v>
      </c>
      <c r="E22" s="135" t="s">
        <v>1117</v>
      </c>
      <c r="F22" s="135" t="s">
        <v>1133</v>
      </c>
      <c r="G22" s="135" t="s">
        <v>1134</v>
      </c>
    </row>
    <row r="24" spans="2:7" ht="15.6" x14ac:dyDescent="0.3">
      <c r="B24" s="140" t="s">
        <v>1135</v>
      </c>
      <c r="C24" s="1"/>
      <c r="D24" s="1"/>
      <c r="E24" s="1"/>
      <c r="F24" s="1"/>
      <c r="G24" s="1"/>
    </row>
    <row r="25" spans="2:7" x14ac:dyDescent="0.3">
      <c r="B25" s="3" t="s">
        <v>1136</v>
      </c>
    </row>
    <row r="26" spans="2:7" x14ac:dyDescent="0.3">
      <c r="B26" s="3" t="s">
        <v>1137</v>
      </c>
    </row>
    <row r="27" spans="2:7" x14ac:dyDescent="0.3">
      <c r="B27" s="3" t="s">
        <v>1138</v>
      </c>
    </row>
    <row r="28" spans="2:7" x14ac:dyDescent="0.3">
      <c r="B28" s="3" t="s">
        <v>1139</v>
      </c>
    </row>
    <row r="29" spans="2:7" x14ac:dyDescent="0.3">
      <c r="B29" s="3" t="s">
        <v>1140</v>
      </c>
    </row>
    <row r="30" spans="2:7" x14ac:dyDescent="0.3">
      <c r="B30" s="3" t="s">
        <v>1141</v>
      </c>
    </row>
    <row r="31" spans="2:7" x14ac:dyDescent="0.3">
      <c r="B31" s="3" t="s">
        <v>1142</v>
      </c>
    </row>
    <row r="32" spans="2:7" x14ac:dyDescent="0.3">
      <c r="B32" s="3" t="s">
        <v>1143</v>
      </c>
    </row>
    <row r="33" spans="2:2" x14ac:dyDescent="0.3">
      <c r="B33" s="3" t="s">
        <v>1144</v>
      </c>
    </row>
    <row r="34" spans="2:2" x14ac:dyDescent="0.3">
      <c r="B34" s="3" t="s">
        <v>1145</v>
      </c>
    </row>
    <row r="35" spans="2:2" x14ac:dyDescent="0.3">
      <c r="B35" s="3" t="s">
        <v>1146</v>
      </c>
    </row>
    <row r="36" spans="2:2" x14ac:dyDescent="0.3">
      <c r="B36" s="3" t="s">
        <v>1147</v>
      </c>
    </row>
    <row r="37" spans="2:2" x14ac:dyDescent="0.3">
      <c r="B37" s="3" t="s">
        <v>1148</v>
      </c>
    </row>
    <row r="38" spans="2:2" x14ac:dyDescent="0.3">
      <c r="B38" s="3" t="s">
        <v>1149</v>
      </c>
    </row>
    <row r="39" spans="2:2" x14ac:dyDescent="0.3">
      <c r="B39" s="3" t="s">
        <v>1150</v>
      </c>
    </row>
    <row r="40" spans="2:2" x14ac:dyDescent="0.3">
      <c r="B40" s="3" t="s">
        <v>1151</v>
      </c>
    </row>
    <row r="41" spans="2:2" x14ac:dyDescent="0.3">
      <c r="B41" s="3" t="s">
        <v>1152</v>
      </c>
    </row>
    <row r="42" spans="2:2" x14ac:dyDescent="0.3">
      <c r="B42" s="3" t="s">
        <v>1153</v>
      </c>
    </row>
    <row r="43" spans="2:2" x14ac:dyDescent="0.3">
      <c r="B43" s="3" t="s">
        <v>1154</v>
      </c>
    </row>
    <row r="44" spans="2:2" x14ac:dyDescent="0.3">
      <c r="B44" s="3" t="s">
        <v>1155</v>
      </c>
    </row>
    <row r="45" spans="2:2" x14ac:dyDescent="0.3">
      <c r="B45" s="3" t="s">
        <v>1156</v>
      </c>
    </row>
    <row r="46" spans="2:2" x14ac:dyDescent="0.3">
      <c r="B46" s="3" t="s">
        <v>1157</v>
      </c>
    </row>
    <row r="47" spans="2:2" x14ac:dyDescent="0.3">
      <c r="B47" s="3" t="s">
        <v>1158</v>
      </c>
    </row>
    <row r="48" spans="2:2" x14ac:dyDescent="0.3">
      <c r="B48" s="3" t="s">
        <v>1159</v>
      </c>
    </row>
    <row r="49" spans="2:2" x14ac:dyDescent="0.3">
      <c r="B49" s="3" t="s">
        <v>1160</v>
      </c>
    </row>
    <row r="50" spans="2:2" x14ac:dyDescent="0.3">
      <c r="B50" s="3" t="s">
        <v>1161</v>
      </c>
    </row>
    <row r="51" spans="2:2" x14ac:dyDescent="0.3">
      <c r="B51" s="3" t="s">
        <v>1162</v>
      </c>
    </row>
    <row r="52" spans="2:2" x14ac:dyDescent="0.3">
      <c r="B52" s="3" t="s">
        <v>1163</v>
      </c>
    </row>
    <row r="53" spans="2:2" x14ac:dyDescent="0.3">
      <c r="B53" s="3" t="s">
        <v>1164</v>
      </c>
    </row>
    <row r="54" spans="2:2" x14ac:dyDescent="0.3">
      <c r="B54" s="3" t="s">
        <v>1165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1AE8E-AE0C-4117-ADE4-F14E63B2C920}">
  <dimension ref="A1:F47"/>
  <sheetViews>
    <sheetView workbookViewId="0"/>
  </sheetViews>
  <sheetFormatPr baseColWidth="10" defaultRowHeight="14.4" x14ac:dyDescent="0.3"/>
  <cols>
    <col min="2" max="2" width="46.33203125" customWidth="1"/>
    <col min="3" max="3" width="72.21875" customWidth="1"/>
    <col min="4" max="4" width="85.21875" customWidth="1"/>
    <col min="5" max="5" width="61.109375" customWidth="1"/>
    <col min="6" max="6" width="51.88671875" customWidth="1"/>
  </cols>
  <sheetData>
    <row r="1" spans="1:6" ht="19.8" x14ac:dyDescent="0.4">
      <c r="A1" s="137" t="s">
        <v>1166</v>
      </c>
    </row>
    <row r="2" spans="1:6" x14ac:dyDescent="0.3">
      <c r="A2" s="89" t="s">
        <v>1167</v>
      </c>
    </row>
    <row r="4" spans="1:6" x14ac:dyDescent="0.3">
      <c r="B4" s="15" t="s">
        <v>1168</v>
      </c>
      <c r="C4" s="15" t="s">
        <v>1169</v>
      </c>
      <c r="D4" s="15" t="s">
        <v>1170</v>
      </c>
      <c r="E4" s="15" t="s">
        <v>1171</v>
      </c>
      <c r="F4" s="15" t="s">
        <v>1172</v>
      </c>
    </row>
    <row r="5" spans="1:6" ht="43.2" x14ac:dyDescent="0.3">
      <c r="B5" s="141" t="s">
        <v>1173</v>
      </c>
      <c r="C5" s="129" t="s">
        <v>1174</v>
      </c>
      <c r="D5" s="129" t="s">
        <v>1175</v>
      </c>
      <c r="E5" s="129" t="s">
        <v>1176</v>
      </c>
      <c r="F5" s="129" t="s">
        <v>1177</v>
      </c>
    </row>
    <row r="6" spans="1:6" ht="28.8" x14ac:dyDescent="0.3">
      <c r="B6" s="142" t="s">
        <v>1178</v>
      </c>
      <c r="C6" s="132" t="s">
        <v>1179</v>
      </c>
      <c r="D6" s="132" t="s">
        <v>1180</v>
      </c>
      <c r="E6" s="132" t="s">
        <v>1181</v>
      </c>
      <c r="F6" s="132" t="s">
        <v>1182</v>
      </c>
    </row>
    <row r="7" spans="1:6" ht="28.8" x14ac:dyDescent="0.3">
      <c r="B7" s="142" t="s">
        <v>1183</v>
      </c>
      <c r="C7" s="132" t="s">
        <v>1184</v>
      </c>
      <c r="D7" s="132" t="s">
        <v>1185</v>
      </c>
      <c r="E7" s="132" t="s">
        <v>1186</v>
      </c>
      <c r="F7" s="132" t="s">
        <v>1187</v>
      </c>
    </row>
    <row r="8" spans="1:6" ht="28.8" x14ac:dyDescent="0.3">
      <c r="B8" s="142" t="s">
        <v>1188</v>
      </c>
      <c r="C8" s="132" t="s">
        <v>1189</v>
      </c>
      <c r="D8" s="132" t="s">
        <v>1190</v>
      </c>
      <c r="E8" s="132" t="s">
        <v>1191</v>
      </c>
      <c r="F8" s="132" t="s">
        <v>1192</v>
      </c>
    </row>
    <row r="9" spans="1:6" ht="28.8" x14ac:dyDescent="0.3">
      <c r="B9" s="142" t="s">
        <v>1193</v>
      </c>
      <c r="C9" s="132" t="s">
        <v>1194</v>
      </c>
      <c r="D9" s="132" t="s">
        <v>1195</v>
      </c>
      <c r="E9" s="132" t="s">
        <v>1196</v>
      </c>
      <c r="F9" s="132" t="s">
        <v>1197</v>
      </c>
    </row>
    <row r="10" spans="1:6" ht="28.8" x14ac:dyDescent="0.3">
      <c r="B10" s="142" t="s">
        <v>1198</v>
      </c>
      <c r="C10" s="132" t="s">
        <v>1199</v>
      </c>
      <c r="D10" s="132" t="s">
        <v>1200</v>
      </c>
      <c r="E10" s="132" t="s">
        <v>1201</v>
      </c>
      <c r="F10" s="132" t="s">
        <v>1202</v>
      </c>
    </row>
    <row r="11" spans="1:6" ht="28.8" x14ac:dyDescent="0.3">
      <c r="B11" s="142" t="s">
        <v>1203</v>
      </c>
      <c r="C11" s="132" t="s">
        <v>1204</v>
      </c>
      <c r="D11" s="132" t="s">
        <v>1205</v>
      </c>
      <c r="E11" s="132" t="s">
        <v>1206</v>
      </c>
      <c r="F11" s="132" t="s">
        <v>1207</v>
      </c>
    </row>
    <row r="12" spans="1:6" ht="28.8" x14ac:dyDescent="0.3">
      <c r="B12" s="142" t="s">
        <v>1208</v>
      </c>
      <c r="C12" s="132" t="s">
        <v>1209</v>
      </c>
      <c r="D12" s="132" t="s">
        <v>1210</v>
      </c>
      <c r="E12" s="132" t="s">
        <v>1211</v>
      </c>
      <c r="F12" s="132" t="s">
        <v>1212</v>
      </c>
    </row>
    <row r="13" spans="1:6" ht="28.8" x14ac:dyDescent="0.3">
      <c r="B13" s="142" t="s">
        <v>1213</v>
      </c>
      <c r="C13" s="132" t="s">
        <v>1214</v>
      </c>
      <c r="D13" s="132" t="s">
        <v>1215</v>
      </c>
      <c r="E13" s="132" t="s">
        <v>1216</v>
      </c>
      <c r="F13" s="132" t="s">
        <v>1217</v>
      </c>
    </row>
    <row r="14" spans="1:6" ht="28.8" x14ac:dyDescent="0.3">
      <c r="B14" s="142" t="s">
        <v>1218</v>
      </c>
      <c r="C14" s="132" t="s">
        <v>1219</v>
      </c>
      <c r="D14" s="132" t="s">
        <v>1220</v>
      </c>
      <c r="E14" s="132" t="s">
        <v>1221</v>
      </c>
      <c r="F14" s="132" t="s">
        <v>1222</v>
      </c>
    </row>
    <row r="15" spans="1:6" ht="28.8" x14ac:dyDescent="0.3">
      <c r="B15" s="142" t="s">
        <v>1223</v>
      </c>
      <c r="C15" s="132" t="s">
        <v>1224</v>
      </c>
      <c r="D15" s="132" t="s">
        <v>1225</v>
      </c>
      <c r="E15" s="132" t="s">
        <v>1226</v>
      </c>
      <c r="F15" s="132" t="s">
        <v>1227</v>
      </c>
    </row>
    <row r="16" spans="1:6" ht="28.8" x14ac:dyDescent="0.3">
      <c r="B16" s="142" t="s">
        <v>1228</v>
      </c>
      <c r="C16" s="132" t="s">
        <v>1229</v>
      </c>
      <c r="D16" s="132" t="s">
        <v>1230</v>
      </c>
      <c r="E16" s="132" t="s">
        <v>1186</v>
      </c>
      <c r="F16" s="132" t="s">
        <v>1231</v>
      </c>
    </row>
    <row r="17" spans="2:6" ht="28.8" x14ac:dyDescent="0.3">
      <c r="B17" s="142" t="s">
        <v>1232</v>
      </c>
      <c r="C17" s="132" t="s">
        <v>1233</v>
      </c>
      <c r="D17" s="132" t="s">
        <v>1234</v>
      </c>
      <c r="E17" s="132" t="s">
        <v>1235</v>
      </c>
      <c r="F17" s="132" t="s">
        <v>1236</v>
      </c>
    </row>
    <row r="18" spans="2:6" ht="28.8" x14ac:dyDescent="0.3">
      <c r="B18" s="142" t="s">
        <v>1237</v>
      </c>
      <c r="C18" s="132" t="s">
        <v>1238</v>
      </c>
      <c r="D18" s="132" t="s">
        <v>1239</v>
      </c>
      <c r="E18" s="132" t="s">
        <v>1240</v>
      </c>
      <c r="F18" s="132" t="s">
        <v>1241</v>
      </c>
    </row>
    <row r="19" spans="2:6" ht="28.8" x14ac:dyDescent="0.3">
      <c r="B19" s="142" t="s">
        <v>1242</v>
      </c>
      <c r="C19" s="132" t="s">
        <v>1243</v>
      </c>
      <c r="D19" s="132" t="s">
        <v>1244</v>
      </c>
      <c r="E19" s="132" t="s">
        <v>1245</v>
      </c>
      <c r="F19" s="132" t="s">
        <v>1246</v>
      </c>
    </row>
    <row r="20" spans="2:6" ht="28.8" x14ac:dyDescent="0.3">
      <c r="B20" s="142" t="s">
        <v>1247</v>
      </c>
      <c r="C20" s="132" t="s">
        <v>1248</v>
      </c>
      <c r="D20" s="132" t="s">
        <v>1249</v>
      </c>
      <c r="E20" s="132" t="s">
        <v>1250</v>
      </c>
      <c r="F20" s="132" t="s">
        <v>1251</v>
      </c>
    </row>
    <row r="21" spans="2:6" ht="28.8" x14ac:dyDescent="0.3">
      <c r="B21" s="142" t="s">
        <v>1252</v>
      </c>
      <c r="C21" s="132" t="s">
        <v>1253</v>
      </c>
      <c r="D21" s="132" t="s">
        <v>1254</v>
      </c>
      <c r="E21" s="132" t="s">
        <v>1255</v>
      </c>
      <c r="F21" s="132" t="s">
        <v>1256</v>
      </c>
    </row>
    <row r="22" spans="2:6" ht="28.8" x14ac:dyDescent="0.3">
      <c r="B22" s="145" t="s">
        <v>1257</v>
      </c>
      <c r="C22" s="146" t="s">
        <v>1258</v>
      </c>
      <c r="D22" s="146" t="s">
        <v>1259</v>
      </c>
      <c r="E22" s="146" t="s">
        <v>1260</v>
      </c>
      <c r="F22" s="146" t="s">
        <v>1261</v>
      </c>
    </row>
    <row r="23" spans="2:6" ht="28.8" x14ac:dyDescent="0.3">
      <c r="B23" s="142" t="s">
        <v>1262</v>
      </c>
      <c r="C23" s="132" t="s">
        <v>1263</v>
      </c>
      <c r="D23" s="132" t="s">
        <v>1264</v>
      </c>
      <c r="E23" s="132" t="s">
        <v>1265</v>
      </c>
      <c r="F23" s="132" t="s">
        <v>1266</v>
      </c>
    </row>
    <row r="24" spans="2:6" ht="28.8" x14ac:dyDescent="0.3">
      <c r="B24" s="142" t="s">
        <v>1267</v>
      </c>
      <c r="C24" s="132" t="s">
        <v>1268</v>
      </c>
      <c r="D24" s="132" t="s">
        <v>1269</v>
      </c>
      <c r="E24" s="132" t="s">
        <v>1270</v>
      </c>
      <c r="F24" s="132" t="s">
        <v>1182</v>
      </c>
    </row>
    <row r="25" spans="2:6" ht="28.8" x14ac:dyDescent="0.3">
      <c r="B25" s="142" t="s">
        <v>1271</v>
      </c>
      <c r="C25" s="132" t="s">
        <v>1272</v>
      </c>
      <c r="D25" s="132" t="s">
        <v>1273</v>
      </c>
      <c r="E25" s="132" t="s">
        <v>1274</v>
      </c>
      <c r="F25" s="132" t="s">
        <v>1275</v>
      </c>
    </row>
    <row r="26" spans="2:6" ht="28.8" x14ac:dyDescent="0.3">
      <c r="B26" s="145" t="s">
        <v>1276</v>
      </c>
      <c r="C26" s="146" t="s">
        <v>1277</v>
      </c>
      <c r="D26" s="146" t="s">
        <v>1278</v>
      </c>
      <c r="E26" s="146" t="s">
        <v>1279</v>
      </c>
      <c r="F26" s="146" t="s">
        <v>1280</v>
      </c>
    </row>
    <row r="27" spans="2:6" x14ac:dyDescent="0.3">
      <c r="B27" s="142" t="s">
        <v>1281</v>
      </c>
      <c r="C27" s="132" t="s">
        <v>1282</v>
      </c>
      <c r="D27" s="132" t="s">
        <v>1283</v>
      </c>
      <c r="E27" s="132" t="s">
        <v>1284</v>
      </c>
      <c r="F27" s="132" t="s">
        <v>1285</v>
      </c>
    </row>
    <row r="28" spans="2:6" ht="28.8" x14ac:dyDescent="0.3">
      <c r="B28" s="143" t="s">
        <v>1286</v>
      </c>
      <c r="C28" s="135" t="s">
        <v>1287</v>
      </c>
      <c r="D28" s="135" t="s">
        <v>1288</v>
      </c>
      <c r="E28" s="135" t="s">
        <v>1289</v>
      </c>
      <c r="F28" s="135" t="s">
        <v>1290</v>
      </c>
    </row>
    <row r="30" spans="2:6" x14ac:dyDescent="0.3">
      <c r="B30" s="5" t="s">
        <v>1291</v>
      </c>
      <c r="C30" s="16"/>
      <c r="D30" s="16"/>
      <c r="E30" s="16"/>
      <c r="F30" s="16"/>
    </row>
    <row r="31" spans="2:6" x14ac:dyDescent="0.3">
      <c r="B31" s="2" t="s">
        <v>1292</v>
      </c>
      <c r="C31" s="2" t="s">
        <v>1293</v>
      </c>
      <c r="D31" s="2" t="s">
        <v>1294</v>
      </c>
      <c r="E31" s="2" t="s">
        <v>1172</v>
      </c>
    </row>
    <row r="32" spans="2:6" x14ac:dyDescent="0.3">
      <c r="B32" s="37" t="s">
        <v>1295</v>
      </c>
      <c r="C32" s="37" t="s">
        <v>1296</v>
      </c>
      <c r="D32" s="37" t="s">
        <v>1297</v>
      </c>
      <c r="E32" s="37" t="s">
        <v>1298</v>
      </c>
    </row>
    <row r="33" spans="2:6" x14ac:dyDescent="0.3">
      <c r="B33" s="37" t="s">
        <v>1173</v>
      </c>
      <c r="C33" s="37" t="s">
        <v>1299</v>
      </c>
      <c r="D33" s="37" t="s">
        <v>1300</v>
      </c>
      <c r="E33" s="37" t="s">
        <v>1301</v>
      </c>
    </row>
    <row r="34" spans="2:6" x14ac:dyDescent="0.3">
      <c r="B34" s="37" t="s">
        <v>1302</v>
      </c>
      <c r="C34" s="37" t="s">
        <v>1303</v>
      </c>
      <c r="D34" s="37" t="s">
        <v>1304</v>
      </c>
      <c r="E34" s="37" t="s">
        <v>1202</v>
      </c>
    </row>
    <row r="35" spans="2:6" x14ac:dyDescent="0.3">
      <c r="B35" s="37" t="s">
        <v>1203</v>
      </c>
      <c r="C35" s="37" t="s">
        <v>1305</v>
      </c>
      <c r="D35" s="37" t="s">
        <v>1306</v>
      </c>
      <c r="E35" s="37" t="s">
        <v>1307</v>
      </c>
    </row>
    <row r="36" spans="2:6" x14ac:dyDescent="0.3">
      <c r="B36" s="37" t="s">
        <v>1308</v>
      </c>
      <c r="C36" s="37" t="s">
        <v>1309</v>
      </c>
      <c r="D36" s="37" t="s">
        <v>1310</v>
      </c>
      <c r="E36" s="37" t="s">
        <v>1261</v>
      </c>
    </row>
    <row r="37" spans="2:6" x14ac:dyDescent="0.3">
      <c r="B37" s="37" t="s">
        <v>1218</v>
      </c>
      <c r="C37" s="37" t="s">
        <v>1311</v>
      </c>
      <c r="D37" s="37" t="s">
        <v>1312</v>
      </c>
      <c r="E37" s="37" t="s">
        <v>1313</v>
      </c>
    </row>
    <row r="38" spans="2:6" x14ac:dyDescent="0.3">
      <c r="B38" s="37" t="s">
        <v>1213</v>
      </c>
      <c r="C38" s="37" t="s">
        <v>1314</v>
      </c>
      <c r="D38" s="37" t="s">
        <v>1297</v>
      </c>
      <c r="E38" s="37" t="s">
        <v>1217</v>
      </c>
    </row>
    <row r="39" spans="2:6" x14ac:dyDescent="0.3">
      <c r="B39" s="37" t="s">
        <v>1247</v>
      </c>
      <c r="C39" s="37" t="s">
        <v>1315</v>
      </c>
      <c r="D39" s="37" t="s">
        <v>1316</v>
      </c>
      <c r="E39" s="37" t="s">
        <v>1251</v>
      </c>
    </row>
    <row r="40" spans="2:6" x14ac:dyDescent="0.3">
      <c r="B40" s="37" t="s">
        <v>1317</v>
      </c>
      <c r="C40" s="37" t="s">
        <v>1318</v>
      </c>
      <c r="D40" s="37" t="s">
        <v>1319</v>
      </c>
      <c r="E40" s="37" t="s">
        <v>1320</v>
      </c>
    </row>
    <row r="41" spans="2:6" x14ac:dyDescent="0.3">
      <c r="B41" s="37" t="s">
        <v>1321</v>
      </c>
      <c r="C41" s="37" t="s">
        <v>1322</v>
      </c>
      <c r="D41" s="37" t="s">
        <v>1323</v>
      </c>
      <c r="E41" s="37" t="s">
        <v>1182</v>
      </c>
    </row>
    <row r="42" spans="2:6" x14ac:dyDescent="0.3">
      <c r="B42" s="37" t="s">
        <v>1324</v>
      </c>
      <c r="C42" s="37" t="s">
        <v>1325</v>
      </c>
      <c r="D42" s="37" t="s">
        <v>1300</v>
      </c>
      <c r="E42" s="37" t="s">
        <v>1326</v>
      </c>
    </row>
    <row r="43" spans="2:6" x14ac:dyDescent="0.3">
      <c r="B43" s="37" t="s">
        <v>1327</v>
      </c>
      <c r="C43" s="37" t="s">
        <v>1328</v>
      </c>
      <c r="D43" s="37" t="s">
        <v>1329</v>
      </c>
      <c r="E43" s="37" t="s">
        <v>1227</v>
      </c>
    </row>
    <row r="44" spans="2:6" x14ac:dyDescent="0.3">
      <c r="B44" s="144" t="s">
        <v>1330</v>
      </c>
      <c r="C44" s="144" t="s">
        <v>1331</v>
      </c>
      <c r="D44" s="144" t="s">
        <v>1332</v>
      </c>
      <c r="E44" s="144" t="s">
        <v>1333</v>
      </c>
    </row>
    <row r="46" spans="2:6" x14ac:dyDescent="0.3">
      <c r="B46" s="5" t="s">
        <v>1334</v>
      </c>
      <c r="C46" s="16"/>
      <c r="D46" s="16"/>
      <c r="E46" s="16"/>
      <c r="F46" s="16"/>
    </row>
    <row r="47" spans="2:6" ht="187.2" x14ac:dyDescent="0.3">
      <c r="B47" s="36" t="s">
        <v>1335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02D08-8A6D-45D2-A420-7931070ABF68}">
  <dimension ref="A1:F60"/>
  <sheetViews>
    <sheetView topLeftCell="A55" workbookViewId="0">
      <selection activeCell="F25" sqref="F25"/>
    </sheetView>
  </sheetViews>
  <sheetFormatPr baseColWidth="10" defaultRowHeight="14.4" x14ac:dyDescent="0.3"/>
  <cols>
    <col min="2" max="2" width="48.109375" customWidth="1"/>
    <col min="3" max="3" width="96.33203125" customWidth="1"/>
    <col min="4" max="4" width="74.109375" customWidth="1"/>
    <col min="5" max="5" width="61.109375" customWidth="1"/>
    <col min="6" max="6" width="74.109375" customWidth="1"/>
  </cols>
  <sheetData>
    <row r="1" spans="1:6" ht="19.8" x14ac:dyDescent="0.4">
      <c r="A1" s="137" t="s">
        <v>1336</v>
      </c>
    </row>
    <row r="3" spans="1:6" ht="15.6" x14ac:dyDescent="0.3">
      <c r="B3" s="140" t="s">
        <v>1337</v>
      </c>
      <c r="C3" s="140"/>
      <c r="D3" s="140"/>
      <c r="E3" s="140"/>
      <c r="F3" s="140"/>
    </row>
    <row r="4" spans="1:6" x14ac:dyDescent="0.3">
      <c r="B4" s="5" t="s">
        <v>1338</v>
      </c>
      <c r="C4" s="5" t="s">
        <v>1339</v>
      </c>
      <c r="D4" s="5" t="s">
        <v>1340</v>
      </c>
      <c r="E4" s="5" t="s">
        <v>1341</v>
      </c>
      <c r="F4" s="5" t="s">
        <v>702</v>
      </c>
    </row>
    <row r="5" spans="1:6" ht="28.8" x14ac:dyDescent="0.3">
      <c r="B5" s="141" t="s">
        <v>1342</v>
      </c>
      <c r="C5" s="129" t="s">
        <v>1343</v>
      </c>
      <c r="D5" s="129" t="s">
        <v>2135</v>
      </c>
      <c r="E5" s="129" t="s">
        <v>1344</v>
      </c>
      <c r="F5" s="129" t="s">
        <v>1345</v>
      </c>
    </row>
    <row r="6" spans="1:6" ht="28.8" x14ac:dyDescent="0.3">
      <c r="B6" s="142" t="s">
        <v>1346</v>
      </c>
      <c r="C6" s="132" t="s">
        <v>1347</v>
      </c>
      <c r="D6" s="132" t="s">
        <v>2136</v>
      </c>
      <c r="E6" s="132" t="s">
        <v>1348</v>
      </c>
      <c r="F6" s="132" t="s">
        <v>1349</v>
      </c>
    </row>
    <row r="7" spans="1:6" ht="28.8" x14ac:dyDescent="0.3">
      <c r="B7" s="142" t="s">
        <v>1350</v>
      </c>
      <c r="C7" s="132" t="s">
        <v>1351</v>
      </c>
      <c r="D7" s="132" t="s">
        <v>1352</v>
      </c>
      <c r="E7" s="132" t="s">
        <v>1353</v>
      </c>
      <c r="F7" s="132" t="s">
        <v>1354</v>
      </c>
    </row>
    <row r="8" spans="1:6" ht="28.8" x14ac:dyDescent="0.3">
      <c r="B8" s="142" t="s">
        <v>1355</v>
      </c>
      <c r="C8" s="132" t="s">
        <v>1356</v>
      </c>
      <c r="D8" s="132" t="s">
        <v>1357</v>
      </c>
      <c r="E8" s="132" t="s">
        <v>1358</v>
      </c>
      <c r="F8" s="132" t="s">
        <v>1359</v>
      </c>
    </row>
    <row r="9" spans="1:6" x14ac:dyDescent="0.3">
      <c r="B9" s="142" t="s">
        <v>1360</v>
      </c>
      <c r="C9" s="132" t="s">
        <v>1361</v>
      </c>
      <c r="D9" s="132" t="s">
        <v>1362</v>
      </c>
      <c r="E9" s="132" t="s">
        <v>1363</v>
      </c>
      <c r="F9" s="132" t="s">
        <v>1364</v>
      </c>
    </row>
    <row r="10" spans="1:6" ht="28.8" x14ac:dyDescent="0.3">
      <c r="B10" s="142" t="s">
        <v>1365</v>
      </c>
      <c r="C10" s="132" t="s">
        <v>1366</v>
      </c>
      <c r="D10" s="132" t="s">
        <v>2137</v>
      </c>
      <c r="E10" s="132" t="s">
        <v>1367</v>
      </c>
      <c r="F10" s="132" t="s">
        <v>1368</v>
      </c>
    </row>
    <row r="11" spans="1:6" ht="28.8" x14ac:dyDescent="0.3">
      <c r="B11" s="142" t="s">
        <v>1369</v>
      </c>
      <c r="C11" s="132" t="s">
        <v>1370</v>
      </c>
      <c r="D11" s="132" t="s">
        <v>1371</v>
      </c>
      <c r="E11" s="132" t="s">
        <v>1372</v>
      </c>
      <c r="F11" s="132" t="s">
        <v>1373</v>
      </c>
    </row>
    <row r="12" spans="1:6" ht="28.8" x14ac:dyDescent="0.3">
      <c r="B12" s="142" t="s">
        <v>1374</v>
      </c>
      <c r="C12" s="132" t="s">
        <v>1375</v>
      </c>
      <c r="D12" s="132" t="s">
        <v>1376</v>
      </c>
      <c r="E12" s="132" t="s">
        <v>1377</v>
      </c>
      <c r="F12" s="132" t="s">
        <v>1378</v>
      </c>
    </row>
    <row r="13" spans="1:6" ht="28.8" x14ac:dyDescent="0.3">
      <c r="B13" s="143" t="s">
        <v>1379</v>
      </c>
      <c r="C13" s="135" t="s">
        <v>1380</v>
      </c>
      <c r="D13" s="135" t="s">
        <v>1381</v>
      </c>
      <c r="E13" s="135" t="s">
        <v>1382</v>
      </c>
      <c r="F13" s="135" t="s">
        <v>1383</v>
      </c>
    </row>
    <row r="16" spans="1:6" ht="15.6" x14ac:dyDescent="0.3">
      <c r="B16" s="140" t="s">
        <v>1384</v>
      </c>
      <c r="C16" s="140"/>
      <c r="D16" s="140"/>
      <c r="E16" s="140"/>
      <c r="F16" s="140"/>
    </row>
    <row r="17" spans="2:6" ht="28.8" x14ac:dyDescent="0.3">
      <c r="B17" s="139" t="s">
        <v>1385</v>
      </c>
      <c r="C17" s="37" t="str">
        <f>"Este modelo produce un valor de "&amp;FIXED('06 DCF'!F55,2)&amp;" dólares por acción en el caso base. Esa cifra tiene dos decimales y por tanto aparenta una precisión que NO tiene. El modelo no dice que Qualcomm valga exactamente eso."</f>
        <v>Este modelo produce un valor de 131,72 dólares por acción en el caso base. Esa cifra tiene dos decimales y por tanto aparenta una precisión que NO tiene. El modelo no dice que Qualcomm valga exactamente eso.</v>
      </c>
    </row>
    <row r="18" spans="2:6" ht="57.6" x14ac:dyDescent="0.3">
      <c r="B18" s="139" t="s">
        <v>1386</v>
      </c>
      <c r="C18" s="37" t="s">
        <v>1645</v>
      </c>
    </row>
    <row r="19" spans="2:6" ht="28.8" x14ac:dyDescent="0.3">
      <c r="B19" s="139" t="s">
        <v>1387</v>
      </c>
      <c r="C19" s="37" t="s">
        <v>1388</v>
      </c>
    </row>
    <row r="20" spans="2:6" ht="43.2" x14ac:dyDescent="0.3">
      <c r="B20" s="139" t="s">
        <v>1389</v>
      </c>
      <c r="C20" s="37" t="s">
        <v>2138</v>
      </c>
    </row>
    <row r="21" spans="2:6" ht="43.2" x14ac:dyDescent="0.3">
      <c r="B21" s="139" t="s">
        <v>1390</v>
      </c>
      <c r="C21" s="37" t="s">
        <v>1647</v>
      </c>
    </row>
    <row r="22" spans="2:6" ht="43.2" x14ac:dyDescent="0.3">
      <c r="B22" s="139" t="s">
        <v>1391</v>
      </c>
      <c r="C22" s="37" t="s">
        <v>1646</v>
      </c>
    </row>
    <row r="23" spans="2:6" ht="57.6" x14ac:dyDescent="0.3">
      <c r="B23" s="139" t="s">
        <v>1392</v>
      </c>
      <c r="C23" s="37" t="s">
        <v>1393</v>
      </c>
    </row>
    <row r="24" spans="2:6" ht="43.2" x14ac:dyDescent="0.3">
      <c r="B24" s="139" t="s">
        <v>1394</v>
      </c>
      <c r="C24" s="37" t="s">
        <v>2139</v>
      </c>
    </row>
    <row r="26" spans="2:6" ht="15.6" x14ac:dyDescent="0.3">
      <c r="B26" s="140" t="s">
        <v>1395</v>
      </c>
      <c r="C26" s="140"/>
      <c r="D26" s="140"/>
      <c r="E26" s="140"/>
      <c r="F26" s="140"/>
    </row>
    <row r="27" spans="2:6" x14ac:dyDescent="0.3">
      <c r="B27" s="5" t="s">
        <v>1396</v>
      </c>
      <c r="C27" s="5" t="s">
        <v>1397</v>
      </c>
      <c r="D27" s="5" t="s">
        <v>2140</v>
      </c>
    </row>
    <row r="28" spans="2:6" ht="28.8" x14ac:dyDescent="0.3">
      <c r="B28" s="139" t="s">
        <v>1398</v>
      </c>
      <c r="C28" s="37" t="s">
        <v>1399</v>
      </c>
      <c r="D28" s="37" t="s">
        <v>1400</v>
      </c>
    </row>
    <row r="29" spans="2:6" ht="28.8" x14ac:dyDescent="0.3">
      <c r="B29" s="139" t="s">
        <v>1401</v>
      </c>
      <c r="C29" s="37" t="s">
        <v>1402</v>
      </c>
      <c r="D29" s="37" t="s">
        <v>2141</v>
      </c>
    </row>
    <row r="30" spans="2:6" ht="28.8" x14ac:dyDescent="0.3">
      <c r="B30" s="139" t="s">
        <v>1403</v>
      </c>
      <c r="C30" s="37" t="s">
        <v>1404</v>
      </c>
      <c r="D30" s="37" t="s">
        <v>1405</v>
      </c>
    </row>
    <row r="31" spans="2:6" x14ac:dyDescent="0.3">
      <c r="B31" s="139" t="s">
        <v>1406</v>
      </c>
      <c r="C31" s="37" t="s">
        <v>1407</v>
      </c>
      <c r="D31" s="37" t="s">
        <v>1408</v>
      </c>
    </row>
    <row r="32" spans="2:6" ht="28.8" x14ac:dyDescent="0.3">
      <c r="B32" s="139" t="s">
        <v>1409</v>
      </c>
      <c r="C32" s="37" t="s">
        <v>1410</v>
      </c>
      <c r="D32" s="37" t="s">
        <v>1411</v>
      </c>
    </row>
    <row r="33" spans="2:6" ht="28.8" x14ac:dyDescent="0.3">
      <c r="B33" s="139" t="s">
        <v>1412</v>
      </c>
      <c r="C33" s="37" t="s">
        <v>1413</v>
      </c>
      <c r="D33" s="37" t="s">
        <v>1648</v>
      </c>
    </row>
    <row r="34" spans="2:6" ht="28.8" x14ac:dyDescent="0.3">
      <c r="B34" s="139" t="s">
        <v>1414</v>
      </c>
      <c r="C34" s="37" t="s">
        <v>1415</v>
      </c>
      <c r="D34" s="37" t="s">
        <v>1416</v>
      </c>
    </row>
    <row r="35" spans="2:6" ht="28.8" x14ac:dyDescent="0.3">
      <c r="B35" s="139" t="s">
        <v>1417</v>
      </c>
      <c r="C35" s="37" t="s">
        <v>1418</v>
      </c>
      <c r="D35" s="37" t="s">
        <v>2142</v>
      </c>
    </row>
    <row r="36" spans="2:6" ht="28.8" x14ac:dyDescent="0.3">
      <c r="B36" s="139" t="s">
        <v>1419</v>
      </c>
      <c r="C36" s="37" t="s">
        <v>1420</v>
      </c>
      <c r="D36" s="37" t="s">
        <v>2143</v>
      </c>
    </row>
    <row r="38" spans="2:6" ht="15.6" x14ac:dyDescent="0.3">
      <c r="B38" s="140" t="s">
        <v>1421</v>
      </c>
      <c r="C38" s="140"/>
      <c r="D38" s="140"/>
      <c r="E38" s="140"/>
      <c r="F38" s="140"/>
    </row>
    <row r="39" spans="2:6" ht="28.8" x14ac:dyDescent="0.3">
      <c r="B39" s="37">
        <v>1</v>
      </c>
      <c r="C39" s="37" t="s">
        <v>1422</v>
      </c>
    </row>
    <row r="40" spans="2:6" ht="28.8" x14ac:dyDescent="0.3">
      <c r="B40" s="37">
        <v>2</v>
      </c>
      <c r="C40" s="37" t="s">
        <v>1423</v>
      </c>
    </row>
    <row r="41" spans="2:6" ht="43.2" x14ac:dyDescent="0.3">
      <c r="B41" s="37">
        <v>3</v>
      </c>
      <c r="C41" s="37" t="s">
        <v>2144</v>
      </c>
    </row>
    <row r="42" spans="2:6" ht="28.8" x14ac:dyDescent="0.3">
      <c r="B42" s="37">
        <v>4</v>
      </c>
      <c r="C42" s="37" t="s">
        <v>1424</v>
      </c>
    </row>
    <row r="43" spans="2:6" ht="28.8" x14ac:dyDescent="0.3">
      <c r="B43" s="37">
        <v>5</v>
      </c>
      <c r="C43" s="37" t="s">
        <v>1425</v>
      </c>
    </row>
    <row r="44" spans="2:6" ht="28.8" x14ac:dyDescent="0.3">
      <c r="B44" s="37">
        <v>6</v>
      </c>
      <c r="C44" s="37" t="s">
        <v>1426</v>
      </c>
    </row>
    <row r="45" spans="2:6" ht="28.8" x14ac:dyDescent="0.3">
      <c r="B45" s="37">
        <v>7</v>
      </c>
      <c r="C45" s="37" t="s">
        <v>1427</v>
      </c>
    </row>
    <row r="47" spans="2:6" ht="15.6" x14ac:dyDescent="0.3">
      <c r="B47" s="140" t="s">
        <v>1428</v>
      </c>
      <c r="C47" s="140"/>
      <c r="D47" s="140"/>
      <c r="E47" s="140"/>
      <c r="F47" s="140"/>
    </row>
    <row r="48" spans="2:6" x14ac:dyDescent="0.3">
      <c r="B48" s="5" t="s">
        <v>190</v>
      </c>
      <c r="C48" s="5" t="s">
        <v>1429</v>
      </c>
      <c r="D48" s="5" t="s">
        <v>1430</v>
      </c>
      <c r="E48" s="5" t="s">
        <v>1431</v>
      </c>
    </row>
    <row r="49" spans="2:6" x14ac:dyDescent="0.3">
      <c r="B49" s="147" t="s">
        <v>1432</v>
      </c>
      <c r="C49" s="147"/>
      <c r="D49" s="147"/>
      <c r="E49" s="147"/>
    </row>
    <row r="50" spans="2:6" x14ac:dyDescent="0.3">
      <c r="B50" s="147" t="s">
        <v>1007</v>
      </c>
      <c r="C50" s="147"/>
      <c r="D50" s="147"/>
      <c r="E50" s="147"/>
    </row>
    <row r="51" spans="2:6" x14ac:dyDescent="0.3">
      <c r="B51" s="147" t="s">
        <v>1014</v>
      </c>
      <c r="C51" s="147"/>
      <c r="D51" s="147"/>
      <c r="E51" s="147"/>
    </row>
    <row r="52" spans="2:6" x14ac:dyDescent="0.3">
      <c r="B52" s="147" t="s">
        <v>1016</v>
      </c>
      <c r="C52" s="147"/>
      <c r="D52" s="147"/>
      <c r="E52" s="147"/>
    </row>
    <row r="53" spans="2:6" x14ac:dyDescent="0.3">
      <c r="B53" s="147" t="s">
        <v>348</v>
      </c>
      <c r="C53" s="147"/>
      <c r="D53" s="147"/>
      <c r="E53" s="147"/>
    </row>
    <row r="54" spans="2:6" x14ac:dyDescent="0.3">
      <c r="B54" s="147" t="s">
        <v>1433</v>
      </c>
      <c r="C54" s="147"/>
      <c r="D54" s="147"/>
      <c r="E54" s="147"/>
    </row>
    <row r="55" spans="2:6" x14ac:dyDescent="0.3">
      <c r="B55" s="147" t="s">
        <v>1434</v>
      </c>
      <c r="C55" s="147"/>
      <c r="D55" s="147"/>
      <c r="E55" s="147"/>
    </row>
    <row r="56" spans="2:6" x14ac:dyDescent="0.3">
      <c r="B56" s="147" t="s">
        <v>1435</v>
      </c>
      <c r="C56" s="147"/>
      <c r="D56" s="147"/>
      <c r="E56" s="147"/>
    </row>
    <row r="57" spans="2:6" x14ac:dyDescent="0.3">
      <c r="B57" s="148" t="s">
        <v>1436</v>
      </c>
      <c r="C57" s="148"/>
      <c r="D57" s="148"/>
      <c r="E57" s="148"/>
    </row>
    <row r="59" spans="2:6" ht="15.6" x14ac:dyDescent="0.3">
      <c r="B59" s="140" t="s">
        <v>1437</v>
      </c>
      <c r="C59" s="140"/>
      <c r="D59" s="140"/>
      <c r="E59" s="140"/>
      <c r="F59" s="140"/>
    </row>
    <row r="60" spans="2:6" ht="100.8" x14ac:dyDescent="0.3">
      <c r="B60" s="149" t="s">
        <v>2145</v>
      </c>
      <c r="C60" s="97"/>
      <c r="D60" s="97"/>
      <c r="E60" s="97"/>
      <c r="F60" s="9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00 Panel del Analista</vt:lpstr>
      <vt:lpstr>01 Summary</vt:lpstr>
      <vt:lpstr>02 Assumptions</vt:lpstr>
      <vt:lpstr>03 Historical</vt:lpstr>
      <vt:lpstr>04 Operating Model</vt:lpstr>
      <vt:lpstr>05 Three Statement</vt:lpstr>
      <vt:lpstr>06 DCF</vt:lpstr>
      <vt:lpstr>07 WACC</vt:lpstr>
      <vt:lpstr>Sensibilidad</vt:lpstr>
      <vt:lpstr>09 Escenarios</vt:lpstr>
      <vt:lpstr>Escenario Pesimista</vt:lpstr>
      <vt:lpstr>Escenario Base</vt:lpstr>
      <vt:lpstr>Escenario Optimista</vt:lpstr>
      <vt:lpstr>10 Reverse DCF</vt:lpstr>
      <vt:lpstr>11 Cross Check</vt:lpstr>
      <vt:lpstr>12 SOTP</vt:lpstr>
      <vt:lpstr>13 Checks</vt:lpstr>
      <vt:lpstr>14 Sources</vt:lpstr>
      <vt:lpstr>M1 Manual Fundamentos</vt:lpstr>
      <vt:lpstr>M2 Manual Reglas</vt:lpstr>
      <vt:lpstr>M3 Manual Sectorial</vt:lpstr>
      <vt:lpstr>M4 Manual Errores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de santiago</dc:creator>
  <cp:lastModifiedBy>sergio de santiago</cp:lastModifiedBy>
  <cp:lastPrinted>2026-09-22T08:36:33Z</cp:lastPrinted>
  <dcterms:created xsi:type="dcterms:W3CDTF">2026-09-21T06:59:32Z</dcterms:created>
  <dcterms:modified xsi:type="dcterms:W3CDTF">2026-09-23T13:40:08Z</dcterms:modified>
</cp:coreProperties>
</file>