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1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simista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Optimista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Reverse DCF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\$#,##0.00;&quot;($&quot;#,##0.00\);\-"/>
    <numFmt numFmtId="165" formatCode="#,##0;\(#,##0\);\-"/>
    <numFmt numFmtId="166" formatCode="0.0%"/>
    <numFmt numFmtId="167" formatCode="0.00\x"/>
    <numFmt numFmtId="168" formatCode="0.000"/>
  </numFmts>
  <fonts count="12">
    <font>
      <name val="Calibri"/>
      <charset val="1"/>
      <family val="2"/>
      <color theme="1"/>
      <sz val="11"/>
    </font>
    <font>
      <name val="Arial"/>
      <charset val="1"/>
      <i val="1"/>
      <color rgb="FF595959"/>
      <sz val="8"/>
    </font>
    <font>
      <name val="Arial"/>
      <charset val="1"/>
      <i val="1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family val="2"/>
      <b val="1"/>
      <color rgb="FF1F3864"/>
      <sz val="13"/>
    </font>
    <font>
      <b val="1"/>
      <color rgb="FF1F3864"/>
    </font>
    <font>
      <name val="Calibri"/>
      <color rgb="FF0000FF"/>
      <sz val="11"/>
    </font>
    <font>
      <i val="1"/>
      <color rgb="FF595959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3" fillId="2" borderId="0" applyAlignment="1" pivotButton="0" quotePrefix="0" xfId="0">
      <alignment horizontal="center"/>
    </xf>
    <xf numFmtId="164" fontId="4" fillId="0" borderId="1" pivotButton="0" quotePrefix="0" xfId="0"/>
    <xf numFmtId="0" fontId="6" fillId="0" borderId="0" pivotButton="0" quotePrefix="0" xfId="0"/>
    <xf numFmtId="164" fontId="6" fillId="4" borderId="1" pivotButton="0" quotePrefix="0" xfId="0"/>
    <xf numFmtId="167" fontId="4" fillId="0" borderId="1" pivotButton="0" quotePrefix="0" xfId="0"/>
    <xf numFmtId="167" fontId="5" fillId="3" borderId="1" pivotButton="0" quotePrefix="0" xfId="0"/>
    <xf numFmtId="164" fontId="6" fillId="0" borderId="1" pivotButton="0" quotePrefix="0" xfId="0"/>
    <xf numFmtId="0" fontId="0" fillId="2" borderId="0" pivotButton="0" quotePrefix="0" xfId="0"/>
    <xf numFmtId="165" fontId="6" fillId="0" borderId="1" pivotButton="0" quotePrefix="0" xfId="0"/>
    <xf numFmtId="168" fontId="4" fillId="0" borderId="1" pivotButton="0" quotePrefix="0" xfId="0"/>
    <xf numFmtId="166" fontId="6" fillId="0" borderId="1" pivotButton="0" quotePrefix="0" xfId="0"/>
    <xf numFmtId="166" fontId="3" fillId="2" borderId="0" applyAlignment="1" pivotButton="0" quotePrefix="0" xfId="0">
      <alignment horizontal="center"/>
    </xf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10" fontId="9" fillId="5" borderId="0" pivotButton="0" quotePrefix="0" xfId="0"/>
    <xf numFmtId="166" fontId="9" fillId="5" borderId="0" pivotButton="0" quotePrefix="0" xfId="0"/>
    <xf numFmtId="0" fontId="10" fillId="0" borderId="0" pivotButton="0" quotePrefix="0" xfId="0"/>
    <xf numFmtId="10" fontId="11" fillId="0" borderId="1" pivotButton="0" quotePrefix="0" xfId="0"/>
    <xf numFmtId="166" fontId="11" fillId="0" borderId="1" pivotButton="0" quotePrefix="0" xfId="0"/>
    <xf numFmtId="10" fontId="11" fillId="0" borderId="0" applyAlignment="1" pivotButton="0" quotePrefix="0" xfId="0">
      <alignment horizontal="center"/>
    </xf>
    <xf numFmtId="2" fontId="4" fillId="0" borderId="1" pivotButton="0" quotePrefix="0" xfId="0"/>
    <xf numFmtId="2" fontId="6" fillId="0" borderId="1" pivotButton="0" quotePrefix="0" xfId="0"/>
    <xf numFmtId="2" fontId="0" fillId="0" borderId="0" pivotButton="0" quotePrefix="0" xfId="0"/>
    <xf numFmtId="10" fontId="9" fillId="5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zoomScaleNormal="100" workbookViewId="0">
      <selection activeCell="B36" sqref="B36"/>
    </sheetView>
  </sheetViews>
  <sheetFormatPr baseColWidth="10" defaultColWidth="8.6640625" defaultRowHeight="15"/>
  <cols>
    <col width="2" customWidth="1" min="1" max="1"/>
    <col width="54" customWidth="1" min="2" max="2"/>
    <col width="16" customWidth="1" min="3" max="3"/>
    <col width="76" customWidth="1" min="4" max="4"/>
  </cols>
  <sheetData>
    <row r="2" ht="17" customHeight="1">
      <c r="B2" s="23" t="inlineStr">
        <is>
          <t>Modelo DCF — Netflix, Inc. (NFLX)</t>
        </is>
      </c>
    </row>
    <row r="3">
      <c r="B3" s="1" t="n"/>
    </row>
    <row r="5">
      <c r="B5" s="2" t="n"/>
    </row>
    <row r="7">
      <c r="B7" s="3" t="inlineStr">
        <is>
          <t>PARÁMETROS GENERALES</t>
        </is>
      </c>
      <c r="C7" s="3" t="inlineStr">
        <is>
          <t>Valor</t>
        </is>
      </c>
      <c r="D7" s="3" t="inlineStr">
        <is>
          <t>Origen / justificación</t>
        </is>
      </c>
    </row>
    <row r="8">
      <c r="B8" s="4" t="inlineStr">
        <is>
          <t>Precio de mercado (USD/acción)</t>
        </is>
      </c>
      <c r="C8" s="5" t="n">
        <v>80.31999999999999</v>
      </c>
      <c r="D8" s="1" t="inlineStr">
        <is>
          <t>Cierre del 14/09/2026. Fuente: StockAnalysis.com. El informe adjunto se redactó el 20/08/2026 con un precio de 80,14 USD.</t>
        </is>
      </c>
    </row>
    <row r="9">
      <c r="B9" s="4" t="inlineStr">
        <is>
          <t>Precio de entrada del inversor (USD)</t>
        </is>
      </c>
      <c r="C9" s="5" t="n">
        <v>75.5</v>
      </c>
      <c r="D9" s="1" t="inlineStr">
        <is>
          <t>Dato facilitado por el inversor</t>
        </is>
      </c>
    </row>
    <row r="10">
      <c r="B10" s="4" t="inlineStr">
        <is>
          <t>Precio objetivo del inversor (USD)</t>
        </is>
      </c>
      <c r="C10" s="5" t="n">
        <v>100</v>
      </c>
      <c r="D10" s="1" t="inlineStr">
        <is>
          <t>Dato facilitado por el inversor</t>
        </is>
      </c>
    </row>
    <row r="11">
      <c r="B11" s="4" t="inlineStr">
        <is>
          <t>Acciones en circulación (millones)</t>
        </is>
      </c>
      <c r="C11" s="6" t="n">
        <v>4164</v>
      </c>
      <c r="D11" s="1" t="inlineStr">
        <is>
          <t>Post-split 10:1. Fuente: StockAnalysis.com</t>
        </is>
      </c>
    </row>
    <row r="12">
      <c r="B12" s="4" t="inlineStr">
        <is>
          <t>Acciones diluidas (millones)</t>
        </is>
      </c>
      <c r="C12" s="6" t="n">
        <v>4200</v>
      </c>
      <c r="D12" s="1" t="inlineStr">
        <is>
          <t>Estimación propia: circulación más dilución previsible por retribución en acciones. Denominador único de todas las valoraciones por acción.</t>
        </is>
      </c>
    </row>
    <row r="13">
      <c r="B13" s="4" t="inlineStr">
        <is>
          <t>Deuda financiera total (M USD)</t>
        </is>
      </c>
      <c r="C13" s="6" t="n">
        <v>16655</v>
      </c>
      <c r="D13" s="1" t="inlineStr">
        <is>
          <t>Balance a 30/06/2026</t>
        </is>
      </c>
    </row>
    <row r="14">
      <c r="B14" s="4" t="inlineStr">
        <is>
          <t>Caja e inversiones a corto (M USD)</t>
        </is>
      </c>
      <c r="C14" s="6" t="n">
        <v>9128</v>
      </c>
      <c r="D14" s="1" t="inlineStr">
        <is>
          <t>Balance a 30/06/2026</t>
        </is>
      </c>
    </row>
    <row r="15">
      <c r="B15" s="4" t="inlineStr">
        <is>
          <t>Ingresos 2025 (M USD) — año base</t>
        </is>
      </c>
      <c r="C15" s="6" t="n">
        <v>45183</v>
      </c>
      <c r="D15" s="1" t="inlineStr">
        <is>
          <t>Cuentas anuales 2025 de Netflix</t>
        </is>
      </c>
    </row>
    <row r="16">
      <c r="B16" s="4" t="inlineStr">
        <is>
          <t>Margen operativo 2025</t>
        </is>
      </c>
      <c r="C16" s="7" t="n">
        <v>0.2949</v>
      </c>
      <c r="D16" s="1" t="inlineStr">
        <is>
          <t>Resultado operativo de 13.327 M USD</t>
        </is>
      </c>
    </row>
    <row r="17">
      <c r="B17" s="4" t="inlineStr">
        <is>
          <t>FCF reportado TTM jun-26 (M USD)</t>
        </is>
      </c>
      <c r="C17" s="6" t="n">
        <v>11152</v>
      </c>
      <c r="D17" s="1" t="inlineStr">
        <is>
          <t>Incluye 2.800 M USD de la comisión de WBD</t>
        </is>
      </c>
    </row>
    <row r="18">
      <c r="B18" s="4" t="inlineStr">
        <is>
          <t>Comisión de rescisión de WBD (M USD)</t>
        </is>
      </c>
      <c r="C18" s="6" t="n">
        <v>2800</v>
      </c>
      <c r="D18" s="1" t="inlineStr">
        <is>
          <t>Cobro no recurrente registrado en el Q1 2026</t>
        </is>
      </c>
    </row>
    <row r="19">
      <c r="B19" s="4" t="inlineStr">
        <is>
          <t>FCF 2026E guiado por la compañía (M USD)</t>
        </is>
      </c>
      <c r="C19" s="6" t="n">
        <v>12500</v>
      </c>
      <c r="D19" s="1" t="inlineStr">
        <is>
          <t>Guía de la dirección para el ejercicio 2026</t>
        </is>
      </c>
    </row>
    <row r="20">
      <c r="B20" s="4" t="inlineStr">
        <is>
          <t>Liberación de fondo de maniobra (% del incremento de ingresos)</t>
        </is>
      </c>
      <c r="C20" s="7" t="n">
        <v>0.01</v>
      </c>
      <c r="D20" s="1" t="inlineStr">
        <is>
          <t>Supuesto propio: ingresos diferidos por suscripción</t>
        </is>
      </c>
    </row>
    <row r="21">
      <c r="B21" s="4" t="inlineStr">
        <is>
          <t>Intereses después de impuestos (M USD)</t>
        </is>
      </c>
      <c r="C21" s="6" t="n">
        <v>600</v>
      </c>
      <c r="D21" s="1" t="inlineStr">
        <is>
          <t>Ajuste para desapalancar el FCF reportado</t>
        </is>
      </c>
    </row>
    <row r="23">
      <c r="B23" s="3" t="inlineStr">
        <is>
          <t>MÉTRICAS DERIVADAS</t>
        </is>
      </c>
      <c r="C23" s="3" t="inlineStr">
        <is>
          <t>Valor</t>
        </is>
      </c>
      <c r="D23" s="3" t="inlineStr">
        <is>
          <t>Fórmula</t>
        </is>
      </c>
    </row>
    <row r="24">
      <c r="B24" s="4" t="inlineStr">
        <is>
          <t>Capitalización bursátil (M USD)</t>
        </is>
      </c>
      <c r="C24" s="8">
        <f>C8*C11</f>
        <v/>
      </c>
      <c r="D24" s="1" t="inlineStr">
        <is>
          <t>Sobre 4.164 M acciones en circulación (base de mercado). El valor por acción se calcula sobre 4.200 M diluidas: criterio conservador, declarado aquí a propósito.</t>
        </is>
      </c>
    </row>
    <row r="25">
      <c r="B25" s="4" t="inlineStr">
        <is>
          <t>Deuda neta (M USD)</t>
        </is>
      </c>
      <c r="C25" s="8">
        <f>C13-C14</f>
        <v/>
      </c>
      <c r="D25" s="1">
        <f>C13-C14</f>
        <v/>
      </c>
    </row>
    <row r="26">
      <c r="B26" s="4" t="inlineStr">
        <is>
          <t>Enterprise Value actual (M USD)</t>
        </is>
      </c>
      <c r="C26" s="8">
        <f>C24+C25</f>
        <v/>
      </c>
      <c r="D26" s="1">
        <f>C24+C25</f>
        <v/>
      </c>
    </row>
    <row r="27">
      <c r="B27" s="4" t="inlineStr">
        <is>
          <t>FCF 2026E subyacente ex comisión WBD (M USD)</t>
        </is>
      </c>
      <c r="C27" s="8">
        <f>C19-C18</f>
        <v/>
      </c>
      <c r="D27" s="1">
        <f>C19-C18</f>
        <v/>
      </c>
    </row>
    <row r="28">
      <c r="B28" s="4" t="inlineStr">
        <is>
          <t>Rentabilidad del FCF subyacente</t>
        </is>
      </c>
      <c r="C28" s="9">
        <f>C27/C24</f>
        <v/>
      </c>
      <c r="D28" s="1">
        <f>C27/C24</f>
        <v/>
      </c>
    </row>
    <row r="29">
      <c r="B29" s="4" t="inlineStr">
        <is>
          <t>FCFF económico 2026E implícito (M USD)</t>
        </is>
      </c>
      <c r="C29" s="8">
        <f>C27+C21</f>
        <v/>
      </c>
      <c r="D29" s="1" t="inlineStr">
        <is>
          <t>FCF subyacente + intereses después de impuestos (desapalancado)</t>
        </is>
      </c>
    </row>
    <row r="31">
      <c r="B31" s="24" t="inlineStr">
        <is>
          <t>PARÁMETROS DE VALORACIÓN POR ESCENARIO</t>
        </is>
      </c>
      <c r="C31" s="24" t="inlineStr">
        <is>
          <t>WACC</t>
        </is>
      </c>
      <c r="D31" s="24" t="inlineStr">
        <is>
          <t>g terminal</t>
        </is>
      </c>
      <c r="E31" s="24" t="inlineStr">
        <is>
          <t>Peso</t>
        </is>
      </c>
      <c r="F31" s="24" t="inlineStr">
        <is>
          <t>Origen / justificación</t>
        </is>
      </c>
    </row>
    <row r="32">
      <c r="B32" t="inlineStr">
        <is>
          <t>Pesimista</t>
        </is>
      </c>
      <c r="C32" s="25" t="n">
        <v>0.105</v>
      </c>
      <c r="D32" s="25" t="n">
        <v>0.025</v>
      </c>
      <c r="E32" s="26" t="n">
        <v>0.25</v>
      </c>
      <c r="F32" t="inlineStr">
        <is>
          <t>Coste de capital penalizado por deterioro estructural del engagement.</t>
        </is>
      </c>
    </row>
    <row r="33">
      <c r="B33" t="inlineStr">
        <is>
          <t>Base</t>
        </is>
      </c>
      <c r="C33" s="25" t="n">
        <v>0.095</v>
      </c>
      <c r="D33" s="25" t="n">
        <v>0.0325</v>
      </c>
      <c r="E33" s="26" t="n">
        <v>0.5</v>
      </c>
      <c r="F33" t="inlineStr">
        <is>
          <t>Rf 4,2% + beta 1,10 x PRM 5,0%; estructura 95,2% FP / 4,8% deuda a valor de mercado. Con la beta estadística de 1,51 el WACC sería 11,4%.</t>
        </is>
      </c>
    </row>
    <row r="34">
      <c r="B34" t="inlineStr">
        <is>
          <t>Optimista</t>
        </is>
      </c>
      <c r="C34" s="25" t="n">
        <v>0.09</v>
      </c>
      <c r="D34" s="25" t="n">
        <v>0.035</v>
      </c>
      <c r="E34" s="26" t="n">
        <v>0.25</v>
      </c>
      <c r="F34" t="inlineStr">
        <is>
          <t>Coste de capital de un negocio de suscripción maduro y rentable.</t>
        </is>
      </c>
    </row>
    <row r="36">
      <c r="B36" s="27" t="inlineStr">
        <is>
          <t>Los tres escenarios leen su WACC, su g y su peso de este bloque. Cambiar aquí recalcula todo el libro, incluida la matriz de sensibilidad.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tabSelected="1" zoomScaleNormal="100" workbookViewId="0">
      <selection activeCell="B35" sqref="B35"/>
    </sheetView>
  </sheetViews>
  <sheetFormatPr baseColWidth="10" defaultColWidth="8.6640625" defaultRowHeight="15"/>
  <cols>
    <col width="46" customWidth="1" min="2" max="2"/>
    <col width="17" customWidth="1" min="3" max="7"/>
  </cols>
  <sheetData>
    <row r="2" ht="17" customHeight="1">
      <c r="B2" s="23" t="inlineStr">
        <is>
          <t>Resumen de valoración — Netflix, Inc. (NFLX)</t>
        </is>
      </c>
    </row>
    <row r="3">
      <c r="B3" s="1" t="n"/>
    </row>
    <row r="5">
      <c r="B5" s="10" t="inlineStr">
        <is>
          <t>Escenario</t>
        </is>
      </c>
      <c r="C5" s="10" t="inlineStr">
        <is>
          <t>WACC</t>
        </is>
      </c>
      <c r="D5" s="10" t="inlineStr">
        <is>
          <t>g terminal</t>
        </is>
      </c>
      <c r="E5" s="10" t="inlineStr">
        <is>
          <t>Valor hoy</t>
        </is>
      </c>
      <c r="F5" s="10" t="inlineStr">
        <is>
          <t>Valor rodado 24m</t>
        </is>
      </c>
      <c r="G5" s="10" t="inlineStr">
        <is>
          <t>Peso</t>
        </is>
      </c>
    </row>
    <row r="6">
      <c r="B6" s="4" t="inlineStr">
        <is>
          <t>Pesimista</t>
        </is>
      </c>
      <c r="C6" s="9">
        <f>Pesimista!$C$5</f>
        <v/>
      </c>
      <c r="D6" s="9">
        <f>Pesimista!$E$5</f>
        <v/>
      </c>
      <c r="E6" s="11">
        <f>Pesimista!$C$37</f>
        <v/>
      </c>
      <c r="F6" s="11">
        <f>Pesimista!$C$40</f>
        <v/>
      </c>
      <c r="G6" s="9">
        <f>Pesimista!$G$5</f>
        <v/>
      </c>
    </row>
    <row r="7">
      <c r="B7" s="4" t="inlineStr">
        <is>
          <t>Base</t>
        </is>
      </c>
      <c r="C7" s="9">
        <f>Base!$C$5</f>
        <v/>
      </c>
      <c r="D7" s="9">
        <f>Base!$E$5</f>
        <v/>
      </c>
      <c r="E7" s="11">
        <f>Base!$C$37</f>
        <v/>
      </c>
      <c r="F7" s="11">
        <f>Base!$C$40</f>
        <v/>
      </c>
      <c r="G7" s="9">
        <f>Base!$G$5</f>
        <v/>
      </c>
    </row>
    <row r="8">
      <c r="B8" s="4" t="inlineStr">
        <is>
          <t>Optimista</t>
        </is>
      </c>
      <c r="C8" s="9">
        <f>Optimista!$C$5</f>
        <v/>
      </c>
      <c r="D8" s="9">
        <f>Optimista!$E$5</f>
        <v/>
      </c>
      <c r="E8" s="11">
        <f>Optimista!$C$37</f>
        <v/>
      </c>
      <c r="F8" s="11">
        <f>Optimista!$C$40</f>
        <v/>
      </c>
      <c r="G8" s="9">
        <f>Optimista!$G$5</f>
        <v/>
      </c>
    </row>
    <row r="9">
      <c r="B9" s="12" t="inlineStr">
        <is>
          <t>VALOR RAZONABLE PONDERADO</t>
        </is>
      </c>
      <c r="E9" s="13">
        <f>SUMPRODUCT(E6:E8,$G$6:$G$8)/SUM($G$6:$G$8)</f>
        <v/>
      </c>
      <c r="F9" s="13">
        <f>SUMPRODUCT(F6:F8,$G$6:$G$8)/SUM($G$6:$G$8)</f>
        <v/>
      </c>
    </row>
    <row r="11">
      <c r="B11" s="3" t="inlineStr">
        <is>
          <t>REFERENCIAS DE PRECIO</t>
        </is>
      </c>
      <c r="C11" s="10" t="inlineStr">
        <is>
          <t>Valor</t>
        </is>
      </c>
      <c r="D11" s="10" t="inlineStr">
        <is>
          <t>Sobre entrada</t>
        </is>
      </c>
      <c r="E11" s="10" t="inlineStr">
        <is>
          <t>Sobre precio actual</t>
        </is>
      </c>
    </row>
    <row r="12">
      <c r="B12" s="4" t="inlineStr">
        <is>
          <t>Precio de mercado</t>
        </is>
      </c>
      <c r="C12" s="11">
        <f>Supuestos!$C$8</f>
        <v/>
      </c>
      <c r="D12" s="9">
        <f>C12/Supuestos!$C$9-1</f>
        <v/>
      </c>
      <c r="E12" s="9">
        <f>C12/Supuestos!$C$8-1</f>
        <v/>
      </c>
    </row>
    <row r="13">
      <c r="B13" s="4" t="inlineStr">
        <is>
          <t>Precio de entrada del inversor</t>
        </is>
      </c>
      <c r="C13" s="11">
        <f>Supuestos!$C$9</f>
        <v/>
      </c>
      <c r="D13" s="9">
        <f>C13/Supuestos!$C$9-1</f>
        <v/>
      </c>
      <c r="E13" s="9">
        <f>C13/Supuestos!$C$8-1</f>
        <v/>
      </c>
    </row>
    <row r="14">
      <c r="B14" s="12" t="inlineStr">
        <is>
          <t>Precio objetivo Warrants &amp; Co. (calculado)</t>
        </is>
      </c>
      <c r="C14" s="5">
        <f>ROUND(C30/5,0)*5</f>
        <v/>
      </c>
      <c r="D14" s="9">
        <f>C14/Supuestos!$C$9-1</f>
        <v/>
      </c>
      <c r="E14" s="9">
        <f>C14/Supuestos!$C$8-1</f>
        <v/>
      </c>
      <c r="F14" s="27" t="inlineStr">
        <is>
          <t>Media de los tres anclajes (fila 30), redondeada al múltiplo de 5 USD más próximo. Convención de la casa. Es el precio objetivo de Warrants &amp; Co.</t>
        </is>
      </c>
    </row>
    <row r="15">
      <c r="B15" s="12" t="inlineStr">
        <is>
          <t>Precio objetivo del inversor</t>
        </is>
      </c>
      <c r="C15" s="11">
        <f>Supuestos!$C$10</f>
        <v/>
      </c>
      <c r="D15" s="9">
        <f>C15/Supuestos!$C$9-1</f>
        <v/>
      </c>
      <c r="E15" s="9">
        <f>C15/Supuestos!$C$8-1</f>
        <v/>
      </c>
      <c r="F15" s="27" t="inlineStr">
        <is>
          <t>Objetivo aportado por el inversor, no calculado por este modelo. Requiere el escenario optimista.</t>
        </is>
      </c>
    </row>
    <row r="16">
      <c r="B16" s="4" t="inlineStr">
        <is>
          <t>Consenso de analistas (51)</t>
        </is>
      </c>
      <c r="C16" s="5" t="n">
        <v>94.04000000000001</v>
      </c>
      <c r="D16" s="9">
        <f>C16/Supuestos!$C$9-1</f>
        <v/>
      </c>
      <c r="E16" s="9">
        <f>C16/Supuestos!$C$8-1</f>
        <v/>
      </c>
      <c r="G16" s="27" t="inlineStr">
        <is>
          <t>51 analistas; mediana 93,00; rango 70,00-135,00 USD. Fuente: StockAnalysis.com, consultado el 14/09/2026.</t>
        </is>
      </c>
    </row>
    <row r="19">
      <c r="B19" s="3" t="inlineStr">
        <is>
          <t>VALORACIÓN POR MÚLTIPLOS</t>
        </is>
      </c>
      <c r="C19" s="3" t="inlineStr">
        <is>
          <t>Base de cálculo</t>
        </is>
      </c>
      <c r="D19" s="3" t="inlineStr">
        <is>
          <t>Múltiplo actual</t>
        </is>
      </c>
      <c r="E19" s="3" t="inlineStr">
        <is>
          <t>Múltiplo objetivo</t>
        </is>
      </c>
      <c r="F19" s="3" t="inlineStr">
        <is>
          <t>Valor por acción</t>
        </is>
      </c>
      <c r="G19" s="24" t="inlineStr">
        <is>
          <t>Origen del múltiplo objetivo</t>
        </is>
      </c>
    </row>
    <row r="20">
      <c r="B20" s="4" t="inlineStr">
        <is>
          <t>PER 2026E subyacente (ex comisión WBD)</t>
        </is>
      </c>
      <c r="C20" s="5" t="n">
        <v>3.01</v>
      </c>
      <c r="D20" s="14">
        <f>Supuestos!$C$8/C20</f>
        <v/>
      </c>
      <c r="E20" s="15" t="n">
        <v>29</v>
      </c>
      <c r="F20" s="11">
        <f>C20*E20</f>
        <v/>
      </c>
      <c r="G20" t="inlineStr">
        <is>
          <t>29x: por debajo de la media de 5 años de la propia compañía (~40x) y de las 33x a las que cotiza Spotify con margen operativo muy inferior.</t>
        </is>
      </c>
      <c r="H20" s="27" t="inlineStr">
        <is>
          <t>BPA 2026E subyacente: consenso de 3,59 USD menos el efecto por acción de la comisión de WBD después de impuestos.</t>
        </is>
      </c>
    </row>
    <row r="21">
      <c r="B21" s="4" t="inlineStr">
        <is>
          <t>PER 2027E</t>
        </is>
      </c>
      <c r="C21" s="5" t="n">
        <v>3.95</v>
      </c>
      <c r="D21" s="14">
        <f>Supuestos!$C$8/C21</f>
        <v/>
      </c>
      <c r="E21" s="15" t="n">
        <v>26</v>
      </c>
      <c r="F21" s="11">
        <f>C21*E21</f>
        <v/>
      </c>
      <c r="G21" t="inlineStr">
        <is>
          <t>26x: compresión del múltiplo 2026 conforme avanza el margen; equivale a mantener el PEG en torno a 1.</t>
        </is>
      </c>
      <c r="H21" s="27" t="inlineStr">
        <is>
          <t>BPA 2027E: estimación propia derivada del caso base, no del consenso.</t>
        </is>
      </c>
    </row>
    <row r="22">
      <c r="B22" s="4" t="inlineStr">
        <is>
          <t>P/FCF 2026E subyacente</t>
        </is>
      </c>
      <c r="C22" s="6" t="n">
        <v>9700</v>
      </c>
      <c r="D22" s="14">
        <f>Supuestos!$C$24/C22</f>
        <v/>
      </c>
      <c r="E22" s="15" t="n">
        <v>38</v>
      </c>
      <c r="F22" s="11">
        <f>C22*E22/Supuestos!$C$12</f>
        <v/>
      </c>
      <c r="G22" t="inlineStr">
        <is>
          <t>38x: media aproximada de los últimos doce meses de la propia compañía sobre FCF subyacente.</t>
        </is>
      </c>
      <c r="H22" s="27" t="inlineStr">
        <is>
          <t>FCF 2026E subyacente: guía de 12.500 M USD menos los 2.800 M de la comisión de rescisión de WBD.</t>
        </is>
      </c>
    </row>
    <row r="23">
      <c r="B23" s="4" t="inlineStr">
        <is>
          <t>EV/Ventas 2026E</t>
        </is>
      </c>
      <c r="C23" s="6" t="n">
        <v>51192</v>
      </c>
      <c r="D23" s="14">
        <f>Supuestos!$C$26/C23</f>
        <v/>
      </c>
      <c r="E23" s="15" t="n">
        <v>7.5</v>
      </c>
      <c r="F23" s="11">
        <f>(C23*E23-Supuestos!$C$25)/Supuestos!$C$12</f>
        <v/>
      </c>
      <c r="G23" t="inlineStr">
        <is>
          <t>7,5x: entre las 6,67x actuales y el techo del rango histórico de NFLX; muy por encima de Spotify (4,94x) y Disney (2,29x) por margen.</t>
        </is>
      </c>
      <c r="H23" s="27" t="inlineStr">
        <is>
          <t>Ingresos 2026E: caso base (45.183 x 1,133), dentro de la guía de 51.000-51.400 M USD.</t>
        </is>
      </c>
    </row>
    <row r="24">
      <c r="B24" s="12" t="inlineStr">
        <is>
          <t>Rango por múltiplos — mínimo</t>
        </is>
      </c>
      <c r="F24" s="16">
        <f>MIN(F20:F23)</f>
        <v/>
      </c>
    </row>
    <row r="25">
      <c r="B25" s="12" t="inlineStr">
        <is>
          <t>Rango por múltiplos — máximo</t>
        </is>
      </c>
      <c r="F25" s="16">
        <f>MAX(F20:F23)</f>
        <v/>
      </c>
    </row>
    <row r="26">
      <c r="B26" s="3" t="inlineStr">
        <is>
          <t>PRECIO OBJETIVO — media de los tres anclajes</t>
        </is>
      </c>
    </row>
    <row r="27">
      <c r="B27" s="4" t="inlineStr">
        <is>
          <t>DCF base rodado a 24 meses</t>
        </is>
      </c>
      <c r="C27" s="11">
        <f>Base!$C$40</f>
        <v/>
      </c>
    </row>
    <row r="28">
      <c r="B28" s="4" t="inlineStr">
        <is>
          <t>Mediana de la valoración por múltiplos</t>
        </is>
      </c>
      <c r="C28" s="11">
        <f>MEDIAN(F20:F23)</f>
        <v/>
      </c>
    </row>
    <row r="29">
      <c r="B29" s="4" t="inlineStr">
        <is>
          <t>Consenso de analistas</t>
        </is>
      </c>
      <c r="C29" s="11">
        <f>C16</f>
        <v/>
      </c>
    </row>
    <row r="30">
      <c r="B30" s="12" t="inlineStr">
        <is>
          <t>Objetivo calculado (media)</t>
        </is>
      </c>
      <c r="C30" s="13">
        <f>AVERAGE(C27:C29)</f>
        <v/>
      </c>
    </row>
    <row r="32">
      <c r="B32" s="27" t="inlineStr">
        <is>
          <t>Aviso de alcance: documento de trabajo de carácter analítico. No constituye recomendación de inversión, asesoramiento financiero ni oferta de compra o venta de valores.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5"/>
  <cols>
    <col width="48" customWidth="1" min="2" max="2"/>
    <col width="7.6640625" bestFit="1" customWidth="1" min="3" max="3"/>
    <col width="20.83203125" bestFit="1" customWidth="1" min="4" max="4"/>
    <col width="6.6640625" bestFit="1" customWidth="1" min="5" max="5"/>
    <col width="23.33203125" bestFit="1" customWidth="1" min="6" max="6"/>
    <col width="6.6640625" bestFit="1" customWidth="1" min="7" max="7"/>
    <col width="12" customWidth="1" min="8" max="12"/>
  </cols>
  <sheetData>
    <row r="2" ht="17" customHeight="1">
      <c r="B2" s="23" t="inlineStr">
        <is>
          <t>Escenario pesimista — Proyección 2026E-2035E (M USD)</t>
        </is>
      </c>
    </row>
    <row r="3">
      <c r="B3" s="1" t="n"/>
    </row>
    <row r="5">
      <c r="B5" s="12" t="inlineStr">
        <is>
          <t>WACC</t>
        </is>
      </c>
      <c r="C5" s="28">
        <f>Supuestos!$C$32</f>
        <v/>
      </c>
      <c r="D5" s="12" t="inlineStr">
        <is>
          <t>Crecimiento terminal (g)</t>
        </is>
      </c>
      <c r="E5" s="28">
        <f>Supuestos!$D$32</f>
        <v/>
      </c>
      <c r="F5" s="12" t="inlineStr">
        <is>
          <t>Peso en el valor razonable</t>
        </is>
      </c>
      <c r="G5" s="29">
        <f>Supuestos!$E$32</f>
        <v/>
      </c>
    </row>
    <row r="7">
      <c r="B7" s="3" t="inlineStr">
        <is>
          <t>Concepto</t>
        </is>
      </c>
      <c r="C7" s="10" t="inlineStr">
        <is>
          <t>2026E</t>
        </is>
      </c>
      <c r="D7" s="10" t="inlineStr">
        <is>
          <t>2027E</t>
        </is>
      </c>
      <c r="E7" s="10" t="inlineStr">
        <is>
          <t>2028E</t>
        </is>
      </c>
      <c r="F7" s="10" t="inlineStr">
        <is>
          <t>2029E</t>
        </is>
      </c>
      <c r="G7" s="10" t="inlineStr">
        <is>
          <t>2030E</t>
        </is>
      </c>
      <c r="H7" s="10" t="inlineStr">
        <is>
          <t>2031E</t>
        </is>
      </c>
      <c r="I7" s="10" t="inlineStr">
        <is>
          <t>2032E</t>
        </is>
      </c>
      <c r="J7" s="10" t="inlineStr">
        <is>
          <t>2033E</t>
        </is>
      </c>
      <c r="K7" s="10" t="inlineStr">
        <is>
          <t>2034E</t>
        </is>
      </c>
      <c r="L7" s="10" t="inlineStr">
        <is>
          <t>2035E</t>
        </is>
      </c>
    </row>
    <row r="8">
      <c r="B8" s="4" t="inlineStr">
        <is>
          <t>Crecimiento de ingresos</t>
        </is>
      </c>
      <c r="C8" s="7" t="n">
        <v>0.133</v>
      </c>
      <c r="D8" s="7" t="n">
        <v>0.075</v>
      </c>
      <c r="E8" s="7" t="n">
        <v>0.055</v>
      </c>
      <c r="F8" s="7" t="n">
        <v>0.045</v>
      </c>
      <c r="G8" s="7" t="n">
        <v>0.038</v>
      </c>
      <c r="H8" s="7" t="n">
        <v>0.032</v>
      </c>
      <c r="I8" s="7" t="n">
        <v>0.028</v>
      </c>
      <c r="J8" s="7" t="n">
        <v>0.025</v>
      </c>
      <c r="K8" s="7" t="n">
        <v>0.022</v>
      </c>
      <c r="L8" s="7" t="n">
        <v>0.02</v>
      </c>
    </row>
    <row r="9">
      <c r="B9" s="4" t="inlineStr">
        <is>
          <t>Margen operativo</t>
        </is>
      </c>
      <c r="C9" s="7" t="n">
        <v>0.315</v>
      </c>
      <c r="D9" s="7" t="n">
        <v>0.322</v>
      </c>
      <c r="E9" s="7" t="n">
        <v>0.33</v>
      </c>
      <c r="F9" s="7" t="n">
        <v>0.336</v>
      </c>
      <c r="G9" s="7" t="n">
        <v>0.34</v>
      </c>
      <c r="H9" s="7" t="n">
        <v>0.344</v>
      </c>
      <c r="I9" s="7" t="n">
        <v>0.347</v>
      </c>
      <c r="J9" s="7" t="n">
        <v>0.35</v>
      </c>
      <c r="K9" s="7" t="n">
        <v>0.35</v>
      </c>
      <c r="L9" s="7" t="n">
        <v>0.35</v>
      </c>
    </row>
    <row r="10">
      <c r="B10" s="4" t="inlineStr">
        <is>
          <t>Tipo impositivo efectivo en caja</t>
        </is>
      </c>
      <c r="C10" s="7" t="n">
        <v>0.14</v>
      </c>
      <c r="D10" s="7" t="n">
        <v>0.15</v>
      </c>
      <c r="E10" s="7" t="n">
        <v>0.16</v>
      </c>
      <c r="F10" s="7" t="n">
        <v>0.17</v>
      </c>
      <c r="G10" s="7" t="n">
        <v>0.17</v>
      </c>
      <c r="H10" s="7" t="n">
        <v>0.18</v>
      </c>
      <c r="I10" s="7" t="n">
        <v>0.18</v>
      </c>
      <c r="J10" s="7" t="n">
        <v>0.18</v>
      </c>
      <c r="K10" s="7" t="n">
        <v>0.18</v>
      </c>
      <c r="L10" s="7" t="n">
        <v>0.18</v>
      </c>
    </row>
    <row r="11">
      <c r="B11" s="4" t="inlineStr">
        <is>
          <t>Amortizaciones no de contenido (% ingresos)</t>
        </is>
      </c>
      <c r="C11" s="7" t="n">
        <v>0.012</v>
      </c>
      <c r="D11" s="7" t="n">
        <v>0.012</v>
      </c>
      <c r="E11" s="7" t="n">
        <v>0.012</v>
      </c>
      <c r="F11" s="7" t="n">
        <v>0.012</v>
      </c>
      <c r="G11" s="7" t="n">
        <v>0.012</v>
      </c>
      <c r="H11" s="7" t="n">
        <v>0.012</v>
      </c>
      <c r="I11" s="7" t="n">
        <v>0.012</v>
      </c>
      <c r="J11" s="7" t="n">
        <v>0.012</v>
      </c>
      <c r="K11" s="7" t="n">
        <v>0.012</v>
      </c>
      <c r="L11" s="7" t="n">
        <v>0.012</v>
      </c>
    </row>
    <row r="12">
      <c r="B12" s="4" t="inlineStr">
        <is>
          <t>Capex (% ingresos)</t>
        </is>
      </c>
      <c r="C12" s="7" t="n">
        <v>0.016</v>
      </c>
      <c r="D12" s="7" t="n">
        <v>0.016</v>
      </c>
      <c r="E12" s="7" t="n">
        <v>0.016</v>
      </c>
      <c r="F12" s="7" t="n">
        <v>0.016</v>
      </c>
      <c r="G12" s="7" t="n">
        <v>0.016</v>
      </c>
      <c r="H12" s="7" t="n">
        <v>0.016</v>
      </c>
      <c r="I12" s="7" t="n">
        <v>0.016</v>
      </c>
      <c r="J12" s="7" t="n">
        <v>0.016</v>
      </c>
      <c r="K12" s="7" t="n">
        <v>0.016</v>
      </c>
      <c r="L12" s="7" t="n">
        <v>0.016</v>
      </c>
    </row>
    <row r="13">
      <c r="B13" s="4" t="inlineStr">
        <is>
          <t>Desfase contenido: gasto en caja − amortización (% ingresos)</t>
        </is>
      </c>
      <c r="C13" s="7" t="n">
        <v>0.066</v>
      </c>
      <c r="D13" s="7" t="n">
        <v>0.048</v>
      </c>
      <c r="E13" s="7" t="n">
        <v>0.038</v>
      </c>
      <c r="F13" s="7" t="n">
        <v>0.032</v>
      </c>
      <c r="G13" s="7" t="n">
        <v>0.03</v>
      </c>
      <c r="H13" s="7" t="n">
        <v>0.028</v>
      </c>
      <c r="I13" s="7" t="n">
        <v>0.027</v>
      </c>
      <c r="J13" s="7" t="n">
        <v>0.026</v>
      </c>
      <c r="K13" s="7" t="n">
        <v>0.026</v>
      </c>
      <c r="L13" s="7" t="n">
        <v>0.026</v>
      </c>
    </row>
    <row r="14">
      <c r="B14" s="4" t="inlineStr">
        <is>
          <t>Retribución en acciones (% ingresos)</t>
        </is>
      </c>
      <c r="C14" s="7" t="n">
        <v>0.023</v>
      </c>
      <c r="D14" s="7" t="n">
        <v>0.023</v>
      </c>
      <c r="E14" s="7" t="n">
        <v>0.023</v>
      </c>
      <c r="F14" s="7" t="n">
        <v>0.022</v>
      </c>
      <c r="G14" s="7" t="n">
        <v>0.022</v>
      </c>
      <c r="H14" s="7" t="n">
        <v>0.022</v>
      </c>
      <c r="I14" s="7" t="n">
        <v>0.021</v>
      </c>
      <c r="J14" s="7" t="n">
        <v>0.021</v>
      </c>
      <c r="K14" s="7" t="n">
        <v>0.021</v>
      </c>
      <c r="L14" s="7" t="n">
        <v>0.021</v>
      </c>
    </row>
    <row r="16">
      <c r="B16" s="3" t="inlineStr">
        <is>
          <t>CÁLCULO DEL FLUJO DE CAJA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B17" s="4" t="inlineStr">
        <is>
          <t>Ingresos</t>
        </is>
      </c>
      <c r="C17" s="8">
        <f>Supuestos!$C$15*(1+C8)</f>
        <v/>
      </c>
      <c r="D17" s="8">
        <f>C17*(1+D8)</f>
        <v/>
      </c>
      <c r="E17" s="8">
        <f>D17*(1+E8)</f>
        <v/>
      </c>
      <c r="F17" s="8">
        <f>E17*(1+F8)</f>
        <v/>
      </c>
      <c r="G17" s="8">
        <f>F17*(1+G8)</f>
        <v/>
      </c>
      <c r="H17" s="8">
        <f>G17*(1+H8)</f>
        <v/>
      </c>
      <c r="I17" s="8">
        <f>H17*(1+I8)</f>
        <v/>
      </c>
      <c r="J17" s="8">
        <f>I17*(1+J8)</f>
        <v/>
      </c>
      <c r="K17" s="8">
        <f>J17*(1+K8)</f>
        <v/>
      </c>
      <c r="L17" s="8">
        <f>K17*(1+L8)</f>
        <v/>
      </c>
    </row>
    <row r="18">
      <c r="B18" s="4" t="inlineStr">
        <is>
          <t>Resultado operativo (EBIT)</t>
        </is>
      </c>
      <c r="C18" s="8">
        <f>C17*C9</f>
        <v/>
      </c>
      <c r="D18" s="8">
        <f>D17*D9</f>
        <v/>
      </c>
      <c r="E18" s="8">
        <f>E17*E9</f>
        <v/>
      </c>
      <c r="F18" s="8">
        <f>F17*F9</f>
        <v/>
      </c>
      <c r="G18" s="8">
        <f>G17*G9</f>
        <v/>
      </c>
      <c r="H18" s="8">
        <f>H17*H9</f>
        <v/>
      </c>
      <c r="I18" s="8">
        <f>I17*I9</f>
        <v/>
      </c>
      <c r="J18" s="8">
        <f>J17*J9</f>
        <v/>
      </c>
      <c r="K18" s="8">
        <f>K17*K9</f>
        <v/>
      </c>
      <c r="L18" s="8">
        <f>L17*L9</f>
        <v/>
      </c>
    </row>
    <row r="19">
      <c r="B19" s="4" t="inlineStr">
        <is>
          <t>(-) Impuestos en caja</t>
        </is>
      </c>
      <c r="C19" s="8">
        <f>-C18*C10</f>
        <v/>
      </c>
      <c r="D19" s="8">
        <f>-D18*D10</f>
        <v/>
      </c>
      <c r="E19" s="8">
        <f>-E18*E10</f>
        <v/>
      </c>
      <c r="F19" s="8">
        <f>-F18*F10</f>
        <v/>
      </c>
      <c r="G19" s="8">
        <f>-G18*G10</f>
        <v/>
      </c>
      <c r="H19" s="8">
        <f>-H18*H10</f>
        <v/>
      </c>
      <c r="I19" s="8">
        <f>-I18*I10</f>
        <v/>
      </c>
      <c r="J19" s="8">
        <f>-J18*J10</f>
        <v/>
      </c>
      <c r="K19" s="8">
        <f>-K18*K10</f>
        <v/>
      </c>
      <c r="L19" s="8">
        <f>-L18*L10</f>
        <v/>
      </c>
    </row>
    <row r="20">
      <c r="B20" s="12" t="inlineStr">
        <is>
          <t>NOPAT</t>
        </is>
      </c>
      <c r="C20" s="18">
        <f>C18+C19</f>
        <v/>
      </c>
      <c r="D20" s="18">
        <f>D18+D19</f>
        <v/>
      </c>
      <c r="E20" s="18">
        <f>E18+E19</f>
        <v/>
      </c>
      <c r="F20" s="18">
        <f>F18+F19</f>
        <v/>
      </c>
      <c r="G20" s="18">
        <f>G18+G19</f>
        <v/>
      </c>
      <c r="H20" s="18">
        <f>H18+H19</f>
        <v/>
      </c>
      <c r="I20" s="18">
        <f>I18+I19</f>
        <v/>
      </c>
      <c r="J20" s="18">
        <f>J18+J19</f>
        <v/>
      </c>
      <c r="K20" s="18">
        <f>K18+K19</f>
        <v/>
      </c>
      <c r="L20" s="18">
        <f>L18+L19</f>
        <v/>
      </c>
    </row>
    <row r="21">
      <c r="B21" s="4" t="inlineStr">
        <is>
          <t>(+) Amortizaciones no de contenido</t>
        </is>
      </c>
      <c r="C21" s="8">
        <f>C17*C11</f>
        <v/>
      </c>
      <c r="D21" s="8">
        <f>D17*D11</f>
        <v/>
      </c>
      <c r="E21" s="8">
        <f>E17*E11</f>
        <v/>
      </c>
      <c r="F21" s="8">
        <f>F17*F11</f>
        <v/>
      </c>
      <c r="G21" s="8">
        <f>G17*G11</f>
        <v/>
      </c>
      <c r="H21" s="8">
        <f>H17*H11</f>
        <v/>
      </c>
      <c r="I21" s="8">
        <f>I17*I11</f>
        <v/>
      </c>
      <c r="J21" s="8">
        <f>J17*J11</f>
        <v/>
      </c>
      <c r="K21" s="8">
        <f>K17*K11</f>
        <v/>
      </c>
      <c r="L21" s="8">
        <f>L17*L11</f>
        <v/>
      </c>
    </row>
    <row r="22">
      <c r="B22" s="4" t="inlineStr">
        <is>
          <t>(-) Capex</t>
        </is>
      </c>
      <c r="C22" s="8">
        <f>-C17*C12</f>
        <v/>
      </c>
      <c r="D22" s="8">
        <f>-D17*D12</f>
        <v/>
      </c>
      <c r="E22" s="8">
        <f>-E17*E12</f>
        <v/>
      </c>
      <c r="F22" s="8">
        <f>-F17*F12</f>
        <v/>
      </c>
      <c r="G22" s="8">
        <f>-G17*G12</f>
        <v/>
      </c>
      <c r="H22" s="8">
        <f>-H17*H12</f>
        <v/>
      </c>
      <c r="I22" s="8">
        <f>-I17*I12</f>
        <v/>
      </c>
      <c r="J22" s="8">
        <f>-J17*J12</f>
        <v/>
      </c>
      <c r="K22" s="8">
        <f>-K17*K12</f>
        <v/>
      </c>
      <c r="L22" s="8">
        <f>-L17*L12</f>
        <v/>
      </c>
    </row>
    <row r="23">
      <c r="B23" s="4" t="inlineStr">
        <is>
          <t>(-) Inversión neta en contenido</t>
        </is>
      </c>
      <c r="C23" s="8">
        <f>-C17*C13</f>
        <v/>
      </c>
      <c r="D23" s="8">
        <f>-D17*D13</f>
        <v/>
      </c>
      <c r="E23" s="8">
        <f>-E17*E13</f>
        <v/>
      </c>
      <c r="F23" s="8">
        <f>-F17*F13</f>
        <v/>
      </c>
      <c r="G23" s="8">
        <f>-G17*G13</f>
        <v/>
      </c>
      <c r="H23" s="8">
        <f>-H17*H13</f>
        <v/>
      </c>
      <c r="I23" s="8">
        <f>-I17*I13</f>
        <v/>
      </c>
      <c r="J23" s="8">
        <f>-J17*J13</f>
        <v/>
      </c>
      <c r="K23" s="8">
        <f>-K17*K13</f>
        <v/>
      </c>
      <c r="L23" s="8">
        <f>-L17*L13</f>
        <v/>
      </c>
    </row>
    <row r="24">
      <c r="B24" s="4" t="inlineStr">
        <is>
          <t>(-) Retribución en acciones</t>
        </is>
      </c>
      <c r="C24" s="8">
        <f>-C17*C14</f>
        <v/>
      </c>
      <c r="D24" s="8">
        <f>-D17*D14</f>
        <v/>
      </c>
      <c r="E24" s="8">
        <f>-E17*E14</f>
        <v/>
      </c>
      <c r="F24" s="8">
        <f>-F17*F14</f>
        <v/>
      </c>
      <c r="G24" s="8">
        <f>-G17*G14</f>
        <v/>
      </c>
      <c r="H24" s="8">
        <f>-H17*H14</f>
        <v/>
      </c>
      <c r="I24" s="8">
        <f>-I17*I14</f>
        <v/>
      </c>
      <c r="J24" s="8">
        <f>-J17*J14</f>
        <v/>
      </c>
      <c r="K24" s="8">
        <f>-K17*K14</f>
        <v/>
      </c>
      <c r="L24" s="8">
        <f>-L17*L14</f>
        <v/>
      </c>
    </row>
    <row r="25">
      <c r="B25" s="4" t="inlineStr">
        <is>
          <t>(+/-) Fondo de maniobra</t>
        </is>
      </c>
      <c r="C25" s="8">
        <f>(C17-Supuestos!$C$15)*Supuestos!$C$20</f>
        <v/>
      </c>
      <c r="D25" s="8">
        <f>(D17-C17)*Supuestos!$C$20</f>
        <v/>
      </c>
      <c r="E25" s="8">
        <f>(E17-D17)*Supuestos!$C$20</f>
        <v/>
      </c>
      <c r="F25" s="8">
        <f>(F17-E17)*Supuestos!$C$20</f>
        <v/>
      </c>
      <c r="G25" s="8">
        <f>(G17-F17)*Supuestos!$C$20</f>
        <v/>
      </c>
      <c r="H25" s="8">
        <f>(H17-G17)*Supuestos!$C$20</f>
        <v/>
      </c>
      <c r="I25" s="8">
        <f>(I17-H17)*Supuestos!$C$20</f>
        <v/>
      </c>
      <c r="J25" s="8">
        <f>(J17-I17)*Supuestos!$C$20</f>
        <v/>
      </c>
      <c r="K25" s="8">
        <f>(K17-J17)*Supuestos!$C$20</f>
        <v/>
      </c>
      <c r="L25" s="8">
        <f>(L17-K17)*Supuestos!$C$20</f>
        <v/>
      </c>
    </row>
    <row r="26">
      <c r="B26" s="12" t="inlineStr">
        <is>
          <t>FLUJO DE CAJA LIBRE PARA LA FIRMA (FCFF)</t>
        </is>
      </c>
      <c r="C26" s="18">
        <f>C20+C21+C22+C23+C24+C25</f>
        <v/>
      </c>
      <c r="D26" s="18">
        <f>D20+D21+D22+D23+D24+D25</f>
        <v/>
      </c>
      <c r="E26" s="18">
        <f>E20+E21+E22+E23+E24+E25</f>
        <v/>
      </c>
      <c r="F26" s="18">
        <f>F20+F21+F22+F23+F24+F25</f>
        <v/>
      </c>
      <c r="G26" s="18">
        <f>G20+G21+G22+G23+G24+G25</f>
        <v/>
      </c>
      <c r="H26" s="18">
        <f>H20+H21+H22+H23+H24+H25</f>
        <v/>
      </c>
      <c r="I26" s="18">
        <f>I20+I21+I22+I23+I24+I25</f>
        <v/>
      </c>
      <c r="J26" s="18">
        <f>J20+J21+J22+J23+J24+J25</f>
        <v/>
      </c>
      <c r="K26" s="18">
        <f>K20+K21+K22+K23+K24+K25</f>
        <v/>
      </c>
      <c r="L26" s="18">
        <f>L20+L21+L22+L23+L24+L25</f>
        <v/>
      </c>
    </row>
    <row r="27">
      <c r="B27" s="4" t="inlineStr">
        <is>
          <t>Factor de descuento</t>
        </is>
      </c>
      <c r="C27" s="19">
        <f>1/(1+$C$5)^1</f>
        <v/>
      </c>
      <c r="D27" s="19">
        <f>1/(1+$C$5)^2</f>
        <v/>
      </c>
      <c r="E27" s="19">
        <f>1/(1+$C$5)^3</f>
        <v/>
      </c>
      <c r="F27" s="19">
        <f>1/(1+$C$5)^4</f>
        <v/>
      </c>
      <c r="G27" s="19">
        <f>1/(1+$C$5)^5</f>
        <v/>
      </c>
      <c r="H27" s="19">
        <f>1/(1+$C$5)^6</f>
        <v/>
      </c>
      <c r="I27" s="19">
        <f>1/(1+$C$5)^7</f>
        <v/>
      </c>
      <c r="J27" s="19">
        <f>1/(1+$C$5)^8</f>
        <v/>
      </c>
      <c r="K27" s="19">
        <f>1/(1+$C$5)^9</f>
        <v/>
      </c>
      <c r="L27" s="19">
        <f>1/(1+$C$5)^10</f>
        <v/>
      </c>
    </row>
    <row r="28">
      <c r="B28" s="12" t="inlineStr">
        <is>
          <t>Valor actual del flujo</t>
        </is>
      </c>
      <c r="C28" s="18">
        <f>C26*C27</f>
        <v/>
      </c>
      <c r="D28" s="18">
        <f>D26*D27</f>
        <v/>
      </c>
      <c r="E28" s="18">
        <f>E26*E27</f>
        <v/>
      </c>
      <c r="F28" s="18">
        <f>F26*F27</f>
        <v/>
      </c>
      <c r="G28" s="18">
        <f>G26*G27</f>
        <v/>
      </c>
      <c r="H28" s="18">
        <f>H26*H27</f>
        <v/>
      </c>
      <c r="I28" s="18">
        <f>I26*I27</f>
        <v/>
      </c>
      <c r="J28" s="18">
        <f>J26*J27</f>
        <v/>
      </c>
      <c r="K28" s="18">
        <f>K26*K27</f>
        <v/>
      </c>
      <c r="L28" s="18">
        <f>L26*L27</f>
        <v/>
      </c>
    </row>
    <row r="30">
      <c r="B30" s="4" t="inlineStr">
        <is>
          <t>Suma del valor actual de los flujos explícitos</t>
        </is>
      </c>
      <c r="C30" s="8">
        <f>SUM(C28:L28)</f>
        <v/>
      </c>
    </row>
    <row r="31">
      <c r="B31" s="4" t="inlineStr">
        <is>
          <t>Valor terminal (Gordon)</t>
        </is>
      </c>
      <c r="C31" s="8">
        <f>L26*(1+$E$5)/($C$5-$E$5)</f>
        <v/>
      </c>
    </row>
    <row r="32">
      <c r="B32" s="4" t="inlineStr">
        <is>
          <t>Valor actual del valor terminal</t>
        </is>
      </c>
      <c r="C32" s="8">
        <f>C31*L27</f>
        <v/>
      </c>
    </row>
    <row r="33">
      <c r="B33" s="12" t="inlineStr">
        <is>
          <t>VALOR DE EMPRESA (EV)</t>
        </is>
      </c>
      <c r="C33" s="18">
        <f>C30+C32</f>
        <v/>
      </c>
    </row>
    <row r="34">
      <c r="B34" s="4" t="inlineStr">
        <is>
          <t>Peso del valor terminal sobre el EV</t>
        </is>
      </c>
      <c r="C34" s="9">
        <f>C32/C33</f>
        <v/>
      </c>
    </row>
    <row r="35">
      <c r="B35" s="4" t="inlineStr">
        <is>
          <t>(-) Deuda neta</t>
        </is>
      </c>
      <c r="C35" s="8">
        <f>-Supuestos!$C$25</f>
        <v/>
      </c>
    </row>
    <row r="36">
      <c r="B36" s="12" t="inlineStr">
        <is>
          <t>VALOR DE LOS FONDOS PROPIOS</t>
        </is>
      </c>
      <c r="C36" s="18">
        <f>C33+C35</f>
        <v/>
      </c>
    </row>
    <row r="37">
      <c r="B37" s="12" t="inlineStr">
        <is>
          <t>VALOR POR ACCIÓN — HOY (USD)</t>
        </is>
      </c>
      <c r="C37" s="13">
        <f>C36/Supuestos!$C$12</f>
        <v/>
      </c>
    </row>
    <row r="38">
      <c r="B38" s="12" t="inlineStr">
        <is>
          <t>Recorrido sobre el precio actual</t>
        </is>
      </c>
      <c r="C38" s="20">
        <f>C37/Supuestos!$C$8-1</f>
        <v/>
      </c>
    </row>
    <row r="39">
      <c r="B39" s="4" t="inlineStr">
        <is>
          <t>EV rodado a cierre de 2027</t>
        </is>
      </c>
      <c r="C39" s="8">
        <f>(C33*(1+$C$5)-C26)*(1+$C$5)-D26</f>
        <v/>
      </c>
    </row>
    <row r="40">
      <c r="B40" s="12" t="inlineStr">
        <is>
          <t>VALOR POR ACCIÓN — RODADO 24 MESES (USD)</t>
        </is>
      </c>
      <c r="C40" s="13">
        <f>(C39-Supuestos!$C$25)/Supuestos!$C$12</f>
        <v/>
      </c>
      <c r="D40" s="27" t="inlineStr">
        <is>
          <t>Sobre las mismas 4.200 M acciones. A 24 meses la recompra habrá retirado en torno a un 5-6% del capital, de modo que esta cifra está conservadoramente infravalorada en esa magnitud. No se ajusta para no introducir un supuesto de precio medio de recompra.</t>
        </is>
      </c>
    </row>
    <row r="41">
      <c r="B41" s="12" t="inlineStr">
        <is>
          <t>Recorrido rodado sobre la entrada de 75,50</t>
        </is>
      </c>
      <c r="C41" s="20">
        <f>C40/Supuestos!$C$9-1</f>
        <v/>
      </c>
    </row>
    <row r="43">
      <c r="B43" s="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5"/>
  <cols>
    <col width="48" customWidth="1" min="2" max="2"/>
    <col width="7.6640625" bestFit="1" customWidth="1" min="3" max="3"/>
    <col width="20.83203125" bestFit="1" customWidth="1" min="4" max="4"/>
    <col width="6.6640625" bestFit="1" customWidth="1" min="5" max="5"/>
    <col width="12" customWidth="1" min="6" max="6"/>
    <col width="6.6640625" bestFit="1" customWidth="1" min="7" max="7"/>
    <col width="12" customWidth="1" min="8" max="12"/>
  </cols>
  <sheetData>
    <row r="2" ht="17" customHeight="1">
      <c r="B2" s="23" t="inlineStr">
        <is>
          <t>Escenario base — Proyección 2026E-2035E (M USD)</t>
        </is>
      </c>
    </row>
    <row r="3">
      <c r="B3" s="1" t="n"/>
    </row>
    <row r="5">
      <c r="B5" s="12" t="inlineStr">
        <is>
          <t>WACC</t>
        </is>
      </c>
      <c r="C5" s="28">
        <f>Supuestos!$C$33</f>
        <v/>
      </c>
      <c r="D5" s="12" t="inlineStr">
        <is>
          <t>Crecimiento terminal (g)</t>
        </is>
      </c>
      <c r="E5" s="28">
        <f>Supuestos!$D$33</f>
        <v/>
      </c>
      <c r="F5" s="12" t="inlineStr">
        <is>
          <t>Peso en el valor razonable</t>
        </is>
      </c>
      <c r="G5" s="29">
        <f>Supuestos!$E$33</f>
        <v/>
      </c>
    </row>
    <row r="7">
      <c r="B7" s="3" t="inlineStr">
        <is>
          <t>Concepto</t>
        </is>
      </c>
      <c r="C7" s="10" t="inlineStr">
        <is>
          <t>2026E</t>
        </is>
      </c>
      <c r="D7" s="10" t="inlineStr">
        <is>
          <t>2027E</t>
        </is>
      </c>
      <c r="E7" s="10" t="inlineStr">
        <is>
          <t>2028E</t>
        </is>
      </c>
      <c r="F7" s="10" t="inlineStr">
        <is>
          <t>2029E</t>
        </is>
      </c>
      <c r="G7" s="10" t="inlineStr">
        <is>
          <t>2030E</t>
        </is>
      </c>
      <c r="H7" s="10" t="inlineStr">
        <is>
          <t>2031E</t>
        </is>
      </c>
      <c r="I7" s="10" t="inlineStr">
        <is>
          <t>2032E</t>
        </is>
      </c>
      <c r="J7" s="10" t="inlineStr">
        <is>
          <t>2033E</t>
        </is>
      </c>
      <c r="K7" s="10" t="inlineStr">
        <is>
          <t>2034E</t>
        </is>
      </c>
      <c r="L7" s="10" t="inlineStr">
        <is>
          <t>2035E</t>
        </is>
      </c>
    </row>
    <row r="8">
      <c r="B8" s="4" t="inlineStr">
        <is>
          <t>Crecimiento de ingresos</t>
        </is>
      </c>
      <c r="C8" s="7" t="n">
        <v>0.133</v>
      </c>
      <c r="D8" s="7" t="n">
        <v>0.115</v>
      </c>
      <c r="E8" s="7" t="n">
        <v>0.105</v>
      </c>
      <c r="F8" s="7" t="n">
        <v>0.095</v>
      </c>
      <c r="G8" s="7" t="n">
        <v>0.08500000000000001</v>
      </c>
      <c r="H8" s="7" t="n">
        <v>0.075</v>
      </c>
      <c r="I8" s="7" t="n">
        <v>0.065</v>
      </c>
      <c r="J8" s="7" t="n">
        <v>0.055</v>
      </c>
      <c r="K8" s="7" t="n">
        <v>0.05</v>
      </c>
      <c r="L8" s="7" t="n">
        <v>0.045</v>
      </c>
    </row>
    <row r="9">
      <c r="B9" s="4" t="inlineStr">
        <is>
          <t>Margen operativo</t>
        </is>
      </c>
      <c r="C9" s="7" t="n">
        <v>0.315</v>
      </c>
      <c r="D9" s="7" t="n">
        <v>0.335</v>
      </c>
      <c r="E9" s="7" t="n">
        <v>0.355</v>
      </c>
      <c r="F9" s="7" t="n">
        <v>0.37</v>
      </c>
      <c r="G9" s="7" t="n">
        <v>0.385</v>
      </c>
      <c r="H9" s="7" t="n">
        <v>0.395</v>
      </c>
      <c r="I9" s="7" t="n">
        <v>0.4</v>
      </c>
      <c r="J9" s="7" t="n">
        <v>0.405</v>
      </c>
      <c r="K9" s="7" t="n">
        <v>0.41</v>
      </c>
      <c r="L9" s="7" t="n">
        <v>0.41</v>
      </c>
    </row>
    <row r="10">
      <c r="B10" s="4" t="inlineStr">
        <is>
          <t>Tipo impositivo efectivo en caja</t>
        </is>
      </c>
      <c r="C10" s="7" t="n">
        <v>0.14</v>
      </c>
      <c r="D10" s="7" t="n">
        <v>0.15</v>
      </c>
      <c r="E10" s="7" t="n">
        <v>0.16</v>
      </c>
      <c r="F10" s="7" t="n">
        <v>0.16</v>
      </c>
      <c r="G10" s="7" t="n">
        <v>0.17</v>
      </c>
      <c r="H10" s="7" t="n">
        <v>0.17</v>
      </c>
      <c r="I10" s="7" t="n">
        <v>0.17</v>
      </c>
      <c r="J10" s="7" t="n">
        <v>0.18</v>
      </c>
      <c r="K10" s="7" t="n">
        <v>0.18</v>
      </c>
      <c r="L10" s="7" t="n">
        <v>0.18</v>
      </c>
    </row>
    <row r="11">
      <c r="B11" s="4" t="inlineStr">
        <is>
          <t>Amortizaciones no de contenido (% ingresos)</t>
        </is>
      </c>
      <c r="C11" s="7" t="n">
        <v>0.012</v>
      </c>
      <c r="D11" s="7" t="n">
        <v>0.012</v>
      </c>
      <c r="E11" s="7" t="n">
        <v>0.012</v>
      </c>
      <c r="F11" s="7" t="n">
        <v>0.012</v>
      </c>
      <c r="G11" s="7" t="n">
        <v>0.012</v>
      </c>
      <c r="H11" s="7" t="n">
        <v>0.012</v>
      </c>
      <c r="I11" s="7" t="n">
        <v>0.012</v>
      </c>
      <c r="J11" s="7" t="n">
        <v>0.012</v>
      </c>
      <c r="K11" s="7" t="n">
        <v>0.012</v>
      </c>
      <c r="L11" s="7" t="n">
        <v>0.012</v>
      </c>
    </row>
    <row r="12">
      <c r="B12" s="4" t="inlineStr">
        <is>
          <t>Capex (% ingresos)</t>
        </is>
      </c>
      <c r="C12" s="7" t="n">
        <v>0.015</v>
      </c>
      <c r="D12" s="7" t="n">
        <v>0.015</v>
      </c>
      <c r="E12" s="7" t="n">
        <v>0.015</v>
      </c>
      <c r="F12" s="7" t="n">
        <v>0.015</v>
      </c>
      <c r="G12" s="7" t="n">
        <v>0.015</v>
      </c>
      <c r="H12" s="7" t="n">
        <v>0.015</v>
      </c>
      <c r="I12" s="7" t="n">
        <v>0.015</v>
      </c>
      <c r="J12" s="7" t="n">
        <v>0.015</v>
      </c>
      <c r="K12" s="7" t="n">
        <v>0.015</v>
      </c>
      <c r="L12" s="7" t="n">
        <v>0.015</v>
      </c>
    </row>
    <row r="13">
      <c r="B13" s="4" t="inlineStr">
        <is>
          <t>Desfase contenido: gasto en caja − amortización (% ingresos)</t>
        </is>
      </c>
      <c r="C13" s="7" t="n">
        <v>0.066</v>
      </c>
      <c r="D13" s="7" t="n">
        <v>0.05</v>
      </c>
      <c r="E13" s="7" t="n">
        <v>0.04</v>
      </c>
      <c r="F13" s="7" t="n">
        <v>0.032</v>
      </c>
      <c r="G13" s="7" t="n">
        <v>0.026</v>
      </c>
      <c r="H13" s="7" t="n">
        <v>0.022</v>
      </c>
      <c r="I13" s="7" t="n">
        <v>0.018</v>
      </c>
      <c r="J13" s="7" t="n">
        <v>0.015</v>
      </c>
      <c r="K13" s="7" t="n">
        <v>0.012</v>
      </c>
      <c r="L13" s="7" t="n">
        <v>0.01</v>
      </c>
    </row>
    <row r="14">
      <c r="B14" s="4" t="inlineStr">
        <is>
          <t>Retribución en acciones (% ingresos)</t>
        </is>
      </c>
      <c r="C14" s="7" t="n">
        <v>0.022</v>
      </c>
      <c r="D14" s="7" t="n">
        <v>0.021</v>
      </c>
      <c r="E14" s="7" t="n">
        <v>0.02</v>
      </c>
      <c r="F14" s="7" t="n">
        <v>0.019</v>
      </c>
      <c r="G14" s="7" t="n">
        <v>0.018</v>
      </c>
      <c r="H14" s="7" t="n">
        <v>0.017</v>
      </c>
      <c r="I14" s="7" t="n">
        <v>0.016</v>
      </c>
      <c r="J14" s="7" t="n">
        <v>0.015</v>
      </c>
      <c r="K14" s="7" t="n">
        <v>0.015</v>
      </c>
      <c r="L14" s="7" t="n">
        <v>0.015</v>
      </c>
    </row>
    <row r="16">
      <c r="B16" s="3" t="inlineStr">
        <is>
          <t>CÁLCULO DEL FLUJO DE CAJA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B17" s="4" t="inlineStr">
        <is>
          <t>Ingresos</t>
        </is>
      </c>
      <c r="C17" s="8">
        <f>Supuestos!$C$15*(1+C8)</f>
        <v/>
      </c>
      <c r="D17" s="8">
        <f>C17*(1+D8)</f>
        <v/>
      </c>
      <c r="E17" s="8">
        <f>D17*(1+E8)</f>
        <v/>
      </c>
      <c r="F17" s="8">
        <f>E17*(1+F8)</f>
        <v/>
      </c>
      <c r="G17" s="8">
        <f>F17*(1+G8)</f>
        <v/>
      </c>
      <c r="H17" s="8">
        <f>G17*(1+H8)</f>
        <v/>
      </c>
      <c r="I17" s="8">
        <f>H17*(1+I8)</f>
        <v/>
      </c>
      <c r="J17" s="8">
        <f>I17*(1+J8)</f>
        <v/>
      </c>
      <c r="K17" s="8">
        <f>J17*(1+K8)</f>
        <v/>
      </c>
      <c r="L17" s="8">
        <f>K17*(1+L8)</f>
        <v/>
      </c>
    </row>
    <row r="18">
      <c r="B18" s="4" t="inlineStr">
        <is>
          <t>Resultado operativo (EBIT)</t>
        </is>
      </c>
      <c r="C18" s="8">
        <f>C17*C9</f>
        <v/>
      </c>
      <c r="D18" s="8">
        <f>D17*D9</f>
        <v/>
      </c>
      <c r="E18" s="8">
        <f>E17*E9</f>
        <v/>
      </c>
      <c r="F18" s="8">
        <f>F17*F9</f>
        <v/>
      </c>
      <c r="G18" s="8">
        <f>G17*G9</f>
        <v/>
      </c>
      <c r="H18" s="8">
        <f>H17*H9</f>
        <v/>
      </c>
      <c r="I18" s="8">
        <f>I17*I9</f>
        <v/>
      </c>
      <c r="J18" s="8">
        <f>J17*J9</f>
        <v/>
      </c>
      <c r="K18" s="8">
        <f>K17*K9</f>
        <v/>
      </c>
      <c r="L18" s="8">
        <f>L17*L9</f>
        <v/>
      </c>
    </row>
    <row r="19">
      <c r="B19" s="4" t="inlineStr">
        <is>
          <t>(-) Impuestos en caja</t>
        </is>
      </c>
      <c r="C19" s="8">
        <f>-C18*C10</f>
        <v/>
      </c>
      <c r="D19" s="8">
        <f>-D18*D10</f>
        <v/>
      </c>
      <c r="E19" s="8">
        <f>-E18*E10</f>
        <v/>
      </c>
      <c r="F19" s="8">
        <f>-F18*F10</f>
        <v/>
      </c>
      <c r="G19" s="8">
        <f>-G18*G10</f>
        <v/>
      </c>
      <c r="H19" s="8">
        <f>-H18*H10</f>
        <v/>
      </c>
      <c r="I19" s="8">
        <f>-I18*I10</f>
        <v/>
      </c>
      <c r="J19" s="8">
        <f>-J18*J10</f>
        <v/>
      </c>
      <c r="K19" s="8">
        <f>-K18*K10</f>
        <v/>
      </c>
      <c r="L19" s="8">
        <f>-L18*L10</f>
        <v/>
      </c>
    </row>
    <row r="20">
      <c r="B20" s="12" t="inlineStr">
        <is>
          <t>NOPAT</t>
        </is>
      </c>
      <c r="C20" s="18">
        <f>C18+C19</f>
        <v/>
      </c>
      <c r="D20" s="18">
        <f>D18+D19</f>
        <v/>
      </c>
      <c r="E20" s="18">
        <f>E18+E19</f>
        <v/>
      </c>
      <c r="F20" s="18">
        <f>F18+F19</f>
        <v/>
      </c>
      <c r="G20" s="18">
        <f>G18+G19</f>
        <v/>
      </c>
      <c r="H20" s="18">
        <f>H18+H19</f>
        <v/>
      </c>
      <c r="I20" s="18">
        <f>I18+I19</f>
        <v/>
      </c>
      <c r="J20" s="18">
        <f>J18+J19</f>
        <v/>
      </c>
      <c r="K20" s="18">
        <f>K18+K19</f>
        <v/>
      </c>
      <c r="L20" s="18">
        <f>L18+L19</f>
        <v/>
      </c>
    </row>
    <row r="21">
      <c r="B21" s="4" t="inlineStr">
        <is>
          <t>(+) Amortizaciones no de contenido</t>
        </is>
      </c>
      <c r="C21" s="8">
        <f>C17*C11</f>
        <v/>
      </c>
      <c r="D21" s="8">
        <f>D17*D11</f>
        <v/>
      </c>
      <c r="E21" s="8">
        <f>E17*E11</f>
        <v/>
      </c>
      <c r="F21" s="8">
        <f>F17*F11</f>
        <v/>
      </c>
      <c r="G21" s="8">
        <f>G17*G11</f>
        <v/>
      </c>
      <c r="H21" s="8">
        <f>H17*H11</f>
        <v/>
      </c>
      <c r="I21" s="8">
        <f>I17*I11</f>
        <v/>
      </c>
      <c r="J21" s="8">
        <f>J17*J11</f>
        <v/>
      </c>
      <c r="K21" s="8">
        <f>K17*K11</f>
        <v/>
      </c>
      <c r="L21" s="8">
        <f>L17*L11</f>
        <v/>
      </c>
    </row>
    <row r="22">
      <c r="B22" s="4" t="inlineStr">
        <is>
          <t>(-) Capex</t>
        </is>
      </c>
      <c r="C22" s="8">
        <f>-C17*C12</f>
        <v/>
      </c>
      <c r="D22" s="8">
        <f>-D17*D12</f>
        <v/>
      </c>
      <c r="E22" s="8">
        <f>-E17*E12</f>
        <v/>
      </c>
      <c r="F22" s="8">
        <f>-F17*F12</f>
        <v/>
      </c>
      <c r="G22" s="8">
        <f>-G17*G12</f>
        <v/>
      </c>
      <c r="H22" s="8">
        <f>-H17*H12</f>
        <v/>
      </c>
      <c r="I22" s="8">
        <f>-I17*I12</f>
        <v/>
      </c>
      <c r="J22" s="8">
        <f>-J17*J12</f>
        <v/>
      </c>
      <c r="K22" s="8">
        <f>-K17*K12</f>
        <v/>
      </c>
      <c r="L22" s="8">
        <f>-L17*L12</f>
        <v/>
      </c>
    </row>
    <row r="23">
      <c r="B23" s="4" t="inlineStr">
        <is>
          <t>(-) Inversión neta en contenido</t>
        </is>
      </c>
      <c r="C23" s="8">
        <f>-C17*C13</f>
        <v/>
      </c>
      <c r="D23" s="8">
        <f>-D17*D13</f>
        <v/>
      </c>
      <c r="E23" s="8">
        <f>-E17*E13</f>
        <v/>
      </c>
      <c r="F23" s="8">
        <f>-F17*F13</f>
        <v/>
      </c>
      <c r="G23" s="8">
        <f>-G17*G13</f>
        <v/>
      </c>
      <c r="H23" s="8">
        <f>-H17*H13</f>
        <v/>
      </c>
      <c r="I23" s="8">
        <f>-I17*I13</f>
        <v/>
      </c>
      <c r="J23" s="8">
        <f>-J17*J13</f>
        <v/>
      </c>
      <c r="K23" s="8">
        <f>-K17*K13</f>
        <v/>
      </c>
      <c r="L23" s="8">
        <f>-L17*L13</f>
        <v/>
      </c>
    </row>
    <row r="24">
      <c r="B24" s="4" t="inlineStr">
        <is>
          <t>(-) Retribución en acciones</t>
        </is>
      </c>
      <c r="C24" s="8">
        <f>-C17*C14</f>
        <v/>
      </c>
      <c r="D24" s="8">
        <f>-D17*D14</f>
        <v/>
      </c>
      <c r="E24" s="8">
        <f>-E17*E14</f>
        <v/>
      </c>
      <c r="F24" s="8">
        <f>-F17*F14</f>
        <v/>
      </c>
      <c r="G24" s="8">
        <f>-G17*G14</f>
        <v/>
      </c>
      <c r="H24" s="8">
        <f>-H17*H14</f>
        <v/>
      </c>
      <c r="I24" s="8">
        <f>-I17*I14</f>
        <v/>
      </c>
      <c r="J24" s="8">
        <f>-J17*J14</f>
        <v/>
      </c>
      <c r="K24" s="8">
        <f>-K17*K14</f>
        <v/>
      </c>
      <c r="L24" s="8">
        <f>-L17*L14</f>
        <v/>
      </c>
    </row>
    <row r="25">
      <c r="B25" s="4" t="inlineStr">
        <is>
          <t>(+/-) Fondo de maniobra</t>
        </is>
      </c>
      <c r="C25" s="8">
        <f>(C17-Supuestos!$C$15)*Supuestos!$C$20</f>
        <v/>
      </c>
      <c r="D25" s="8">
        <f>(D17-C17)*Supuestos!$C$20</f>
        <v/>
      </c>
      <c r="E25" s="8">
        <f>(E17-D17)*Supuestos!$C$20</f>
        <v/>
      </c>
      <c r="F25" s="8">
        <f>(F17-E17)*Supuestos!$C$20</f>
        <v/>
      </c>
      <c r="G25" s="8">
        <f>(G17-F17)*Supuestos!$C$20</f>
        <v/>
      </c>
      <c r="H25" s="8">
        <f>(H17-G17)*Supuestos!$C$20</f>
        <v/>
      </c>
      <c r="I25" s="8">
        <f>(I17-H17)*Supuestos!$C$20</f>
        <v/>
      </c>
      <c r="J25" s="8">
        <f>(J17-I17)*Supuestos!$C$20</f>
        <v/>
      </c>
      <c r="K25" s="8">
        <f>(K17-J17)*Supuestos!$C$20</f>
        <v/>
      </c>
      <c r="L25" s="8">
        <f>(L17-K17)*Supuestos!$C$20</f>
        <v/>
      </c>
    </row>
    <row r="26">
      <c r="B26" s="12" t="inlineStr">
        <is>
          <t>FLUJO DE CAJA LIBRE PARA LA FIRMA (FCFF)</t>
        </is>
      </c>
      <c r="C26" s="18">
        <f>C20+C21+C22+C23+C24+C25</f>
        <v/>
      </c>
      <c r="D26" s="18">
        <f>D20+D21+D22+D23+D24+D25</f>
        <v/>
      </c>
      <c r="E26" s="18">
        <f>E20+E21+E22+E23+E24+E25</f>
        <v/>
      </c>
      <c r="F26" s="18">
        <f>F20+F21+F22+F23+F24+F25</f>
        <v/>
      </c>
      <c r="G26" s="18">
        <f>G20+G21+G22+G23+G24+G25</f>
        <v/>
      </c>
      <c r="H26" s="18">
        <f>H20+H21+H22+H23+H24+H25</f>
        <v/>
      </c>
      <c r="I26" s="18">
        <f>I20+I21+I22+I23+I24+I25</f>
        <v/>
      </c>
      <c r="J26" s="18">
        <f>J20+J21+J22+J23+J24+J25</f>
        <v/>
      </c>
      <c r="K26" s="18">
        <f>K20+K21+K22+K23+K24+K25</f>
        <v/>
      </c>
      <c r="L26" s="18">
        <f>L20+L21+L22+L23+L24+L25</f>
        <v/>
      </c>
    </row>
    <row r="27">
      <c r="B27" s="4" t="inlineStr">
        <is>
          <t>Factor de descuento</t>
        </is>
      </c>
      <c r="C27" s="19">
        <f>1/(1+$C$5)^1</f>
        <v/>
      </c>
      <c r="D27" s="19">
        <f>1/(1+$C$5)^2</f>
        <v/>
      </c>
      <c r="E27" s="19">
        <f>1/(1+$C$5)^3</f>
        <v/>
      </c>
      <c r="F27" s="19">
        <f>1/(1+$C$5)^4</f>
        <v/>
      </c>
      <c r="G27" s="19">
        <f>1/(1+$C$5)^5</f>
        <v/>
      </c>
      <c r="H27" s="19">
        <f>1/(1+$C$5)^6</f>
        <v/>
      </c>
      <c r="I27" s="19">
        <f>1/(1+$C$5)^7</f>
        <v/>
      </c>
      <c r="J27" s="19">
        <f>1/(1+$C$5)^8</f>
        <v/>
      </c>
      <c r="K27" s="19">
        <f>1/(1+$C$5)^9</f>
        <v/>
      </c>
      <c r="L27" s="19">
        <f>1/(1+$C$5)^10</f>
        <v/>
      </c>
    </row>
    <row r="28">
      <c r="B28" s="12" t="inlineStr">
        <is>
          <t>Valor actual del flujo</t>
        </is>
      </c>
      <c r="C28" s="18">
        <f>C26*C27</f>
        <v/>
      </c>
      <c r="D28" s="18">
        <f>D26*D27</f>
        <v/>
      </c>
      <c r="E28" s="18">
        <f>E26*E27</f>
        <v/>
      </c>
      <c r="F28" s="18">
        <f>F26*F27</f>
        <v/>
      </c>
      <c r="G28" s="18">
        <f>G26*G27</f>
        <v/>
      </c>
      <c r="H28" s="18">
        <f>H26*H27</f>
        <v/>
      </c>
      <c r="I28" s="18">
        <f>I26*I27</f>
        <v/>
      </c>
      <c r="J28" s="18">
        <f>J26*J27</f>
        <v/>
      </c>
      <c r="K28" s="18">
        <f>K26*K27</f>
        <v/>
      </c>
      <c r="L28" s="18">
        <f>L26*L27</f>
        <v/>
      </c>
    </row>
    <row r="30">
      <c r="B30" s="4" t="inlineStr">
        <is>
          <t>Suma del valor actual de los flujos explícitos</t>
        </is>
      </c>
      <c r="C30" s="8">
        <f>SUM(C28:L28)</f>
        <v/>
      </c>
    </row>
    <row r="31">
      <c r="B31" s="4" t="inlineStr">
        <is>
          <t>Valor terminal (Gordon)</t>
        </is>
      </c>
      <c r="C31" s="8">
        <f>L26*(1+$E$5)/($C$5-$E$5)</f>
        <v/>
      </c>
    </row>
    <row r="32">
      <c r="B32" s="4" t="inlineStr">
        <is>
          <t>Valor actual del valor terminal</t>
        </is>
      </c>
      <c r="C32" s="8">
        <f>C31*L27</f>
        <v/>
      </c>
    </row>
    <row r="33">
      <c r="B33" s="12" t="inlineStr">
        <is>
          <t>VALOR DE EMPRESA (EV)</t>
        </is>
      </c>
      <c r="C33" s="18">
        <f>C30+C32</f>
        <v/>
      </c>
    </row>
    <row r="34">
      <c r="B34" s="4" t="inlineStr">
        <is>
          <t>Peso del valor terminal sobre el EV</t>
        </is>
      </c>
      <c r="C34" s="9">
        <f>C32/C33</f>
        <v/>
      </c>
    </row>
    <row r="35">
      <c r="B35" s="4" t="inlineStr">
        <is>
          <t>(-) Deuda neta</t>
        </is>
      </c>
      <c r="C35" s="8">
        <f>-Supuestos!$C$25</f>
        <v/>
      </c>
    </row>
    <row r="36">
      <c r="B36" s="12" t="inlineStr">
        <is>
          <t>VALOR DE LOS FONDOS PROPIOS</t>
        </is>
      </c>
      <c r="C36" s="18">
        <f>C33+C35</f>
        <v/>
      </c>
    </row>
    <row r="37">
      <c r="B37" s="12" t="inlineStr">
        <is>
          <t>VALOR POR ACCIÓN — HOY (USD)</t>
        </is>
      </c>
      <c r="C37" s="13">
        <f>C36/Supuestos!$C$12</f>
        <v/>
      </c>
    </row>
    <row r="38">
      <c r="B38" s="12" t="inlineStr">
        <is>
          <t>Recorrido sobre el precio actual</t>
        </is>
      </c>
      <c r="C38" s="20">
        <f>C37/Supuestos!$C$8-1</f>
        <v/>
      </c>
    </row>
    <row r="39">
      <c r="B39" s="4" t="inlineStr">
        <is>
          <t>EV rodado a cierre de 2027</t>
        </is>
      </c>
      <c r="C39" s="8">
        <f>(C33*(1+$C$5)-C26)*(1+$C$5)-D26</f>
        <v/>
      </c>
    </row>
    <row r="40">
      <c r="B40" s="12" t="inlineStr">
        <is>
          <t>VALOR POR ACCIÓN — RODADO 24 MESES (USD)</t>
        </is>
      </c>
      <c r="C40" s="13">
        <f>(C39-Supuestos!$C$25)/Supuestos!$C$12</f>
        <v/>
      </c>
      <c r="D40" s="27" t="inlineStr">
        <is>
          <t>Sobre las mismas 4.200 M acciones. A 24 meses la recompra habrá retirado en torno a un 5-6% del capital, de modo que esta cifra está conservadoramente infravalorada en esa magnitud. No se ajusta para no introducir un supuesto de precio medio de recompra.</t>
        </is>
      </c>
    </row>
    <row r="41">
      <c r="B41" s="12" t="inlineStr">
        <is>
          <t>Recorrido rodado sobre la entrada de 75,50</t>
        </is>
      </c>
      <c r="C41" s="20">
        <f>C40/Supuestos!$C$9-1</f>
        <v/>
      </c>
    </row>
    <row r="43">
      <c r="B43" s="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zoomScaleNormal="100" workbookViewId="0">
      <selection activeCell="E33" sqref="E33"/>
    </sheetView>
  </sheetViews>
  <sheetFormatPr baseColWidth="10" defaultColWidth="8.6640625" defaultRowHeight="15"/>
  <cols>
    <col width="48" customWidth="1" min="2" max="2"/>
    <col width="7.6640625" bestFit="1" customWidth="1" min="3" max="3"/>
    <col width="20.83203125" bestFit="1" customWidth="1" min="4" max="4"/>
    <col width="6.6640625" bestFit="1" customWidth="1" min="5" max="5"/>
    <col width="23.33203125" bestFit="1" customWidth="1" min="6" max="6"/>
    <col width="6.6640625" bestFit="1" customWidth="1" min="7" max="7"/>
    <col width="12" customWidth="1" min="8" max="12"/>
  </cols>
  <sheetData>
    <row r="2" ht="17" customHeight="1">
      <c r="B2" s="23" t="inlineStr">
        <is>
          <t>Escenario optimista — Proyección 2026E-2035E (M USD)</t>
        </is>
      </c>
    </row>
    <row r="3">
      <c r="B3" s="1" t="n"/>
    </row>
    <row r="5">
      <c r="B5" s="12" t="inlineStr">
        <is>
          <t>WACC</t>
        </is>
      </c>
      <c r="C5" s="28">
        <f>Supuestos!$C$34</f>
        <v/>
      </c>
      <c r="D5" s="12" t="inlineStr">
        <is>
          <t>Crecimiento terminal (g)</t>
        </is>
      </c>
      <c r="E5" s="28">
        <f>Supuestos!$D$34</f>
        <v/>
      </c>
      <c r="F5" s="12" t="inlineStr">
        <is>
          <t>Peso en el valor razonable</t>
        </is>
      </c>
      <c r="G5" s="29">
        <f>Supuestos!$E$34</f>
        <v/>
      </c>
    </row>
    <row r="7">
      <c r="B7" s="3" t="inlineStr">
        <is>
          <t>Concepto</t>
        </is>
      </c>
      <c r="C7" s="10" t="inlineStr">
        <is>
          <t>2026E</t>
        </is>
      </c>
      <c r="D7" s="10" t="inlineStr">
        <is>
          <t>2027E</t>
        </is>
      </c>
      <c r="E7" s="10" t="inlineStr">
        <is>
          <t>2028E</t>
        </is>
      </c>
      <c r="F7" s="10" t="inlineStr">
        <is>
          <t>2029E</t>
        </is>
      </c>
      <c r="G7" s="10" t="inlineStr">
        <is>
          <t>2030E</t>
        </is>
      </c>
      <c r="H7" s="10" t="inlineStr">
        <is>
          <t>2031E</t>
        </is>
      </c>
      <c r="I7" s="10" t="inlineStr">
        <is>
          <t>2032E</t>
        </is>
      </c>
      <c r="J7" s="10" t="inlineStr">
        <is>
          <t>2033E</t>
        </is>
      </c>
      <c r="K7" s="10" t="inlineStr">
        <is>
          <t>2034E</t>
        </is>
      </c>
      <c r="L7" s="10" t="inlineStr">
        <is>
          <t>2035E</t>
        </is>
      </c>
    </row>
    <row r="8">
      <c r="B8" s="4" t="inlineStr">
        <is>
          <t>Crecimiento de ingresos</t>
        </is>
      </c>
      <c r="C8" s="7" t="n">
        <v>0.135</v>
      </c>
      <c r="D8" s="7" t="n">
        <v>0.135</v>
      </c>
      <c r="E8" s="7" t="n">
        <v>0.128</v>
      </c>
      <c r="F8" s="7" t="n">
        <v>0.118</v>
      </c>
      <c r="G8" s="7" t="n">
        <v>0.108</v>
      </c>
      <c r="H8" s="7" t="n">
        <v>0.098</v>
      </c>
      <c r="I8" s="7" t="n">
        <v>0.08799999999999999</v>
      </c>
      <c r="J8" s="7" t="n">
        <v>0.078</v>
      </c>
      <c r="K8" s="7" t="n">
        <v>0.068</v>
      </c>
      <c r="L8" s="7" t="n">
        <v>0.06</v>
      </c>
    </row>
    <row r="9">
      <c r="B9" s="4" t="inlineStr">
        <is>
          <t>Margen operativo</t>
        </is>
      </c>
      <c r="C9" s="7" t="n">
        <v>0.318</v>
      </c>
      <c r="D9" s="7" t="n">
        <v>0.345</v>
      </c>
      <c r="E9" s="7" t="n">
        <v>0.37</v>
      </c>
      <c r="F9" s="7" t="n">
        <v>0.39</v>
      </c>
      <c r="G9" s="7" t="n">
        <v>0.405</v>
      </c>
      <c r="H9" s="7" t="n">
        <v>0.418</v>
      </c>
      <c r="I9" s="7" t="n">
        <v>0.428</v>
      </c>
      <c r="J9" s="7" t="n">
        <v>0.435</v>
      </c>
      <c r="K9" s="7" t="n">
        <v>0.44</v>
      </c>
      <c r="L9" s="7" t="n">
        <v>0.443</v>
      </c>
    </row>
    <row r="10">
      <c r="B10" s="4" t="inlineStr">
        <is>
          <t>Tipo impositivo efectivo en caja</t>
        </is>
      </c>
      <c r="C10" s="7" t="n">
        <v>0.14</v>
      </c>
      <c r="D10" s="7" t="n">
        <v>0.14</v>
      </c>
      <c r="E10" s="7" t="n">
        <v>0.15</v>
      </c>
      <c r="F10" s="7" t="n">
        <v>0.16</v>
      </c>
      <c r="G10" s="7" t="n">
        <v>0.16</v>
      </c>
      <c r="H10" s="7" t="n">
        <v>0.16</v>
      </c>
      <c r="I10" s="7" t="n">
        <v>0.17</v>
      </c>
      <c r="J10" s="7" t="n">
        <v>0.17</v>
      </c>
      <c r="K10" s="7" t="n">
        <v>0.17</v>
      </c>
      <c r="L10" s="7" t="n">
        <v>0.17</v>
      </c>
    </row>
    <row r="11">
      <c r="B11" s="4" t="inlineStr">
        <is>
          <t>Amortizaciones no de contenido (% ingresos)</t>
        </is>
      </c>
      <c r="C11" s="7" t="n">
        <v>0.012</v>
      </c>
      <c r="D11" s="7" t="n">
        <v>0.012</v>
      </c>
      <c r="E11" s="7" t="n">
        <v>0.012</v>
      </c>
      <c r="F11" s="7" t="n">
        <v>0.012</v>
      </c>
      <c r="G11" s="7" t="n">
        <v>0.012</v>
      </c>
      <c r="H11" s="7" t="n">
        <v>0.012</v>
      </c>
      <c r="I11" s="7" t="n">
        <v>0.012</v>
      </c>
      <c r="J11" s="7" t="n">
        <v>0.012</v>
      </c>
      <c r="K11" s="7" t="n">
        <v>0.012</v>
      </c>
      <c r="L11" s="7" t="n">
        <v>0.012</v>
      </c>
    </row>
    <row r="12">
      <c r="B12" s="4" t="inlineStr">
        <is>
          <t>Capex (% ingresos)</t>
        </is>
      </c>
      <c r="C12" s="7" t="n">
        <v>0.014</v>
      </c>
      <c r="D12" s="7" t="n">
        <v>0.014</v>
      </c>
      <c r="E12" s="7" t="n">
        <v>0.014</v>
      </c>
      <c r="F12" s="7" t="n">
        <v>0.014</v>
      </c>
      <c r="G12" s="7" t="n">
        <v>0.014</v>
      </c>
      <c r="H12" s="7" t="n">
        <v>0.014</v>
      </c>
      <c r="I12" s="7" t="n">
        <v>0.014</v>
      </c>
      <c r="J12" s="7" t="n">
        <v>0.014</v>
      </c>
      <c r="K12" s="7" t="n">
        <v>0.014</v>
      </c>
      <c r="L12" s="7" t="n">
        <v>0.014</v>
      </c>
    </row>
    <row r="13">
      <c r="B13" s="4" t="inlineStr">
        <is>
          <t>Desfase contenido: gasto en caja − amortización (% ingresos)</t>
        </is>
      </c>
      <c r="C13" s="7" t="n">
        <v>0.064</v>
      </c>
      <c r="D13" s="7" t="n">
        <v>0.044</v>
      </c>
      <c r="E13" s="7" t="n">
        <v>0.032</v>
      </c>
      <c r="F13" s="7" t="n">
        <v>0.022</v>
      </c>
      <c r="G13" s="7" t="n">
        <v>0.016</v>
      </c>
      <c r="H13" s="7" t="n">
        <v>0.012</v>
      </c>
      <c r="I13" s="7" t="n">
        <v>0.01</v>
      </c>
      <c r="J13" s="7" t="n">
        <v>0.008</v>
      </c>
      <c r="K13" s="7" t="n">
        <v>0.006</v>
      </c>
      <c r="L13" s="7" t="n">
        <v>0.005</v>
      </c>
    </row>
    <row r="14">
      <c r="B14" s="4" t="inlineStr">
        <is>
          <t>Retribución en acciones (% ingresos)</t>
        </is>
      </c>
      <c r="C14" s="7" t="n">
        <v>0.021</v>
      </c>
      <c r="D14" s="7" t="n">
        <v>0.02</v>
      </c>
      <c r="E14" s="7" t="n">
        <v>0.018</v>
      </c>
      <c r="F14" s="7" t="n">
        <v>0.017</v>
      </c>
      <c r="G14" s="7" t="n">
        <v>0.016</v>
      </c>
      <c r="H14" s="7" t="n">
        <v>0.015</v>
      </c>
      <c r="I14" s="7" t="n">
        <v>0.014</v>
      </c>
      <c r="J14" s="7" t="n">
        <v>0.013</v>
      </c>
      <c r="K14" s="7" t="n">
        <v>0.013</v>
      </c>
      <c r="L14" s="7" t="n">
        <v>0.013</v>
      </c>
    </row>
    <row r="16">
      <c r="B16" s="3" t="inlineStr">
        <is>
          <t>CÁLCULO DEL FLUJO DE CAJA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B17" s="4" t="inlineStr">
        <is>
          <t>Ingresos</t>
        </is>
      </c>
      <c r="C17" s="8">
        <f>Supuestos!$C$15*(1+C8)</f>
        <v/>
      </c>
      <c r="D17" s="8">
        <f>C17*(1+D8)</f>
        <v/>
      </c>
      <c r="E17" s="8">
        <f>D17*(1+E8)</f>
        <v/>
      </c>
      <c r="F17" s="8">
        <f>E17*(1+F8)</f>
        <v/>
      </c>
      <c r="G17" s="8">
        <f>F17*(1+G8)</f>
        <v/>
      </c>
      <c r="H17" s="8">
        <f>G17*(1+H8)</f>
        <v/>
      </c>
      <c r="I17" s="8">
        <f>H17*(1+I8)</f>
        <v/>
      </c>
      <c r="J17" s="8">
        <f>I17*(1+J8)</f>
        <v/>
      </c>
      <c r="K17" s="8">
        <f>J17*(1+K8)</f>
        <v/>
      </c>
      <c r="L17" s="8">
        <f>K17*(1+L8)</f>
        <v/>
      </c>
    </row>
    <row r="18">
      <c r="B18" s="4" t="inlineStr">
        <is>
          <t>Resultado operativo (EBIT)</t>
        </is>
      </c>
      <c r="C18" s="8">
        <f>C17*C9</f>
        <v/>
      </c>
      <c r="D18" s="8">
        <f>D17*D9</f>
        <v/>
      </c>
      <c r="E18" s="8">
        <f>E17*E9</f>
        <v/>
      </c>
      <c r="F18" s="8">
        <f>F17*F9</f>
        <v/>
      </c>
      <c r="G18" s="8">
        <f>G17*G9</f>
        <v/>
      </c>
      <c r="H18" s="8">
        <f>H17*H9</f>
        <v/>
      </c>
      <c r="I18" s="8">
        <f>I17*I9</f>
        <v/>
      </c>
      <c r="J18" s="8">
        <f>J17*J9</f>
        <v/>
      </c>
      <c r="K18" s="8">
        <f>K17*K9</f>
        <v/>
      </c>
      <c r="L18" s="8">
        <f>L17*L9</f>
        <v/>
      </c>
    </row>
    <row r="19">
      <c r="B19" s="4" t="inlineStr">
        <is>
          <t>(-) Impuestos en caja</t>
        </is>
      </c>
      <c r="C19" s="8">
        <f>-C18*C10</f>
        <v/>
      </c>
      <c r="D19" s="8">
        <f>-D18*D10</f>
        <v/>
      </c>
      <c r="E19" s="8">
        <f>-E18*E10</f>
        <v/>
      </c>
      <c r="F19" s="8">
        <f>-F18*F10</f>
        <v/>
      </c>
      <c r="G19" s="8">
        <f>-G18*G10</f>
        <v/>
      </c>
      <c r="H19" s="8">
        <f>-H18*H10</f>
        <v/>
      </c>
      <c r="I19" s="8">
        <f>-I18*I10</f>
        <v/>
      </c>
      <c r="J19" s="8">
        <f>-J18*J10</f>
        <v/>
      </c>
      <c r="K19" s="8">
        <f>-K18*K10</f>
        <v/>
      </c>
      <c r="L19" s="8">
        <f>-L18*L10</f>
        <v/>
      </c>
    </row>
    <row r="20">
      <c r="B20" s="12" t="inlineStr">
        <is>
          <t>NOPAT</t>
        </is>
      </c>
      <c r="C20" s="18">
        <f>C18+C19</f>
        <v/>
      </c>
      <c r="D20" s="18">
        <f>D18+D19</f>
        <v/>
      </c>
      <c r="E20" s="18">
        <f>E18+E19</f>
        <v/>
      </c>
      <c r="F20" s="18">
        <f>F18+F19</f>
        <v/>
      </c>
      <c r="G20" s="18">
        <f>G18+G19</f>
        <v/>
      </c>
      <c r="H20" s="18">
        <f>H18+H19</f>
        <v/>
      </c>
      <c r="I20" s="18">
        <f>I18+I19</f>
        <v/>
      </c>
      <c r="J20" s="18">
        <f>J18+J19</f>
        <v/>
      </c>
      <c r="K20" s="18">
        <f>K18+K19</f>
        <v/>
      </c>
      <c r="L20" s="18">
        <f>L18+L19</f>
        <v/>
      </c>
    </row>
    <row r="21">
      <c r="B21" s="4" t="inlineStr">
        <is>
          <t>(+) Amortizaciones no de contenido</t>
        </is>
      </c>
      <c r="C21" s="8">
        <f>C17*C11</f>
        <v/>
      </c>
      <c r="D21" s="8">
        <f>D17*D11</f>
        <v/>
      </c>
      <c r="E21" s="8">
        <f>E17*E11</f>
        <v/>
      </c>
      <c r="F21" s="8">
        <f>F17*F11</f>
        <v/>
      </c>
      <c r="G21" s="8">
        <f>G17*G11</f>
        <v/>
      </c>
      <c r="H21" s="8">
        <f>H17*H11</f>
        <v/>
      </c>
      <c r="I21" s="8">
        <f>I17*I11</f>
        <v/>
      </c>
      <c r="J21" s="8">
        <f>J17*J11</f>
        <v/>
      </c>
      <c r="K21" s="8">
        <f>K17*K11</f>
        <v/>
      </c>
      <c r="L21" s="8">
        <f>L17*L11</f>
        <v/>
      </c>
    </row>
    <row r="22">
      <c r="B22" s="4" t="inlineStr">
        <is>
          <t>(-) Capex</t>
        </is>
      </c>
      <c r="C22" s="8">
        <f>-C17*C12</f>
        <v/>
      </c>
      <c r="D22" s="8">
        <f>-D17*D12</f>
        <v/>
      </c>
      <c r="E22" s="8">
        <f>-E17*E12</f>
        <v/>
      </c>
      <c r="F22" s="8">
        <f>-F17*F12</f>
        <v/>
      </c>
      <c r="G22" s="8">
        <f>-G17*G12</f>
        <v/>
      </c>
      <c r="H22" s="8">
        <f>-H17*H12</f>
        <v/>
      </c>
      <c r="I22" s="8">
        <f>-I17*I12</f>
        <v/>
      </c>
      <c r="J22" s="8">
        <f>-J17*J12</f>
        <v/>
      </c>
      <c r="K22" s="8">
        <f>-K17*K12</f>
        <v/>
      </c>
      <c r="L22" s="8">
        <f>-L17*L12</f>
        <v/>
      </c>
    </row>
    <row r="23">
      <c r="B23" s="4" t="inlineStr">
        <is>
          <t>(-) Inversión neta en contenido</t>
        </is>
      </c>
      <c r="C23" s="8">
        <f>-C17*C13</f>
        <v/>
      </c>
      <c r="D23" s="8">
        <f>-D17*D13</f>
        <v/>
      </c>
      <c r="E23" s="8">
        <f>-E17*E13</f>
        <v/>
      </c>
      <c r="F23" s="8">
        <f>-F17*F13</f>
        <v/>
      </c>
      <c r="G23" s="8">
        <f>-G17*G13</f>
        <v/>
      </c>
      <c r="H23" s="8">
        <f>-H17*H13</f>
        <v/>
      </c>
      <c r="I23" s="8">
        <f>-I17*I13</f>
        <v/>
      </c>
      <c r="J23" s="8">
        <f>-J17*J13</f>
        <v/>
      </c>
      <c r="K23" s="8">
        <f>-K17*K13</f>
        <v/>
      </c>
      <c r="L23" s="8">
        <f>-L17*L13</f>
        <v/>
      </c>
    </row>
    <row r="24">
      <c r="B24" s="4" t="inlineStr">
        <is>
          <t>(-) Retribución en acciones</t>
        </is>
      </c>
      <c r="C24" s="8">
        <f>-C17*C14</f>
        <v/>
      </c>
      <c r="D24" s="8">
        <f>-D17*D14</f>
        <v/>
      </c>
      <c r="E24" s="8">
        <f>-E17*E14</f>
        <v/>
      </c>
      <c r="F24" s="8">
        <f>-F17*F14</f>
        <v/>
      </c>
      <c r="G24" s="8">
        <f>-G17*G14</f>
        <v/>
      </c>
      <c r="H24" s="8">
        <f>-H17*H14</f>
        <v/>
      </c>
      <c r="I24" s="8">
        <f>-I17*I14</f>
        <v/>
      </c>
      <c r="J24" s="8">
        <f>-J17*J14</f>
        <v/>
      </c>
      <c r="K24" s="8">
        <f>-K17*K14</f>
        <v/>
      </c>
      <c r="L24" s="8">
        <f>-L17*L14</f>
        <v/>
      </c>
    </row>
    <row r="25">
      <c r="B25" s="4" t="inlineStr">
        <is>
          <t>(+/-) Fondo de maniobra</t>
        </is>
      </c>
      <c r="C25" s="8">
        <f>(C17-Supuestos!$C$15)*Supuestos!$C$20</f>
        <v/>
      </c>
      <c r="D25" s="8">
        <f>(D17-C17)*Supuestos!$C$20</f>
        <v/>
      </c>
      <c r="E25" s="8">
        <f>(E17-D17)*Supuestos!$C$20</f>
        <v/>
      </c>
      <c r="F25" s="8">
        <f>(F17-E17)*Supuestos!$C$20</f>
        <v/>
      </c>
      <c r="G25" s="8">
        <f>(G17-F17)*Supuestos!$C$20</f>
        <v/>
      </c>
      <c r="H25" s="8">
        <f>(H17-G17)*Supuestos!$C$20</f>
        <v/>
      </c>
      <c r="I25" s="8">
        <f>(I17-H17)*Supuestos!$C$20</f>
        <v/>
      </c>
      <c r="J25" s="8">
        <f>(J17-I17)*Supuestos!$C$20</f>
        <v/>
      </c>
      <c r="K25" s="8">
        <f>(K17-J17)*Supuestos!$C$20</f>
        <v/>
      </c>
      <c r="L25" s="8">
        <f>(L17-K17)*Supuestos!$C$20</f>
        <v/>
      </c>
    </row>
    <row r="26">
      <c r="B26" s="12" t="inlineStr">
        <is>
          <t>FLUJO DE CAJA LIBRE PARA LA FIRMA (FCFF)</t>
        </is>
      </c>
      <c r="C26" s="18">
        <f>C20+C21+C22+C23+C24+C25</f>
        <v/>
      </c>
      <c r="D26" s="18">
        <f>D20+D21+D22+D23+D24+D25</f>
        <v/>
      </c>
      <c r="E26" s="18">
        <f>E20+E21+E22+E23+E24+E25</f>
        <v/>
      </c>
      <c r="F26" s="18">
        <f>F20+F21+F22+F23+F24+F25</f>
        <v/>
      </c>
      <c r="G26" s="18">
        <f>G20+G21+G22+G23+G24+G25</f>
        <v/>
      </c>
      <c r="H26" s="18">
        <f>H20+H21+H22+H23+H24+H25</f>
        <v/>
      </c>
      <c r="I26" s="18">
        <f>I20+I21+I22+I23+I24+I25</f>
        <v/>
      </c>
      <c r="J26" s="18">
        <f>J20+J21+J22+J23+J24+J25</f>
        <v/>
      </c>
      <c r="K26" s="18">
        <f>K20+K21+K22+K23+K24+K25</f>
        <v/>
      </c>
      <c r="L26" s="18">
        <f>L20+L21+L22+L23+L24+L25</f>
        <v/>
      </c>
    </row>
    <row r="27">
      <c r="B27" s="4" t="inlineStr">
        <is>
          <t>Factor de descuento</t>
        </is>
      </c>
      <c r="C27" s="19">
        <f>1/(1+$C$5)^1</f>
        <v/>
      </c>
      <c r="D27" s="19">
        <f>1/(1+$C$5)^2</f>
        <v/>
      </c>
      <c r="E27" s="19">
        <f>1/(1+$C$5)^3</f>
        <v/>
      </c>
      <c r="F27" s="19">
        <f>1/(1+$C$5)^4</f>
        <v/>
      </c>
      <c r="G27" s="19">
        <f>1/(1+$C$5)^5</f>
        <v/>
      </c>
      <c r="H27" s="19">
        <f>1/(1+$C$5)^6</f>
        <v/>
      </c>
      <c r="I27" s="19">
        <f>1/(1+$C$5)^7</f>
        <v/>
      </c>
      <c r="J27" s="19">
        <f>1/(1+$C$5)^8</f>
        <v/>
      </c>
      <c r="K27" s="19">
        <f>1/(1+$C$5)^9</f>
        <v/>
      </c>
      <c r="L27" s="19">
        <f>1/(1+$C$5)^10</f>
        <v/>
      </c>
    </row>
    <row r="28">
      <c r="B28" s="12" t="inlineStr">
        <is>
          <t>Valor actual del flujo</t>
        </is>
      </c>
      <c r="C28" s="18">
        <f>C26*C27</f>
        <v/>
      </c>
      <c r="D28" s="18">
        <f>D26*D27</f>
        <v/>
      </c>
      <c r="E28" s="18">
        <f>E26*E27</f>
        <v/>
      </c>
      <c r="F28" s="18">
        <f>F26*F27</f>
        <v/>
      </c>
      <c r="G28" s="18">
        <f>G26*G27</f>
        <v/>
      </c>
      <c r="H28" s="18">
        <f>H26*H27</f>
        <v/>
      </c>
      <c r="I28" s="18">
        <f>I26*I27</f>
        <v/>
      </c>
      <c r="J28" s="18">
        <f>J26*J27</f>
        <v/>
      </c>
      <c r="K28" s="18">
        <f>K26*K27</f>
        <v/>
      </c>
      <c r="L28" s="18">
        <f>L26*L27</f>
        <v/>
      </c>
    </row>
    <row r="30">
      <c r="B30" s="4" t="inlineStr">
        <is>
          <t>Suma del valor actual de los flujos explícitos</t>
        </is>
      </c>
      <c r="C30" s="8">
        <f>SUM(C28:L28)</f>
        <v/>
      </c>
    </row>
    <row r="31">
      <c r="B31" s="4" t="inlineStr">
        <is>
          <t>Valor terminal (Gordon)</t>
        </is>
      </c>
      <c r="C31" s="8">
        <f>L26*(1+$E$5)/($C$5-$E$5)</f>
        <v/>
      </c>
    </row>
    <row r="32">
      <c r="B32" s="4" t="inlineStr">
        <is>
          <t>Valor actual del valor terminal</t>
        </is>
      </c>
      <c r="C32" s="8">
        <f>C31*L27</f>
        <v/>
      </c>
    </row>
    <row r="33">
      <c r="B33" s="12" t="inlineStr">
        <is>
          <t>VALOR DE EMPRESA (EV)</t>
        </is>
      </c>
      <c r="C33" s="18">
        <f>C30+C32</f>
        <v/>
      </c>
    </row>
    <row r="34">
      <c r="B34" s="4" t="inlineStr">
        <is>
          <t>Peso del valor terminal sobre el EV</t>
        </is>
      </c>
      <c r="C34" s="9">
        <f>C32/C33</f>
        <v/>
      </c>
    </row>
    <row r="35">
      <c r="B35" s="4" t="inlineStr">
        <is>
          <t>(-) Deuda neta</t>
        </is>
      </c>
      <c r="C35" s="8">
        <f>-Supuestos!$C$25</f>
        <v/>
      </c>
    </row>
    <row r="36">
      <c r="B36" s="12" t="inlineStr">
        <is>
          <t>VALOR DE LOS FONDOS PROPIOS</t>
        </is>
      </c>
      <c r="C36" s="18">
        <f>C33+C35</f>
        <v/>
      </c>
    </row>
    <row r="37">
      <c r="B37" s="12" t="inlineStr">
        <is>
          <t>VALOR POR ACCIÓN — HOY (USD)</t>
        </is>
      </c>
      <c r="C37" s="13">
        <f>C36/Supuestos!$C$12</f>
        <v/>
      </c>
    </row>
    <row r="38">
      <c r="B38" s="12" t="inlineStr">
        <is>
          <t>Recorrido sobre el precio actual</t>
        </is>
      </c>
      <c r="C38" s="20">
        <f>C37/Supuestos!$C$8-1</f>
        <v/>
      </c>
    </row>
    <row r="39">
      <c r="B39" s="4" t="inlineStr">
        <is>
          <t>EV rodado a cierre de 2027</t>
        </is>
      </c>
      <c r="C39" s="8">
        <f>(C33*(1+$C$5)-C26)*(1+$C$5)-D26</f>
        <v/>
      </c>
    </row>
    <row r="40">
      <c r="B40" s="12" t="inlineStr">
        <is>
          <t>VALOR POR ACCIÓN — RODADO 24 MESES (USD)</t>
        </is>
      </c>
      <c r="C40" s="13">
        <f>(C39-Supuestos!$C$25)/Supuestos!$C$12</f>
        <v/>
      </c>
      <c r="D40" s="27" t="inlineStr">
        <is>
          <t>Sobre las mismas 4.200 M acciones. A 24 meses la recompra habrá retirado en torno a un 5-6% del capital, de modo que esta cifra está conservadoramente infravalorada en esa magnitud. No se ajusta para no introducir un supuesto de precio medio de recompra.</t>
        </is>
      </c>
    </row>
    <row r="41">
      <c r="B41" s="12" t="inlineStr">
        <is>
          <t>Recorrido rodado sobre la entrada de 75,50</t>
        </is>
      </c>
      <c r="C41" s="20">
        <f>C40/Supuestos!$C$9-1</f>
        <v/>
      </c>
    </row>
    <row r="43">
      <c r="B43" s="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zoomScaleNormal="100" workbookViewId="0">
      <selection activeCell="E28" sqref="E28"/>
    </sheetView>
  </sheetViews>
  <sheetFormatPr baseColWidth="10" defaultColWidth="8.6640625" defaultRowHeight="15"/>
  <cols>
    <col width="44" customWidth="1" min="2" max="2"/>
    <col width="14" customWidth="1" min="3" max="7"/>
  </cols>
  <sheetData>
    <row r="2" ht="17" customHeight="1">
      <c r="B2" s="23" t="inlineStr">
        <is>
          <t>Sensibilidad del caso base — WACC frente a crecimiento terminal (calculada, no introducida)</t>
        </is>
      </c>
    </row>
    <row r="3">
      <c r="B3" s="1" t="n"/>
    </row>
    <row r="5">
      <c r="B5" s="3" t="inlineStr">
        <is>
          <t>WACC \ g</t>
        </is>
      </c>
      <c r="C5" s="30" t="n">
        <v>0.02</v>
      </c>
      <c r="D5" s="30" t="n">
        <v>0.025</v>
      </c>
      <c r="E5" s="30" t="n">
        <v>0.03</v>
      </c>
      <c r="F5" s="30" t="n">
        <v>0.035</v>
      </c>
      <c r="G5" s="30" t="n">
        <v>0.04</v>
      </c>
    </row>
    <row r="6">
      <c r="B6" s="28" t="n">
        <v>0.09</v>
      </c>
      <c r="C6" s="31">
        <f>(SUMPRODUCT(Base!$C$26:$L$26/(1+$B6)^(COLUMN(Base!$C$26:$L$26)-2))+Base!$L$26*(1+C$5)/($B6-C$5)/(1+$B6)^10-Supuestos!$C$25)/Supuestos!$C$12</f>
        <v/>
      </c>
      <c r="D6" s="31">
        <f>(SUMPRODUCT(Base!$C$26:$L$26/(1+$B6)^(COLUMN(Base!$C$26:$L$26)-2))+Base!$L$26*(1+D$5)/($B6-D$5)/(1+$B6)^10-Supuestos!$C$25)/Supuestos!$C$12</f>
        <v/>
      </c>
      <c r="E6" s="31">
        <f>(SUMPRODUCT(Base!$C$26:$L$26/(1+$B6)^(COLUMN(Base!$C$26:$L$26)-2))+Base!$L$26*(1+E$5)/($B6-E$5)/(1+$B6)^10-Supuestos!$C$25)/Supuestos!$C$12</f>
        <v/>
      </c>
      <c r="F6" s="31">
        <f>(SUMPRODUCT(Base!$C$26:$L$26/(1+$B6)^(COLUMN(Base!$C$26:$L$26)-2))+Base!$L$26*(1+F$5)/($B6-F$5)/(1+$B6)^10-Supuestos!$C$25)/Supuestos!$C$12</f>
        <v/>
      </c>
      <c r="G6" s="31">
        <f>(SUMPRODUCT(Base!$C$26:$L$26/(1+$B6)^(COLUMN(Base!$C$26:$L$26)-2))+Base!$L$26*(1+G$5)/($B6-G$5)/(1+$B6)^10-Supuestos!$C$25)/Supuestos!$C$12</f>
        <v/>
      </c>
    </row>
    <row r="7">
      <c r="B7" s="28" t="n">
        <v>0.095</v>
      </c>
      <c r="C7" s="31">
        <f>(SUMPRODUCT(Base!$C$26:$L$26/(1+$B7)^(COLUMN(Base!$C$26:$L$26)-2))+Base!$L$26*(1+C$5)/($B7-C$5)/(1+$B7)^10-Supuestos!$C$25)/Supuestos!$C$12</f>
        <v/>
      </c>
      <c r="D7" s="31">
        <f>(SUMPRODUCT(Base!$C$26:$L$26/(1+$B7)^(COLUMN(Base!$C$26:$L$26)-2))+Base!$L$26*(1+D$5)/($B7-D$5)/(1+$B7)^10-Supuestos!$C$25)/Supuestos!$C$12</f>
        <v/>
      </c>
      <c r="E7" s="32">
        <f>(SUMPRODUCT(Base!$C$26:$L$26/(1+$B7)^(COLUMN(Base!$C$26:$L$26)-2))+Base!$L$26*(1+E$5)/($B7-E$5)/(1+$B7)^10-Supuestos!$C$25)/Supuestos!$C$12</f>
        <v/>
      </c>
      <c r="F7" s="31">
        <f>(SUMPRODUCT(Base!$C$26:$L$26/(1+$B7)^(COLUMN(Base!$C$26:$L$26)-2))+Base!$L$26*(1+F$5)/($B7-F$5)/(1+$B7)^10-Supuestos!$C$25)/Supuestos!$C$12</f>
        <v/>
      </c>
      <c r="G7" s="31">
        <f>(SUMPRODUCT(Base!$C$26:$L$26/(1+$B7)^(COLUMN(Base!$C$26:$L$26)-2))+Base!$L$26*(1+G$5)/($B7-G$5)/(1+$B7)^10-Supuestos!$C$25)/Supuestos!$C$12</f>
        <v/>
      </c>
    </row>
    <row r="8">
      <c r="B8" s="28" t="n">
        <v>0.1</v>
      </c>
      <c r="C8" s="31">
        <f>(SUMPRODUCT(Base!$C$26:$L$26/(1+$B8)^(COLUMN(Base!$C$26:$L$26)-2))+Base!$L$26*(1+C$5)/($B8-C$5)/(1+$B8)^10-Supuestos!$C$25)/Supuestos!$C$12</f>
        <v/>
      </c>
      <c r="D8" s="31">
        <f>(SUMPRODUCT(Base!$C$26:$L$26/(1+$B8)^(COLUMN(Base!$C$26:$L$26)-2))+Base!$L$26*(1+D$5)/($B8-D$5)/(1+$B8)^10-Supuestos!$C$25)/Supuestos!$C$12</f>
        <v/>
      </c>
      <c r="E8" s="31">
        <f>(SUMPRODUCT(Base!$C$26:$L$26/(1+$B8)^(COLUMN(Base!$C$26:$L$26)-2))+Base!$L$26*(1+E$5)/($B8-E$5)/(1+$B8)^10-Supuestos!$C$25)/Supuestos!$C$12</f>
        <v/>
      </c>
      <c r="F8" s="31">
        <f>(SUMPRODUCT(Base!$C$26:$L$26/(1+$B8)^(COLUMN(Base!$C$26:$L$26)-2))+Base!$L$26*(1+F$5)/($B8-F$5)/(1+$B8)^10-Supuestos!$C$25)/Supuestos!$C$12</f>
        <v/>
      </c>
      <c r="G8" s="31">
        <f>(SUMPRODUCT(Base!$C$26:$L$26/(1+$B8)^(COLUMN(Base!$C$26:$L$26)-2))+Base!$L$26*(1+G$5)/($B8-G$5)/(1+$B8)^10-Supuestos!$C$25)/Supuestos!$C$12</f>
        <v/>
      </c>
    </row>
    <row r="9">
      <c r="B9" s="28" t="n">
        <v>0.105</v>
      </c>
      <c r="C9" s="31">
        <f>(SUMPRODUCT(Base!$C$26:$L$26/(1+$B9)^(COLUMN(Base!$C$26:$L$26)-2))+Base!$L$26*(1+C$5)/($B9-C$5)/(1+$B9)^10-Supuestos!$C$25)/Supuestos!$C$12</f>
        <v/>
      </c>
      <c r="D9" s="31">
        <f>(SUMPRODUCT(Base!$C$26:$L$26/(1+$B9)^(COLUMN(Base!$C$26:$L$26)-2))+Base!$L$26*(1+D$5)/($B9-D$5)/(1+$B9)^10-Supuestos!$C$25)/Supuestos!$C$12</f>
        <v/>
      </c>
      <c r="E9" s="31">
        <f>(SUMPRODUCT(Base!$C$26:$L$26/(1+$B9)^(COLUMN(Base!$C$26:$L$26)-2))+Base!$L$26*(1+E$5)/($B9-E$5)/(1+$B9)^10-Supuestos!$C$25)/Supuestos!$C$12</f>
        <v/>
      </c>
      <c r="F9" s="31">
        <f>(SUMPRODUCT(Base!$C$26:$L$26/(1+$B9)^(COLUMN(Base!$C$26:$L$26)-2))+Base!$L$26*(1+F$5)/($B9-F$5)/(1+$B9)^10-Supuestos!$C$25)/Supuestos!$C$12</f>
        <v/>
      </c>
      <c r="G9" s="31">
        <f>(SUMPRODUCT(Base!$C$26:$L$26/(1+$B9)^(COLUMN(Base!$C$26:$L$26)-2))+Base!$L$26*(1+G$5)/($B9-G$5)/(1+$B9)^10-Supuestos!$C$25)/Supuestos!$C$12</f>
        <v/>
      </c>
    </row>
    <row r="10">
      <c r="B10" s="28" t="n">
        <v>0.11</v>
      </c>
      <c r="C10" s="31">
        <f>(SUMPRODUCT(Base!$C$26:$L$26/(1+$B10)^(COLUMN(Base!$C$26:$L$26)-2))+Base!$L$26*(1+C$5)/($B10-C$5)/(1+$B10)^10-Supuestos!$C$25)/Supuestos!$C$12</f>
        <v/>
      </c>
      <c r="D10" s="31">
        <f>(SUMPRODUCT(Base!$C$26:$L$26/(1+$B10)^(COLUMN(Base!$C$26:$L$26)-2))+Base!$L$26*(1+D$5)/($B10-D$5)/(1+$B10)^10-Supuestos!$C$25)/Supuestos!$C$12</f>
        <v/>
      </c>
      <c r="E10" s="31">
        <f>(SUMPRODUCT(Base!$C$26:$L$26/(1+$B10)^(COLUMN(Base!$C$26:$L$26)-2))+Base!$L$26*(1+E$5)/($B10-E$5)/(1+$B10)^10-Supuestos!$C$25)/Supuestos!$C$12</f>
        <v/>
      </c>
      <c r="F10" s="31">
        <f>(SUMPRODUCT(Base!$C$26:$L$26/(1+$B10)^(COLUMN(Base!$C$26:$L$26)-2))+Base!$L$26*(1+F$5)/($B10-F$5)/(1+$B10)^10-Supuestos!$C$25)/Supuestos!$C$12</f>
        <v/>
      </c>
      <c r="G10" s="31">
        <f>(SUMPRODUCT(Base!$C$26:$L$26/(1+$B10)^(COLUMN(Base!$C$26:$L$26)-2))+Base!$L$26*(1+G$5)/($B10-G$5)/(1+$B10)^10-Supuestos!$C$25)/Supuestos!$C$12</f>
        <v/>
      </c>
    </row>
    <row r="12">
      <c r="B12" s="4" t="inlineStr">
        <is>
          <t>Precio de mercado</t>
        </is>
      </c>
      <c r="C12" s="11">
        <f>Supuestos!$C$8</f>
        <v/>
      </c>
    </row>
    <row r="13">
      <c r="B13" s="4" t="inlineStr">
        <is>
          <t>Precio de entrada del inversor</t>
        </is>
      </c>
      <c r="C13" s="11">
        <f>Supuestos!$C$9</f>
        <v/>
      </c>
    </row>
    <row r="14">
      <c r="B14" s="4" t="inlineStr">
        <is>
          <t>Valor mínimo de la matriz</t>
        </is>
      </c>
      <c r="C14" s="11">
        <f>MIN(C6:G10)</f>
        <v/>
      </c>
    </row>
    <row r="15">
      <c r="B15" s="4" t="inlineStr">
        <is>
          <t>Valor máximo de la matriz</t>
        </is>
      </c>
      <c r="C15" s="11">
        <f>MAX(C6:G10)</f>
        <v/>
      </c>
    </row>
    <row r="16">
      <c r="B16" s="4" t="inlineStr">
        <is>
          <t>Celdas de la matriz por encima de la entrada</t>
        </is>
      </c>
      <c r="C16" s="22">
        <f>COUNTIF(C6:G10,"&gt;"&amp;Supuestos!$C$9)&amp;" de 25"</f>
        <v/>
      </c>
    </row>
    <row r="18">
      <c r="B18" s="27" t="inlineStr">
        <is>
          <t>Cada celda descuenta la serie de FCFF del caso base con el WACC de su fila y capitaliza el flujo de 2035 al crecimiento terminal de su columna. Depende del caso base: si se cambian sus supuestos operativos, la matriz se mueve con ellos.</t>
        </is>
      </c>
    </row>
    <row r="19">
      <c r="B19" s="27" t="inlineStr">
        <is>
          <t>Comprobación: la celda WACC 9,50% / g 3,25% debe coincidir con Base!C37.</t>
        </is>
      </c>
    </row>
    <row r="20">
      <c r="B20" t="inlineStr">
        <is>
          <t>Caso base (Base!C37)</t>
        </is>
      </c>
      <c r="C20" s="33">
        <f>Base!$C$37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zoomScaleNormal="100" workbookViewId="0">
      <selection activeCell="C27" sqref="C27"/>
    </sheetView>
  </sheetViews>
  <sheetFormatPr baseColWidth="10" defaultColWidth="8.6640625" defaultRowHeight="15"/>
  <cols>
    <col width="42" customWidth="1" min="2" max="2"/>
    <col width="12" customWidth="1" min="3" max="12"/>
  </cols>
  <sheetData>
    <row r="2" ht="17" customHeight="1">
      <c r="B2" s="23" t="inlineStr">
        <is>
          <t>Reverse DCF — Crecimiento implícito en cada nivel de precio</t>
        </is>
      </c>
    </row>
    <row r="3">
      <c r="B3" s="1" t="n"/>
    </row>
    <row r="5">
      <c r="B5" s="3" t="inlineStr">
        <is>
          <t>Parámetro</t>
        </is>
      </c>
      <c r="C5" s="3" t="inlineStr">
        <is>
          <t>Valor</t>
        </is>
      </c>
    </row>
    <row r="6">
      <c r="B6" s="4" t="inlineStr">
        <is>
          <t>Crecimiento constante de FCFF (entrada)</t>
        </is>
      </c>
      <c r="C6" s="34" t="n">
        <v>0.1594</v>
      </c>
      <c r="D6" s="1" t="inlineStr">
        <is>
          <t>Crecimiento constante que iguala el valor por acción al cierre del 14/09/2026 (80,32 USD). Recalibrado al actualizar el precio.</t>
        </is>
      </c>
    </row>
    <row r="7">
      <c r="B7" s="4" t="inlineStr">
        <is>
          <t>FCFF de partida 2026E (M USD)</t>
        </is>
      </c>
      <c r="C7" s="8">
        <f>Base!C26</f>
        <v/>
      </c>
    </row>
    <row r="8">
      <c r="B8" s="4" t="inlineStr">
        <is>
          <t>WACC</t>
        </is>
      </c>
      <c r="C8" s="9">
        <f>Base!$C$5</f>
        <v/>
      </c>
    </row>
    <row r="9">
      <c r="B9" s="4" t="inlineStr">
        <is>
          <t>Crecimiento terminal</t>
        </is>
      </c>
      <c r="C9" s="9">
        <f>Base!$E$5</f>
        <v/>
      </c>
    </row>
    <row r="12">
      <c r="B12" s="3" t="inlineStr">
        <is>
          <t>Año</t>
        </is>
      </c>
      <c r="C12" s="10" t="inlineStr">
        <is>
          <t>2026E</t>
        </is>
      </c>
      <c r="D12" s="10" t="inlineStr">
        <is>
          <t>2027E</t>
        </is>
      </c>
      <c r="E12" s="10" t="inlineStr">
        <is>
          <t>2028E</t>
        </is>
      </c>
      <c r="F12" s="10" t="inlineStr">
        <is>
          <t>2029E</t>
        </is>
      </c>
      <c r="G12" s="10" t="inlineStr">
        <is>
          <t>2030E</t>
        </is>
      </c>
      <c r="H12" s="10" t="inlineStr">
        <is>
          <t>2031E</t>
        </is>
      </c>
      <c r="I12" s="10" t="inlineStr">
        <is>
          <t>2032E</t>
        </is>
      </c>
      <c r="J12" s="10" t="inlineStr">
        <is>
          <t>2033E</t>
        </is>
      </c>
      <c r="K12" s="10" t="inlineStr">
        <is>
          <t>2034E</t>
        </is>
      </c>
      <c r="L12" s="10" t="inlineStr">
        <is>
          <t>2035E</t>
        </is>
      </c>
    </row>
    <row r="13">
      <c r="B13" s="4" t="inlineStr">
        <is>
          <t>FCFF proyectado</t>
        </is>
      </c>
      <c r="C13" s="8">
        <f>$C$7</f>
        <v/>
      </c>
      <c r="D13" s="8">
        <f>C13*(1+$C$6)</f>
        <v/>
      </c>
      <c r="E13" s="8">
        <f>D13*(1+$C$6)</f>
        <v/>
      </c>
      <c r="F13" s="8">
        <f>E13*(1+$C$6)</f>
        <v/>
      </c>
      <c r="G13" s="8">
        <f>F13*(1+$C$6)</f>
        <v/>
      </c>
      <c r="H13" s="8">
        <f>G13*(1+$C$6)</f>
        <v/>
      </c>
      <c r="I13" s="8">
        <f>H13*(1+$C$6)</f>
        <v/>
      </c>
      <c r="J13" s="8">
        <f>I13*(1+$C$6)</f>
        <v/>
      </c>
      <c r="K13" s="8">
        <f>J13*(1+$C$6)</f>
        <v/>
      </c>
      <c r="L13" s="8">
        <f>K13*(1+$C$6)</f>
        <v/>
      </c>
    </row>
    <row r="14">
      <c r="B14" s="4" t="inlineStr">
        <is>
          <t>Valor actual</t>
        </is>
      </c>
      <c r="C14" s="8">
        <f>C13/(1+$C$8)^1</f>
        <v/>
      </c>
      <c r="D14" s="8">
        <f>D13/(1+$C$8)^2</f>
        <v/>
      </c>
      <c r="E14" s="8">
        <f>E13/(1+$C$8)^3</f>
        <v/>
      </c>
      <c r="F14" s="8">
        <f>F13/(1+$C$8)^4</f>
        <v/>
      </c>
      <c r="G14" s="8">
        <f>G13/(1+$C$8)^5</f>
        <v/>
      </c>
      <c r="H14" s="8">
        <f>H13/(1+$C$8)^6</f>
        <v/>
      </c>
      <c r="I14" s="8">
        <f>I13/(1+$C$8)^7</f>
        <v/>
      </c>
      <c r="J14" s="8">
        <f>J13/(1+$C$8)^8</f>
        <v/>
      </c>
      <c r="K14" s="8">
        <f>K13/(1+$C$8)^9</f>
        <v/>
      </c>
      <c r="L14" s="8">
        <f>L13/(1+$C$8)^10</f>
        <v/>
      </c>
    </row>
    <row r="16">
      <c r="B16" s="4" t="inlineStr">
        <is>
          <t>Suma del valor actual de los flujos</t>
        </is>
      </c>
      <c r="C16" s="8">
        <f>SUM(C14:L14)</f>
        <v/>
      </c>
    </row>
    <row r="17">
      <c r="B17" s="4" t="inlineStr">
        <is>
          <t>Valor terminal</t>
        </is>
      </c>
      <c r="C17" s="8">
        <f>L13*(1+$C$9)/($C$8-$C$9)</f>
        <v/>
      </c>
    </row>
    <row r="18">
      <c r="B18" s="4" t="inlineStr">
        <is>
          <t>Valor actual del valor terminal</t>
        </is>
      </c>
      <c r="C18" s="8">
        <f>C17/(1+$C$8)^10</f>
        <v/>
      </c>
    </row>
    <row r="19">
      <c r="B19" s="12" t="inlineStr">
        <is>
          <t>Valor de empresa implícito</t>
        </is>
      </c>
      <c r="C19" s="18">
        <f>C16+C18</f>
        <v/>
      </c>
    </row>
    <row r="20">
      <c r="B20" s="4" t="inlineStr">
        <is>
          <t>Valor de los fondos propios</t>
        </is>
      </c>
      <c r="C20" s="8">
        <f>C19-Supuestos!$C$25</f>
        <v/>
      </c>
    </row>
    <row r="21">
      <c r="B21" s="12" t="inlineStr">
        <is>
          <t>Valor por acción implícito</t>
        </is>
      </c>
      <c r="C21" s="13">
        <f>C20/Supuestos!$C$12</f>
        <v/>
      </c>
    </row>
    <row r="22">
      <c r="B22" s="4" t="inlineStr">
        <is>
          <t>Precio de mercado</t>
        </is>
      </c>
      <c r="C22" s="11">
        <f>Supuestos!$C$8</f>
        <v/>
      </c>
    </row>
    <row r="23">
      <c r="B23" s="12" t="inlineStr">
        <is>
          <t>Diferencia</t>
        </is>
      </c>
      <c r="C23" s="16">
        <f>C21-C22</f>
        <v/>
      </c>
    </row>
    <row r="25">
      <c r="B25" s="27" t="inlineStr">
        <is>
          <t>El crecimiento implícito es constante durante diez años; el caso base usa una senda decreciente. Para compararlos hay que usar el CAGR del FCFF del caso base (14,21%), no sus tasas anuales.</t>
        </is>
      </c>
    </row>
    <row r="26">
      <c r="B26" s="1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2026-08-21T06:34:37Z</dcterms:created>
  <dcterms:modified xmlns:dcterms="http://purl.org/dc/terms/" xmlns:xsi="http://www.w3.org/2001/XMLSchema-instance" xsi:type="dcterms:W3CDTF">2026-09-15T14:57:57Z</dcterms:modified>
  <cp:lastModifiedBy>Jorge Díaz Monge</cp:lastModifiedBy>
  <cp:revision>0</cp:revision>
</cp:coreProperties>
</file>