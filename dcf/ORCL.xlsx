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ergi\Downloads\Warrants&amp;co\"/>
    </mc:Choice>
  </mc:AlternateContent>
  <xr:revisionPtr revIDLastSave="0" documentId="13_ncr:1_{E6448F60-6A87-45B1-9932-E74E92AE092F}" xr6:coauthVersionLast="47" xr6:coauthVersionMax="47" xr10:uidLastSave="{00000000-0000-0000-0000-000000000000}"/>
  <bookViews>
    <workbookView xWindow="1536" yWindow="1536" windowWidth="17280" windowHeight="8880" firstSheet="19" activeTab="20" xr2:uid="{E558962E-D905-4EAC-882F-65401AC56819}"/>
  </bookViews>
  <sheets>
    <sheet name="00 Panel del Analista" sheetId="27" r:id="rId1"/>
    <sheet name="01 Summary" sheetId="2" r:id="rId2"/>
    <sheet name="02 Assumptions" sheetId="3" r:id="rId3"/>
    <sheet name="03 Historical" sheetId="4" r:id="rId4"/>
    <sheet name="04 Operating Model" sheetId="5" r:id="rId5"/>
    <sheet name="05 Three Statement" sheetId="6" r:id="rId6"/>
    <sheet name="06 DCF" sheetId="7" r:id="rId7"/>
    <sheet name="07 WACC" sheetId="8" r:id="rId8"/>
    <sheet name="Sensibilidad" sheetId="9" r:id="rId9"/>
    <sheet name="09 Escenarios" sheetId="10" r:id="rId10"/>
    <sheet name="Escenario Pesimista" sheetId="24" r:id="rId11"/>
    <sheet name="Escenario Base" sheetId="25" r:id="rId12"/>
    <sheet name="Escenario Optimista" sheetId="26" r:id="rId13"/>
    <sheet name="10 Reverse DCF" sheetId="11" r:id="rId14"/>
    <sheet name="11 Cross Check" sheetId="12" r:id="rId15"/>
    <sheet name="12 SOTP" sheetId="13" r:id="rId16"/>
    <sheet name="13 Checks" sheetId="14" r:id="rId17"/>
    <sheet name="14 Sources" sheetId="15" r:id="rId18"/>
    <sheet name="M1 Manual Fundamentos" sheetId="16" r:id="rId19"/>
    <sheet name="M2 Manual Reglas" sheetId="17" r:id="rId20"/>
    <sheet name="M3 Manual Sectorial" sheetId="18" r:id="rId21"/>
    <sheet name="M4 Manual Errores" sheetId="19" r:id="rId22"/>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7" i="27" l="1"/>
  <c r="D286" i="27"/>
  <c r="D285" i="27"/>
  <c r="D284" i="27"/>
  <c r="D283" i="27"/>
  <c r="D282" i="27"/>
  <c r="D281" i="27"/>
  <c r="D280" i="27"/>
  <c r="D279" i="27"/>
  <c r="D278" i="27"/>
  <c r="D277" i="27"/>
  <c r="D276" i="27"/>
  <c r="D275" i="27"/>
  <c r="D274" i="27"/>
  <c r="D271" i="27"/>
  <c r="D270" i="27"/>
  <c r="D269" i="27"/>
  <c r="D268" i="27"/>
  <c r="D267" i="27"/>
  <c r="D266" i="27"/>
  <c r="D265" i="27"/>
  <c r="D264" i="27"/>
  <c r="D263" i="27"/>
  <c r="D262" i="27"/>
  <c r="D261" i="27"/>
  <c r="D260" i="27"/>
  <c r="D259" i="27"/>
  <c r="D258" i="27"/>
  <c r="D257" i="27"/>
  <c r="D256" i="27"/>
  <c r="D4" i="3"/>
  <c r="E4" i="3"/>
  <c r="F4" i="3"/>
  <c r="G4" i="3"/>
  <c r="H4" i="3"/>
  <c r="I4" i="3"/>
  <c r="J4" i="3"/>
  <c r="K4" i="3"/>
  <c r="L4" i="3"/>
  <c r="M4" i="3"/>
  <c r="N4" i="3"/>
  <c r="O4" i="3"/>
  <c r="P4" i="3"/>
  <c r="D4" i="26"/>
  <c r="E4" i="26"/>
  <c r="F4" i="26"/>
  <c r="G4" i="26"/>
  <c r="H4" i="26"/>
  <c r="I4" i="26"/>
  <c r="J4" i="26"/>
  <c r="K4" i="26"/>
  <c r="L4" i="26"/>
  <c r="M4" i="26"/>
  <c r="N4" i="26"/>
  <c r="O4" i="26"/>
  <c r="P4" i="26"/>
  <c r="D4" i="25"/>
  <c r="E4" i="25"/>
  <c r="F4" i="25"/>
  <c r="G4" i="25"/>
  <c r="H4" i="25"/>
  <c r="I4" i="25"/>
  <c r="J4" i="25"/>
  <c r="K4" i="25"/>
  <c r="L4" i="25"/>
  <c r="M4" i="25"/>
  <c r="N4" i="25"/>
  <c r="O4" i="25"/>
  <c r="P4" i="25"/>
  <c r="D4" i="24"/>
  <c r="E4" i="24"/>
  <c r="F4" i="24"/>
  <c r="G4" i="24"/>
  <c r="H4" i="24"/>
  <c r="I4" i="24"/>
  <c r="J4" i="24"/>
  <c r="K4" i="24"/>
  <c r="L4" i="24"/>
  <c r="M4" i="24"/>
  <c r="N4" i="24"/>
  <c r="O4" i="24"/>
  <c r="P4" i="24"/>
  <c r="D4" i="7"/>
  <c r="E4" i="7"/>
  <c r="F4" i="7"/>
  <c r="G4" i="7"/>
  <c r="H4" i="7"/>
  <c r="I4" i="7"/>
  <c r="J4" i="7"/>
  <c r="K4" i="7"/>
  <c r="L4" i="7"/>
  <c r="M4" i="7"/>
  <c r="N4" i="7"/>
  <c r="O4" i="7"/>
  <c r="P4" i="7"/>
  <c r="D4" i="6"/>
  <c r="E4" i="6"/>
  <c r="F4" i="6"/>
  <c r="G4" i="6"/>
  <c r="H4" i="6"/>
  <c r="I4" i="6"/>
  <c r="J4" i="6"/>
  <c r="K4" i="6"/>
  <c r="L4" i="6"/>
  <c r="M4" i="6"/>
  <c r="N4" i="6"/>
  <c r="O4" i="6"/>
  <c r="P4" i="6"/>
  <c r="D4" i="5"/>
  <c r="E4" i="5"/>
  <c r="F4" i="5"/>
  <c r="G4" i="5"/>
  <c r="H4" i="5"/>
  <c r="I4" i="5"/>
  <c r="J4" i="5"/>
  <c r="K4" i="5"/>
  <c r="L4" i="5"/>
  <c r="M4" i="5"/>
  <c r="N4" i="5"/>
  <c r="O4" i="5"/>
  <c r="P4" i="5"/>
  <c r="D4" i="4"/>
  <c r="E4" i="4"/>
  <c r="F4" i="4"/>
  <c r="G4" i="4"/>
  <c r="H4" i="4"/>
  <c r="I4" i="4"/>
  <c r="J4" i="4"/>
  <c r="K4" i="4"/>
  <c r="L4" i="4"/>
  <c r="M4" i="4"/>
  <c r="N4" i="4"/>
  <c r="O4" i="4"/>
  <c r="P4" i="4"/>
  <c r="C16" i="3"/>
  <c r="C10" i="3"/>
  <c r="C9" i="3"/>
  <c r="C9" i="2"/>
  <c r="C8" i="2"/>
  <c r="C7" i="2"/>
  <c r="C6" i="2"/>
  <c r="C5" i="2"/>
  <c r="E13" i="13"/>
  <c r="F10" i="13"/>
  <c r="D10" i="13"/>
  <c r="F9" i="13"/>
  <c r="D9" i="13"/>
  <c r="F8" i="13"/>
  <c r="D8" i="13"/>
  <c r="F7" i="13"/>
  <c r="D7" i="13"/>
  <c r="C10" i="2"/>
  <c r="D78" i="2"/>
  <c r="D77" i="2"/>
  <c r="D76" i="2"/>
  <c r="D75" i="2"/>
  <c r="D74" i="2"/>
  <c r="D246" i="27"/>
  <c r="E64" i="2"/>
  <c r="E63" i="2"/>
  <c r="E62" i="2"/>
  <c r="E61" i="2"/>
  <c r="E60" i="2"/>
  <c r="E59" i="2"/>
  <c r="C4" i="10"/>
  <c r="D17" i="10"/>
  <c r="E17" i="10"/>
  <c r="F17" i="10"/>
  <c r="D16" i="10"/>
  <c r="E16" i="10"/>
  <c r="F16" i="10"/>
  <c r="D15" i="10"/>
  <c r="E15" i="10"/>
  <c r="F15" i="10"/>
  <c r="D14" i="10"/>
  <c r="E14" i="10"/>
  <c r="F14" i="10"/>
  <c r="D13" i="10"/>
  <c r="E13" i="10"/>
  <c r="F13" i="10"/>
  <c r="D12" i="10"/>
  <c r="E12" i="10"/>
  <c r="F12" i="10"/>
  <c r="D11" i="10"/>
  <c r="E11" i="10"/>
  <c r="F11" i="10"/>
  <c r="D10" i="10"/>
  <c r="E10" i="10"/>
  <c r="F10" i="10"/>
  <c r="D9" i="10"/>
  <c r="E9" i="10"/>
  <c r="F9" i="10"/>
  <c r="C56" i="8"/>
  <c r="C31" i="8"/>
  <c r="C25" i="8"/>
  <c r="C13" i="8"/>
  <c r="C12" i="8"/>
  <c r="C8" i="8"/>
  <c r="C6" i="8"/>
  <c r="C5" i="8"/>
  <c r="Q36" i="3"/>
  <c r="Q34" i="3"/>
  <c r="Q32" i="3"/>
  <c r="C104" i="3"/>
  <c r="C100" i="3"/>
  <c r="C99" i="3"/>
  <c r="C98" i="3"/>
  <c r="C97" i="3"/>
  <c r="C96" i="3"/>
  <c r="C68" i="3"/>
  <c r="C66" i="3"/>
  <c r="C65" i="3"/>
  <c r="C64" i="3"/>
  <c r="C62" i="3"/>
  <c r="C58" i="3"/>
  <c r="C43" i="3"/>
  <c r="C13" i="3"/>
  <c r="C12" i="3"/>
  <c r="C11" i="3"/>
  <c r="G95" i="3"/>
  <c r="H95" i="3"/>
  <c r="I95" i="3"/>
  <c r="J95" i="3"/>
  <c r="K95" i="3"/>
  <c r="L95" i="3"/>
  <c r="M95" i="3"/>
  <c r="N95" i="3"/>
  <c r="O95" i="3"/>
  <c r="P95" i="3"/>
  <c r="G56" i="3"/>
  <c r="H56" i="3"/>
  <c r="I56" i="3"/>
  <c r="J56" i="3"/>
  <c r="K56" i="3"/>
  <c r="L56" i="3"/>
  <c r="M56" i="3"/>
  <c r="N56" i="3"/>
  <c r="O56" i="3"/>
  <c r="P56" i="3"/>
  <c r="G53" i="3"/>
  <c r="H53" i="3"/>
  <c r="I53" i="3"/>
  <c r="J53" i="3"/>
  <c r="K53" i="3"/>
  <c r="L53" i="3"/>
  <c r="M53" i="3"/>
  <c r="N53" i="3"/>
  <c r="O53" i="3"/>
  <c r="P53" i="3"/>
  <c r="G52" i="3"/>
  <c r="H52" i="3"/>
  <c r="I52" i="3"/>
  <c r="J52" i="3"/>
  <c r="K52" i="3"/>
  <c r="L52" i="3"/>
  <c r="M52" i="3"/>
  <c r="N52" i="3"/>
  <c r="O52" i="3"/>
  <c r="P52" i="3"/>
  <c r="G51" i="3"/>
  <c r="H51" i="3"/>
  <c r="I51" i="3"/>
  <c r="J51" i="3"/>
  <c r="K51" i="3"/>
  <c r="L51" i="3"/>
  <c r="M51" i="3"/>
  <c r="N51" i="3"/>
  <c r="O51" i="3"/>
  <c r="P51" i="3"/>
  <c r="G50" i="3"/>
  <c r="H50" i="3"/>
  <c r="I50" i="3"/>
  <c r="J50" i="3"/>
  <c r="K50" i="3"/>
  <c r="L50" i="3"/>
  <c r="M50" i="3"/>
  <c r="N50" i="3"/>
  <c r="O50" i="3"/>
  <c r="P50" i="3"/>
  <c r="G49" i="3"/>
  <c r="H49" i="3"/>
  <c r="I49" i="3"/>
  <c r="J49" i="3"/>
  <c r="K49" i="3"/>
  <c r="L49" i="3"/>
  <c r="M49" i="3"/>
  <c r="N49" i="3"/>
  <c r="O49" i="3"/>
  <c r="P49" i="3"/>
  <c r="G47" i="3"/>
  <c r="H47" i="3"/>
  <c r="I47" i="3"/>
  <c r="J47" i="3"/>
  <c r="K47" i="3"/>
  <c r="L47" i="3"/>
  <c r="M47" i="3"/>
  <c r="N47" i="3"/>
  <c r="O47" i="3"/>
  <c r="P47" i="3"/>
  <c r="G41" i="3"/>
  <c r="H41" i="3"/>
  <c r="I41" i="3"/>
  <c r="J41" i="3"/>
  <c r="K41" i="3"/>
  <c r="L41" i="3"/>
  <c r="M41" i="3"/>
  <c r="N41" i="3"/>
  <c r="O41" i="3"/>
  <c r="P41" i="3"/>
  <c r="G38" i="3"/>
  <c r="H38" i="3"/>
  <c r="I38" i="3"/>
  <c r="J38" i="3"/>
  <c r="K38" i="3"/>
  <c r="L38" i="3"/>
  <c r="M38" i="3"/>
  <c r="N38" i="3"/>
  <c r="O38" i="3"/>
  <c r="P38" i="3"/>
  <c r="G37" i="3"/>
  <c r="H37" i="3"/>
  <c r="I37" i="3"/>
  <c r="J37" i="3"/>
  <c r="K37" i="3"/>
  <c r="L37" i="3"/>
  <c r="M37" i="3"/>
  <c r="N37" i="3"/>
  <c r="O37" i="3"/>
  <c r="P37" i="3"/>
  <c r="G35" i="3"/>
  <c r="H35" i="3"/>
  <c r="I35" i="3"/>
  <c r="J35" i="3"/>
  <c r="K35" i="3"/>
  <c r="L35" i="3"/>
  <c r="M35" i="3"/>
  <c r="N35" i="3"/>
  <c r="O35" i="3"/>
  <c r="P35" i="3"/>
  <c r="G33" i="3"/>
  <c r="H33" i="3"/>
  <c r="I33" i="3"/>
  <c r="J33" i="3"/>
  <c r="K33" i="3"/>
  <c r="L33" i="3"/>
  <c r="M33" i="3"/>
  <c r="N33" i="3"/>
  <c r="O33" i="3"/>
  <c r="P33" i="3"/>
  <c r="G31" i="3"/>
  <c r="H31" i="3"/>
  <c r="I31" i="3"/>
  <c r="J31" i="3"/>
  <c r="K31" i="3"/>
  <c r="L31" i="3"/>
  <c r="M31" i="3"/>
  <c r="N31" i="3"/>
  <c r="O31" i="3"/>
  <c r="P31" i="3"/>
  <c r="G29" i="3"/>
  <c r="H29" i="3"/>
  <c r="I29" i="3"/>
  <c r="J29" i="3"/>
  <c r="K29" i="3"/>
  <c r="L29" i="3"/>
  <c r="M29" i="3"/>
  <c r="N29" i="3"/>
  <c r="O29" i="3"/>
  <c r="P29" i="3"/>
  <c r="G25" i="3"/>
  <c r="H25" i="3"/>
  <c r="I25" i="3"/>
  <c r="J25" i="3"/>
  <c r="K25" i="3"/>
  <c r="L25" i="3"/>
  <c r="M25" i="3"/>
  <c r="N25" i="3"/>
  <c r="O25" i="3"/>
  <c r="P25" i="3"/>
  <c r="G23" i="3"/>
  <c r="H23" i="3"/>
  <c r="I23" i="3"/>
  <c r="J23" i="3"/>
  <c r="K23" i="3"/>
  <c r="L23" i="3"/>
  <c r="M23" i="3"/>
  <c r="N23" i="3"/>
  <c r="O23" i="3"/>
  <c r="P23" i="3"/>
  <c r="G21" i="3"/>
  <c r="H21" i="3"/>
  <c r="I21" i="3"/>
  <c r="J21" i="3"/>
  <c r="K21" i="3"/>
  <c r="L21" i="3"/>
  <c r="M21" i="3"/>
  <c r="N21" i="3"/>
  <c r="O21" i="3"/>
  <c r="P21" i="3"/>
  <c r="G19" i="3"/>
  <c r="H19" i="3"/>
  <c r="I19" i="3"/>
  <c r="J19" i="3"/>
  <c r="K19" i="3"/>
  <c r="L19" i="3"/>
  <c r="M19" i="3"/>
  <c r="N19" i="3"/>
  <c r="O19" i="3"/>
  <c r="P19" i="3"/>
  <c r="C150" i="4"/>
  <c r="E119" i="4"/>
  <c r="F119" i="4"/>
  <c r="E118" i="4"/>
  <c r="F118" i="4"/>
  <c r="E117" i="4"/>
  <c r="F117" i="4"/>
  <c r="D116" i="4"/>
  <c r="E116" i="4"/>
  <c r="F116" i="4"/>
  <c r="D115" i="4"/>
  <c r="E115" i="4"/>
  <c r="F115" i="4"/>
  <c r="E114" i="4"/>
  <c r="F114" i="4"/>
  <c r="E113" i="4"/>
  <c r="F113" i="4"/>
  <c r="E112" i="4"/>
  <c r="F112" i="4"/>
  <c r="E110" i="4"/>
  <c r="F110" i="4"/>
  <c r="E104" i="4"/>
  <c r="F104" i="4"/>
  <c r="D102" i="4"/>
  <c r="E102" i="4"/>
  <c r="F102" i="4"/>
  <c r="D101" i="4"/>
  <c r="E101" i="4"/>
  <c r="F101" i="4"/>
  <c r="D100" i="4"/>
  <c r="E100" i="4"/>
  <c r="F100" i="4"/>
  <c r="D99" i="4"/>
  <c r="E99" i="4"/>
  <c r="F99" i="4"/>
  <c r="D98" i="4"/>
  <c r="E98" i="4"/>
  <c r="F98" i="4"/>
  <c r="D97" i="4"/>
  <c r="E97" i="4"/>
  <c r="F97" i="4"/>
  <c r="D96" i="4"/>
  <c r="E96" i="4"/>
  <c r="F96" i="4"/>
  <c r="D95" i="4"/>
  <c r="E95" i="4"/>
  <c r="F95" i="4"/>
  <c r="D94" i="4"/>
  <c r="E94" i="4"/>
  <c r="F94" i="4"/>
  <c r="D93" i="4"/>
  <c r="E93" i="4"/>
  <c r="F93" i="4"/>
  <c r="D91" i="4"/>
  <c r="E91" i="4"/>
  <c r="F91" i="4"/>
  <c r="D89" i="4"/>
  <c r="E89" i="4"/>
  <c r="F89" i="4"/>
  <c r="D88" i="4"/>
  <c r="E88" i="4"/>
  <c r="F88" i="4"/>
  <c r="D87" i="4"/>
  <c r="E87" i="4"/>
  <c r="F87" i="4"/>
  <c r="D85" i="4"/>
  <c r="E85" i="4"/>
  <c r="F85" i="4"/>
  <c r="D83" i="4"/>
  <c r="E83" i="4"/>
  <c r="F83" i="4"/>
  <c r="D82" i="4"/>
  <c r="E82" i="4"/>
  <c r="F82" i="4"/>
  <c r="D81" i="4"/>
  <c r="E81" i="4"/>
  <c r="F81" i="4"/>
  <c r="D79" i="4"/>
  <c r="E79" i="4"/>
  <c r="F79" i="4"/>
  <c r="E72" i="4"/>
  <c r="F72" i="4"/>
  <c r="E70" i="4"/>
  <c r="F70" i="4"/>
  <c r="E69" i="4"/>
  <c r="F69" i="4"/>
  <c r="E68" i="4"/>
  <c r="F68" i="4"/>
  <c r="E67" i="4"/>
  <c r="F67" i="4"/>
  <c r="E65" i="4"/>
  <c r="F65" i="4"/>
  <c r="E64" i="4"/>
  <c r="F64" i="4"/>
  <c r="E63" i="4"/>
  <c r="F63" i="4"/>
  <c r="E62" i="4"/>
  <c r="F62" i="4"/>
  <c r="E60" i="4"/>
  <c r="F60" i="4"/>
  <c r="E59" i="4"/>
  <c r="F59" i="4"/>
  <c r="E58" i="4"/>
  <c r="F58" i="4"/>
  <c r="E57" i="4"/>
  <c r="F57" i="4"/>
  <c r="E56" i="4"/>
  <c r="F56" i="4"/>
  <c r="E52" i="4"/>
  <c r="F52" i="4"/>
  <c r="E51" i="4"/>
  <c r="F51" i="4"/>
  <c r="E50" i="4"/>
  <c r="F50" i="4"/>
  <c r="E49" i="4"/>
  <c r="F49" i="4"/>
  <c r="E48" i="4"/>
  <c r="F48" i="4"/>
  <c r="E46" i="4"/>
  <c r="F46" i="4"/>
  <c r="E45" i="4"/>
  <c r="F45" i="4"/>
  <c r="E44" i="4"/>
  <c r="F44" i="4"/>
  <c r="E43" i="4"/>
  <c r="F43" i="4"/>
  <c r="D40" i="4"/>
  <c r="E40" i="4"/>
  <c r="F40" i="4"/>
  <c r="D39" i="4"/>
  <c r="E39" i="4"/>
  <c r="F39" i="4"/>
  <c r="D38" i="4"/>
  <c r="E38" i="4"/>
  <c r="F38" i="4"/>
  <c r="D37" i="4"/>
  <c r="E37" i="4"/>
  <c r="F37" i="4"/>
  <c r="D35" i="4"/>
  <c r="E35" i="4"/>
  <c r="F35" i="4"/>
  <c r="D32" i="4"/>
  <c r="E32" i="4"/>
  <c r="F32" i="4"/>
  <c r="D30" i="4"/>
  <c r="E30" i="4"/>
  <c r="F30" i="4"/>
  <c r="D29" i="4"/>
  <c r="E29" i="4"/>
  <c r="F29" i="4"/>
  <c r="D24" i="4"/>
  <c r="E24" i="4"/>
  <c r="F24" i="4"/>
  <c r="D23" i="4"/>
  <c r="E23" i="4"/>
  <c r="F23" i="4"/>
  <c r="D22" i="4"/>
  <c r="E22" i="4"/>
  <c r="F22" i="4"/>
  <c r="D21" i="4"/>
  <c r="E21" i="4"/>
  <c r="F21" i="4"/>
  <c r="D20" i="4"/>
  <c r="E20" i="4"/>
  <c r="F20" i="4"/>
  <c r="D15" i="4"/>
  <c r="E15" i="4"/>
  <c r="F15" i="4"/>
  <c r="D14" i="4"/>
  <c r="E14" i="4"/>
  <c r="F14" i="4"/>
  <c r="D13" i="4"/>
  <c r="E13" i="4"/>
  <c r="F13" i="4"/>
  <c r="D10" i="4"/>
  <c r="E10" i="4"/>
  <c r="F10" i="4"/>
  <c r="D9" i="4"/>
  <c r="E9" i="4"/>
  <c r="F9" i="4"/>
  <c r="D8" i="4"/>
  <c r="E8" i="4"/>
  <c r="F8" i="4"/>
  <c r="D7" i="4"/>
  <c r="E7" i="4"/>
  <c r="F7" i="4"/>
  <c r="R1" i="7"/>
  <c r="D7" i="14"/>
  <c r="D6" i="14"/>
  <c r="D5" i="14"/>
  <c r="F87" i="14"/>
  <c r="D87" i="14"/>
  <c r="F86" i="14"/>
  <c r="D86" i="14"/>
  <c r="F85" i="14"/>
  <c r="D85" i="14"/>
  <c r="F84" i="14"/>
  <c r="D84" i="14"/>
  <c r="F83" i="14"/>
  <c r="D83" i="14"/>
  <c r="F82" i="14"/>
  <c r="D82" i="14"/>
  <c r="F81" i="14"/>
  <c r="D81" i="14"/>
  <c r="F80" i="14"/>
  <c r="D80" i="14"/>
  <c r="F79" i="14"/>
  <c r="D79" i="14"/>
  <c r="G26" i="2"/>
  <c r="G25" i="2"/>
  <c r="H24" i="2"/>
  <c r="G24" i="2"/>
  <c r="F24" i="2"/>
  <c r="H23" i="2"/>
  <c r="G23" i="2"/>
  <c r="F23" i="2"/>
  <c r="H22" i="2"/>
  <c r="G22" i="2"/>
  <c r="F22" i="2"/>
  <c r="H21" i="2"/>
  <c r="G21" i="2"/>
  <c r="F21" i="2"/>
  <c r="H20" i="2"/>
  <c r="G20" i="2"/>
  <c r="F20" i="2"/>
  <c r="H19" i="2"/>
  <c r="G19" i="2"/>
  <c r="F19" i="2"/>
  <c r="H18" i="2"/>
  <c r="G18" i="2"/>
  <c r="F18" i="2"/>
  <c r="H17" i="2"/>
  <c r="G17" i="2"/>
  <c r="F17" i="2"/>
  <c r="H16" i="2"/>
  <c r="G16" i="2"/>
  <c r="F16" i="2"/>
  <c r="C86" i="2"/>
  <c r="C85" i="2"/>
  <c r="D84" i="2"/>
  <c r="C84" i="2"/>
  <c r="C83" i="2"/>
  <c r="C82" i="2"/>
  <c r="C81" i="2"/>
  <c r="C80" i="2"/>
  <c r="E79" i="2"/>
  <c r="D79" i="2"/>
  <c r="E78" i="2"/>
  <c r="C78" i="2"/>
  <c r="E77" i="2"/>
  <c r="C77" i="2"/>
  <c r="E76" i="2"/>
  <c r="C76" i="2"/>
  <c r="E75" i="2"/>
  <c r="C75" i="2"/>
  <c r="E74" i="2"/>
  <c r="C74" i="2"/>
  <c r="H69" i="2"/>
  <c r="H68" i="2"/>
  <c r="G68" i="2"/>
  <c r="H67" i="2"/>
  <c r="H66" i="2"/>
  <c r="H64" i="2"/>
  <c r="G64" i="2"/>
  <c r="D64" i="2"/>
  <c r="H63" i="2"/>
  <c r="G63" i="2"/>
  <c r="F63" i="2"/>
  <c r="D63" i="2"/>
  <c r="H62" i="2"/>
  <c r="G62" i="2"/>
  <c r="F62" i="2"/>
  <c r="D62" i="2"/>
  <c r="H61" i="2"/>
  <c r="G61" i="2"/>
  <c r="F61" i="2"/>
  <c r="D61" i="2"/>
  <c r="H60" i="2"/>
  <c r="G60" i="2"/>
  <c r="F60" i="2"/>
  <c r="D60" i="2"/>
  <c r="H59" i="2"/>
  <c r="G59" i="2"/>
  <c r="F59" i="2"/>
  <c r="D59" i="2"/>
  <c r="F82" i="25"/>
  <c r="F81" i="26" a="1"/>
  <c r="F81" i="26"/>
  <c r="F80" i="26"/>
  <c r="F79" i="26"/>
  <c r="F78" i="26"/>
  <c r="F75" i="26"/>
  <c r="F74" i="26"/>
  <c r="F73" i="26"/>
  <c r="F72" i="26"/>
  <c r="F71" i="26"/>
  <c r="F70" i="26"/>
  <c r="F69" i="26"/>
  <c r="F68" i="26"/>
  <c r="F67" i="26"/>
  <c r="F66" i="26"/>
  <c r="F65" i="26"/>
  <c r="F64" i="26"/>
  <c r="F63" i="26"/>
  <c r="F62" i="26"/>
  <c r="F61" i="26"/>
  <c r="F60" i="26"/>
  <c r="F59" i="26"/>
  <c r="F81" i="25" a="1"/>
  <c r="F81" i="25"/>
  <c r="F80" i="25"/>
  <c r="F79" i="25"/>
  <c r="F78" i="25"/>
  <c r="F75" i="25"/>
  <c r="F74" i="25"/>
  <c r="F73" i="25"/>
  <c r="F72" i="25"/>
  <c r="F71" i="25"/>
  <c r="F70" i="25"/>
  <c r="F69" i="25"/>
  <c r="F68" i="25"/>
  <c r="F67" i="25"/>
  <c r="F66" i="25"/>
  <c r="F65" i="25"/>
  <c r="F64" i="25"/>
  <c r="F63" i="25"/>
  <c r="F62" i="25"/>
  <c r="F61" i="25"/>
  <c r="F60" i="25"/>
  <c r="F59" i="25"/>
  <c r="F81" i="24" a="1"/>
  <c r="F81" i="24"/>
  <c r="F80" i="24"/>
  <c r="F79" i="24"/>
  <c r="F78" i="24"/>
  <c r="F75" i="24"/>
  <c r="F74" i="24"/>
  <c r="F73" i="24"/>
  <c r="F72" i="24"/>
  <c r="F71" i="24"/>
  <c r="F70" i="24"/>
  <c r="F69" i="24"/>
  <c r="F68" i="24"/>
  <c r="F67" i="24"/>
  <c r="F66" i="24"/>
  <c r="F65" i="24"/>
  <c r="F64" i="24"/>
  <c r="F63" i="24"/>
  <c r="F62" i="24"/>
  <c r="F61" i="24"/>
  <c r="F60" i="24"/>
  <c r="F59" i="24"/>
  <c r="G57" i="26"/>
  <c r="H57" i="26"/>
  <c r="I57" i="26"/>
  <c r="J57" i="26"/>
  <c r="K57" i="26"/>
  <c r="L57" i="26"/>
  <c r="M57" i="26"/>
  <c r="N57" i="26"/>
  <c r="O57" i="26"/>
  <c r="P57" i="26"/>
  <c r="G56" i="26"/>
  <c r="H56" i="26"/>
  <c r="I56" i="26"/>
  <c r="J56" i="26"/>
  <c r="K56" i="26"/>
  <c r="L56" i="26"/>
  <c r="M56" i="26"/>
  <c r="N56" i="26"/>
  <c r="O56" i="26"/>
  <c r="P56" i="26"/>
  <c r="G54" i="26"/>
  <c r="H54" i="26"/>
  <c r="I54" i="26"/>
  <c r="J54" i="26"/>
  <c r="K54" i="26"/>
  <c r="L54" i="26"/>
  <c r="M54" i="26"/>
  <c r="N54" i="26"/>
  <c r="O54" i="26"/>
  <c r="P54" i="26"/>
  <c r="G53" i="26"/>
  <c r="H53" i="26"/>
  <c r="I53" i="26"/>
  <c r="J53" i="26"/>
  <c r="K53" i="26"/>
  <c r="L53" i="26"/>
  <c r="M53" i="26"/>
  <c r="N53" i="26"/>
  <c r="O53" i="26"/>
  <c r="P53" i="26"/>
  <c r="G52" i="26"/>
  <c r="H52" i="26"/>
  <c r="I52" i="26"/>
  <c r="J52" i="26"/>
  <c r="K52" i="26"/>
  <c r="L52" i="26"/>
  <c r="M52" i="26"/>
  <c r="N52" i="26"/>
  <c r="O52" i="26"/>
  <c r="P52" i="26"/>
  <c r="G55" i="26"/>
  <c r="H55" i="26"/>
  <c r="I55" i="26"/>
  <c r="J55" i="26"/>
  <c r="K55" i="26"/>
  <c r="L55" i="26"/>
  <c r="M55" i="26"/>
  <c r="N55" i="26"/>
  <c r="O55" i="26"/>
  <c r="P55" i="26"/>
  <c r="G57" i="25"/>
  <c r="H57" i="25"/>
  <c r="I57" i="25"/>
  <c r="J57" i="25"/>
  <c r="K57" i="25"/>
  <c r="L57" i="25"/>
  <c r="M57" i="25"/>
  <c r="N57" i="25"/>
  <c r="O57" i="25"/>
  <c r="P57" i="25"/>
  <c r="G56" i="25"/>
  <c r="H56" i="25"/>
  <c r="I56" i="25"/>
  <c r="J56" i="25"/>
  <c r="K56" i="25"/>
  <c r="L56" i="25"/>
  <c r="M56" i="25"/>
  <c r="N56" i="25"/>
  <c r="O56" i="25"/>
  <c r="P56" i="25"/>
  <c r="G54" i="25"/>
  <c r="H54" i="25"/>
  <c r="I54" i="25"/>
  <c r="J54" i="25"/>
  <c r="K54" i="25"/>
  <c r="L54" i="25"/>
  <c r="M54" i="25"/>
  <c r="N54" i="25"/>
  <c r="O54" i="25"/>
  <c r="P54" i="25"/>
  <c r="G53" i="25"/>
  <c r="H53" i="25"/>
  <c r="I53" i="25"/>
  <c r="J53" i="25"/>
  <c r="K53" i="25"/>
  <c r="L53" i="25"/>
  <c r="M53" i="25"/>
  <c r="N53" i="25"/>
  <c r="O53" i="25"/>
  <c r="P53" i="25"/>
  <c r="G52" i="25"/>
  <c r="H52" i="25"/>
  <c r="I52" i="25"/>
  <c r="J52" i="25"/>
  <c r="K52" i="25"/>
  <c r="L52" i="25"/>
  <c r="M52" i="25"/>
  <c r="N52" i="25"/>
  <c r="O52" i="25"/>
  <c r="P52" i="25"/>
  <c r="G55" i="25"/>
  <c r="H55" i="25"/>
  <c r="I55" i="25"/>
  <c r="J55" i="25"/>
  <c r="K55" i="25"/>
  <c r="L55" i="25"/>
  <c r="M55" i="25"/>
  <c r="N55" i="25"/>
  <c r="O55" i="25"/>
  <c r="P55" i="25"/>
  <c r="G57" i="24"/>
  <c r="H57" i="24"/>
  <c r="I57" i="24"/>
  <c r="J57" i="24"/>
  <c r="K57" i="24"/>
  <c r="L57" i="24"/>
  <c r="M57" i="24"/>
  <c r="N57" i="24"/>
  <c r="O57" i="24"/>
  <c r="P57" i="24"/>
  <c r="G56" i="24"/>
  <c r="H56" i="24"/>
  <c r="I56" i="24"/>
  <c r="J56" i="24"/>
  <c r="K56" i="24"/>
  <c r="L56" i="24"/>
  <c r="M56" i="24"/>
  <c r="N56" i="24"/>
  <c r="O56" i="24"/>
  <c r="P56" i="24"/>
  <c r="G54" i="24"/>
  <c r="H54" i="24"/>
  <c r="I54" i="24"/>
  <c r="J54" i="24"/>
  <c r="K54" i="24"/>
  <c r="L54" i="24"/>
  <c r="M54" i="24"/>
  <c r="N54" i="24"/>
  <c r="O54" i="24"/>
  <c r="P54" i="24"/>
  <c r="G53" i="24"/>
  <c r="H53" i="24"/>
  <c r="I53" i="24"/>
  <c r="J53" i="24"/>
  <c r="K53" i="24"/>
  <c r="L53" i="24"/>
  <c r="M53" i="24"/>
  <c r="N53" i="24"/>
  <c r="O53" i="24"/>
  <c r="P53" i="24"/>
  <c r="G52" i="24"/>
  <c r="H52" i="24"/>
  <c r="I52" i="24"/>
  <c r="J52" i="24"/>
  <c r="K52" i="24"/>
  <c r="L52" i="24"/>
  <c r="M52" i="24"/>
  <c r="N52" i="24"/>
  <c r="O52" i="24"/>
  <c r="P52" i="24"/>
  <c r="G55" i="24"/>
  <c r="H55" i="24"/>
  <c r="I55" i="24"/>
  <c r="J55" i="24"/>
  <c r="K55" i="24"/>
  <c r="L55" i="24"/>
  <c r="M55" i="24"/>
  <c r="N55" i="24"/>
  <c r="O55" i="24"/>
  <c r="P55" i="24"/>
  <c r="G50" i="26"/>
  <c r="H50" i="26"/>
  <c r="I50" i="26"/>
  <c r="J50" i="26"/>
  <c r="K50" i="26"/>
  <c r="L50" i="26"/>
  <c r="M50" i="26"/>
  <c r="N50" i="26"/>
  <c r="O50" i="26"/>
  <c r="P50" i="26"/>
  <c r="G49" i="26"/>
  <c r="H49" i="26"/>
  <c r="I49" i="26"/>
  <c r="J49" i="26"/>
  <c r="K49" i="26"/>
  <c r="L49" i="26"/>
  <c r="M49" i="26"/>
  <c r="N49" i="26"/>
  <c r="O49" i="26"/>
  <c r="P49" i="26"/>
  <c r="G48" i="26"/>
  <c r="H48" i="26"/>
  <c r="I48" i="26"/>
  <c r="J48" i="26"/>
  <c r="K48" i="26"/>
  <c r="L48" i="26"/>
  <c r="M48" i="26"/>
  <c r="N48" i="26"/>
  <c r="O48" i="26"/>
  <c r="P48" i="26"/>
  <c r="G47" i="26"/>
  <c r="H47" i="26"/>
  <c r="I47" i="26"/>
  <c r="J47" i="26"/>
  <c r="K47" i="26"/>
  <c r="L47" i="26"/>
  <c r="M47" i="26"/>
  <c r="N47" i="26"/>
  <c r="O47" i="26"/>
  <c r="P47" i="26"/>
  <c r="G46" i="26"/>
  <c r="H46" i="26"/>
  <c r="I46" i="26"/>
  <c r="J46" i="26"/>
  <c r="K46" i="26"/>
  <c r="L46" i="26"/>
  <c r="M46" i="26"/>
  <c r="N46" i="26"/>
  <c r="O46" i="26"/>
  <c r="P46" i="26"/>
  <c r="G45" i="26"/>
  <c r="H45" i="26"/>
  <c r="I45" i="26"/>
  <c r="J45" i="26"/>
  <c r="K45" i="26"/>
  <c r="L45" i="26"/>
  <c r="M45" i="26"/>
  <c r="N45" i="26"/>
  <c r="O45" i="26"/>
  <c r="P45" i="26"/>
  <c r="G44" i="26"/>
  <c r="H44" i="26"/>
  <c r="I44" i="26"/>
  <c r="J44" i="26"/>
  <c r="K44" i="26"/>
  <c r="L44" i="26"/>
  <c r="M44" i="26"/>
  <c r="N44" i="26"/>
  <c r="O44" i="26"/>
  <c r="P44" i="26"/>
  <c r="G43" i="26"/>
  <c r="H43" i="26"/>
  <c r="I43" i="26"/>
  <c r="J43" i="26"/>
  <c r="K43" i="26"/>
  <c r="L43" i="26"/>
  <c r="M43" i="26"/>
  <c r="N43" i="26"/>
  <c r="O43" i="26"/>
  <c r="P43" i="26"/>
  <c r="G41" i="26"/>
  <c r="H41" i="26"/>
  <c r="I41" i="26"/>
  <c r="J41" i="26"/>
  <c r="K41" i="26"/>
  <c r="L41" i="26"/>
  <c r="M41" i="26"/>
  <c r="N41" i="26"/>
  <c r="O41" i="26"/>
  <c r="P41" i="26"/>
  <c r="G40" i="26"/>
  <c r="H40" i="26"/>
  <c r="I40" i="26"/>
  <c r="J40" i="26"/>
  <c r="K40" i="26"/>
  <c r="L40" i="26"/>
  <c r="M40" i="26"/>
  <c r="N40" i="26"/>
  <c r="O40" i="26"/>
  <c r="P40" i="26"/>
  <c r="G39" i="26"/>
  <c r="H39" i="26"/>
  <c r="I39" i="26"/>
  <c r="J39" i="26"/>
  <c r="K39" i="26"/>
  <c r="L39" i="26"/>
  <c r="M39" i="26"/>
  <c r="N39" i="26"/>
  <c r="O39" i="26"/>
  <c r="P39" i="26"/>
  <c r="G38" i="26"/>
  <c r="H38" i="26"/>
  <c r="I38" i="26"/>
  <c r="J38" i="26"/>
  <c r="K38" i="26"/>
  <c r="L38" i="26"/>
  <c r="M38" i="26"/>
  <c r="N38" i="26"/>
  <c r="O38" i="26"/>
  <c r="P38" i="26"/>
  <c r="G37" i="26"/>
  <c r="H37" i="26"/>
  <c r="I37" i="26"/>
  <c r="J37" i="26"/>
  <c r="K37" i="26"/>
  <c r="L37" i="26"/>
  <c r="M37" i="26"/>
  <c r="N37" i="26"/>
  <c r="O37" i="26"/>
  <c r="P37" i="26"/>
  <c r="G36" i="26"/>
  <c r="H36" i="26"/>
  <c r="I36" i="26"/>
  <c r="J36" i="26"/>
  <c r="K36" i="26"/>
  <c r="L36" i="26"/>
  <c r="M36" i="26"/>
  <c r="N36" i="26"/>
  <c r="O36" i="26"/>
  <c r="P36" i="26"/>
  <c r="G35" i="26"/>
  <c r="H35" i="26"/>
  <c r="I35" i="26"/>
  <c r="J35" i="26"/>
  <c r="K35" i="26"/>
  <c r="L35" i="26"/>
  <c r="M35" i="26"/>
  <c r="N35" i="26"/>
  <c r="O35" i="26"/>
  <c r="P35" i="26"/>
  <c r="G34" i="26"/>
  <c r="H34" i="26"/>
  <c r="I34" i="26"/>
  <c r="J34" i="26"/>
  <c r="K34" i="26"/>
  <c r="L34" i="26"/>
  <c r="M34" i="26"/>
  <c r="N34" i="26"/>
  <c r="O34" i="26"/>
  <c r="P34" i="26"/>
  <c r="G32" i="26"/>
  <c r="H32" i="26"/>
  <c r="I32" i="26"/>
  <c r="J32" i="26"/>
  <c r="K32" i="26"/>
  <c r="L32" i="26"/>
  <c r="M32" i="26"/>
  <c r="N32" i="26"/>
  <c r="O32" i="26"/>
  <c r="P32" i="26"/>
  <c r="G31" i="26"/>
  <c r="H31" i="26"/>
  <c r="I31" i="26"/>
  <c r="J31" i="26"/>
  <c r="K31" i="26"/>
  <c r="L31" i="26"/>
  <c r="M31" i="26"/>
  <c r="N31" i="26"/>
  <c r="O31" i="26"/>
  <c r="P31" i="26"/>
  <c r="G30" i="26"/>
  <c r="H30" i="26"/>
  <c r="I30" i="26"/>
  <c r="J30" i="26"/>
  <c r="K30" i="26"/>
  <c r="L30" i="26"/>
  <c r="M30" i="26"/>
  <c r="N30" i="26"/>
  <c r="O30" i="26"/>
  <c r="P30" i="26"/>
  <c r="G29" i="26"/>
  <c r="H29" i="26"/>
  <c r="I29" i="26"/>
  <c r="J29" i="26"/>
  <c r="K29" i="26"/>
  <c r="L29" i="26"/>
  <c r="M29" i="26"/>
  <c r="N29" i="26"/>
  <c r="O29" i="26"/>
  <c r="P29" i="26"/>
  <c r="G28" i="26"/>
  <c r="H28" i="26"/>
  <c r="I28" i="26"/>
  <c r="J28" i="26"/>
  <c r="K28" i="26"/>
  <c r="L28" i="26"/>
  <c r="M28" i="26"/>
  <c r="N28" i="26"/>
  <c r="O28" i="26"/>
  <c r="P28" i="26"/>
  <c r="G27" i="26"/>
  <c r="H27" i="26"/>
  <c r="I27" i="26"/>
  <c r="J27" i="26"/>
  <c r="K27" i="26"/>
  <c r="L27" i="26"/>
  <c r="M27" i="26"/>
  <c r="N27" i="26"/>
  <c r="O27" i="26"/>
  <c r="P27" i="26"/>
  <c r="G50" i="25"/>
  <c r="H50" i="25"/>
  <c r="I50" i="25"/>
  <c r="J50" i="25"/>
  <c r="K50" i="25"/>
  <c r="L50" i="25"/>
  <c r="M50" i="25"/>
  <c r="N50" i="25"/>
  <c r="O50" i="25"/>
  <c r="P50" i="25"/>
  <c r="G49" i="25"/>
  <c r="H49" i="25"/>
  <c r="I49" i="25"/>
  <c r="J49" i="25"/>
  <c r="K49" i="25"/>
  <c r="L49" i="25"/>
  <c r="M49" i="25"/>
  <c r="N49" i="25"/>
  <c r="O49" i="25"/>
  <c r="P49" i="25"/>
  <c r="G48" i="25"/>
  <c r="H48" i="25"/>
  <c r="I48" i="25"/>
  <c r="J48" i="25"/>
  <c r="K48" i="25"/>
  <c r="L48" i="25"/>
  <c r="M48" i="25"/>
  <c r="N48" i="25"/>
  <c r="O48" i="25"/>
  <c r="P48" i="25"/>
  <c r="G47" i="25"/>
  <c r="H47" i="25"/>
  <c r="I47" i="25"/>
  <c r="J47" i="25"/>
  <c r="K47" i="25"/>
  <c r="L47" i="25"/>
  <c r="M47" i="25"/>
  <c r="N47" i="25"/>
  <c r="O47" i="25"/>
  <c r="P47" i="25"/>
  <c r="G46" i="25"/>
  <c r="H46" i="25"/>
  <c r="I46" i="25"/>
  <c r="J46" i="25"/>
  <c r="K46" i="25"/>
  <c r="L46" i="25"/>
  <c r="M46" i="25"/>
  <c r="N46" i="25"/>
  <c r="O46" i="25"/>
  <c r="P46" i="25"/>
  <c r="G45" i="25"/>
  <c r="H45" i="25"/>
  <c r="I45" i="25"/>
  <c r="J45" i="25"/>
  <c r="K45" i="25"/>
  <c r="L45" i="25"/>
  <c r="M45" i="25"/>
  <c r="N45" i="25"/>
  <c r="O45" i="25"/>
  <c r="P45" i="25"/>
  <c r="G44" i="25"/>
  <c r="H44" i="25"/>
  <c r="I44" i="25"/>
  <c r="J44" i="25"/>
  <c r="K44" i="25"/>
  <c r="L44" i="25"/>
  <c r="M44" i="25"/>
  <c r="N44" i="25"/>
  <c r="O44" i="25"/>
  <c r="P44" i="25"/>
  <c r="G43" i="25"/>
  <c r="H43" i="25"/>
  <c r="I43" i="25"/>
  <c r="J43" i="25"/>
  <c r="K43" i="25"/>
  <c r="L43" i="25"/>
  <c r="M43" i="25"/>
  <c r="N43" i="25"/>
  <c r="O43" i="25"/>
  <c r="P43" i="25"/>
  <c r="G41" i="25"/>
  <c r="H41" i="25"/>
  <c r="I41" i="25"/>
  <c r="J41" i="25"/>
  <c r="K41" i="25"/>
  <c r="L41" i="25"/>
  <c r="M41" i="25"/>
  <c r="N41" i="25"/>
  <c r="O41" i="25"/>
  <c r="P41" i="25"/>
  <c r="G40" i="25"/>
  <c r="H40" i="25"/>
  <c r="I40" i="25"/>
  <c r="J40" i="25"/>
  <c r="K40" i="25"/>
  <c r="L40" i="25"/>
  <c r="M40" i="25"/>
  <c r="N40" i="25"/>
  <c r="O40" i="25"/>
  <c r="P40" i="25"/>
  <c r="G39" i="25"/>
  <c r="H39" i="25"/>
  <c r="I39" i="25"/>
  <c r="J39" i="25"/>
  <c r="K39" i="25"/>
  <c r="L39" i="25"/>
  <c r="M39" i="25"/>
  <c r="N39" i="25"/>
  <c r="O39" i="25"/>
  <c r="P39" i="25"/>
  <c r="G38" i="25"/>
  <c r="H38" i="25"/>
  <c r="I38" i="25"/>
  <c r="J38" i="25"/>
  <c r="K38" i="25"/>
  <c r="L38" i="25"/>
  <c r="M38" i="25"/>
  <c r="N38" i="25"/>
  <c r="O38" i="25"/>
  <c r="P38" i="25"/>
  <c r="G37" i="25"/>
  <c r="H37" i="25"/>
  <c r="I37" i="25"/>
  <c r="J37" i="25"/>
  <c r="K37" i="25"/>
  <c r="L37" i="25"/>
  <c r="M37" i="25"/>
  <c r="N37" i="25"/>
  <c r="O37" i="25"/>
  <c r="P37" i="25"/>
  <c r="G36" i="25"/>
  <c r="H36" i="25"/>
  <c r="I36" i="25"/>
  <c r="J36" i="25"/>
  <c r="K36" i="25"/>
  <c r="L36" i="25"/>
  <c r="M36" i="25"/>
  <c r="N36" i="25"/>
  <c r="O36" i="25"/>
  <c r="P36" i="25"/>
  <c r="G35" i="25"/>
  <c r="H35" i="25"/>
  <c r="I35" i="25"/>
  <c r="J35" i="25"/>
  <c r="K35" i="25"/>
  <c r="L35" i="25"/>
  <c r="M35" i="25"/>
  <c r="N35" i="25"/>
  <c r="O35" i="25"/>
  <c r="P35" i="25"/>
  <c r="G34" i="25"/>
  <c r="H34" i="25"/>
  <c r="I34" i="25"/>
  <c r="J34" i="25"/>
  <c r="K34" i="25"/>
  <c r="L34" i="25"/>
  <c r="M34" i="25"/>
  <c r="N34" i="25"/>
  <c r="O34" i="25"/>
  <c r="P34" i="25"/>
  <c r="G32" i="25"/>
  <c r="H32" i="25"/>
  <c r="I32" i="25"/>
  <c r="J32" i="25"/>
  <c r="K32" i="25"/>
  <c r="L32" i="25"/>
  <c r="M32" i="25"/>
  <c r="N32" i="25"/>
  <c r="O32" i="25"/>
  <c r="P32" i="25"/>
  <c r="G31" i="25"/>
  <c r="H31" i="25"/>
  <c r="I31" i="25"/>
  <c r="J31" i="25"/>
  <c r="K31" i="25"/>
  <c r="L31" i="25"/>
  <c r="M31" i="25"/>
  <c r="N31" i="25"/>
  <c r="O31" i="25"/>
  <c r="P31" i="25"/>
  <c r="G30" i="25"/>
  <c r="H30" i="25"/>
  <c r="I30" i="25"/>
  <c r="J30" i="25"/>
  <c r="K30" i="25"/>
  <c r="L30" i="25"/>
  <c r="M30" i="25"/>
  <c r="N30" i="25"/>
  <c r="O30" i="25"/>
  <c r="P30" i="25"/>
  <c r="G29" i="25"/>
  <c r="H29" i="25"/>
  <c r="I29" i="25"/>
  <c r="J29" i="25"/>
  <c r="K29" i="25"/>
  <c r="L29" i="25"/>
  <c r="M29" i="25"/>
  <c r="N29" i="25"/>
  <c r="O29" i="25"/>
  <c r="P29" i="25"/>
  <c r="G28" i="25"/>
  <c r="H28" i="25"/>
  <c r="I28" i="25"/>
  <c r="J28" i="25"/>
  <c r="K28" i="25"/>
  <c r="L28" i="25"/>
  <c r="M28" i="25"/>
  <c r="N28" i="25"/>
  <c r="O28" i="25"/>
  <c r="P28" i="25"/>
  <c r="G27" i="25"/>
  <c r="H27" i="25"/>
  <c r="I27" i="25"/>
  <c r="J27" i="25"/>
  <c r="K27" i="25"/>
  <c r="L27" i="25"/>
  <c r="M27" i="25"/>
  <c r="N27" i="25"/>
  <c r="O27" i="25"/>
  <c r="P27" i="25"/>
  <c r="G50" i="24"/>
  <c r="H50" i="24"/>
  <c r="I50" i="24"/>
  <c r="J50" i="24"/>
  <c r="K50" i="24"/>
  <c r="L50" i="24"/>
  <c r="M50" i="24"/>
  <c r="N50" i="24"/>
  <c r="O50" i="24"/>
  <c r="P50" i="24"/>
  <c r="G49" i="24"/>
  <c r="H49" i="24"/>
  <c r="I49" i="24"/>
  <c r="J49" i="24"/>
  <c r="K49" i="24"/>
  <c r="L49" i="24"/>
  <c r="M49" i="24"/>
  <c r="N49" i="24"/>
  <c r="O49" i="24"/>
  <c r="P49" i="24"/>
  <c r="G48" i="24"/>
  <c r="H48" i="24"/>
  <c r="I48" i="24"/>
  <c r="J48" i="24"/>
  <c r="K48" i="24"/>
  <c r="L48" i="24"/>
  <c r="M48" i="24"/>
  <c r="N48" i="24"/>
  <c r="O48" i="24"/>
  <c r="P48" i="24"/>
  <c r="G47" i="24"/>
  <c r="H47" i="24"/>
  <c r="I47" i="24"/>
  <c r="J47" i="24"/>
  <c r="K47" i="24"/>
  <c r="L47" i="24"/>
  <c r="M47" i="24"/>
  <c r="N47" i="24"/>
  <c r="O47" i="24"/>
  <c r="P47" i="24"/>
  <c r="G46" i="24"/>
  <c r="H46" i="24"/>
  <c r="I46" i="24"/>
  <c r="J46" i="24"/>
  <c r="K46" i="24"/>
  <c r="L46" i="24"/>
  <c r="M46" i="24"/>
  <c r="N46" i="24"/>
  <c r="O46" i="24"/>
  <c r="P46" i="24"/>
  <c r="G45" i="24"/>
  <c r="H45" i="24"/>
  <c r="I45" i="24"/>
  <c r="J45" i="24"/>
  <c r="K45" i="24"/>
  <c r="L45" i="24"/>
  <c r="M45" i="24"/>
  <c r="N45" i="24"/>
  <c r="O45" i="24"/>
  <c r="P45" i="24"/>
  <c r="G44" i="24"/>
  <c r="H44" i="24"/>
  <c r="I44" i="24"/>
  <c r="J44" i="24"/>
  <c r="K44" i="24"/>
  <c r="L44" i="24"/>
  <c r="M44" i="24"/>
  <c r="N44" i="24"/>
  <c r="O44" i="24"/>
  <c r="P44" i="24"/>
  <c r="G43" i="24"/>
  <c r="H43" i="24"/>
  <c r="I43" i="24"/>
  <c r="J43" i="24"/>
  <c r="K43" i="24"/>
  <c r="L43" i="24"/>
  <c r="M43" i="24"/>
  <c r="N43" i="24"/>
  <c r="O43" i="24"/>
  <c r="P43" i="24"/>
  <c r="G41" i="24"/>
  <c r="H41" i="24"/>
  <c r="I41" i="24"/>
  <c r="J41" i="24"/>
  <c r="K41" i="24"/>
  <c r="L41" i="24"/>
  <c r="M41" i="24"/>
  <c r="N41" i="24"/>
  <c r="O41" i="24"/>
  <c r="P41" i="24"/>
  <c r="G40" i="24"/>
  <c r="H40" i="24"/>
  <c r="I40" i="24"/>
  <c r="J40" i="24"/>
  <c r="K40" i="24"/>
  <c r="L40" i="24"/>
  <c r="M40" i="24"/>
  <c r="N40" i="24"/>
  <c r="O40" i="24"/>
  <c r="P40" i="24"/>
  <c r="G39" i="24"/>
  <c r="H39" i="24"/>
  <c r="I39" i="24"/>
  <c r="J39" i="24"/>
  <c r="K39" i="24"/>
  <c r="L39" i="24"/>
  <c r="M39" i="24"/>
  <c r="N39" i="24"/>
  <c r="O39" i="24"/>
  <c r="P39" i="24"/>
  <c r="G38" i="24"/>
  <c r="H38" i="24"/>
  <c r="I38" i="24"/>
  <c r="J38" i="24"/>
  <c r="K38" i="24"/>
  <c r="L38" i="24"/>
  <c r="M38" i="24"/>
  <c r="N38" i="24"/>
  <c r="O38" i="24"/>
  <c r="P38" i="24"/>
  <c r="G37" i="24"/>
  <c r="H37" i="24"/>
  <c r="I37" i="24"/>
  <c r="J37" i="24"/>
  <c r="K37" i="24"/>
  <c r="L37" i="24"/>
  <c r="M37" i="24"/>
  <c r="N37" i="24"/>
  <c r="O37" i="24"/>
  <c r="P37" i="24"/>
  <c r="G36" i="24"/>
  <c r="H36" i="24"/>
  <c r="I36" i="24"/>
  <c r="J36" i="24"/>
  <c r="K36" i="24"/>
  <c r="L36" i="24"/>
  <c r="M36" i="24"/>
  <c r="N36" i="24"/>
  <c r="O36" i="24"/>
  <c r="P36" i="24"/>
  <c r="G35" i="24"/>
  <c r="H35" i="24"/>
  <c r="I35" i="24"/>
  <c r="J35" i="24"/>
  <c r="K35" i="24"/>
  <c r="L35" i="24"/>
  <c r="M35" i="24"/>
  <c r="N35" i="24"/>
  <c r="O35" i="24"/>
  <c r="P35" i="24"/>
  <c r="G34" i="24"/>
  <c r="H34" i="24"/>
  <c r="I34" i="24"/>
  <c r="J34" i="24"/>
  <c r="K34" i="24"/>
  <c r="L34" i="24"/>
  <c r="M34" i="24"/>
  <c r="N34" i="24"/>
  <c r="O34" i="24"/>
  <c r="P34" i="24"/>
  <c r="G32" i="24"/>
  <c r="H32" i="24"/>
  <c r="I32" i="24"/>
  <c r="J32" i="24"/>
  <c r="K32" i="24"/>
  <c r="L32" i="24"/>
  <c r="M32" i="24"/>
  <c r="N32" i="24"/>
  <c r="O32" i="24"/>
  <c r="P32" i="24"/>
  <c r="G31" i="24"/>
  <c r="H31" i="24"/>
  <c r="I31" i="24"/>
  <c r="J31" i="24"/>
  <c r="K31" i="24"/>
  <c r="L31" i="24"/>
  <c r="M31" i="24"/>
  <c r="N31" i="24"/>
  <c r="O31" i="24"/>
  <c r="P31" i="24"/>
  <c r="G30" i="24"/>
  <c r="H30" i="24"/>
  <c r="I30" i="24"/>
  <c r="J30" i="24"/>
  <c r="K30" i="24"/>
  <c r="L30" i="24"/>
  <c r="M30" i="24"/>
  <c r="N30" i="24"/>
  <c r="O30" i="24"/>
  <c r="P30" i="24"/>
  <c r="G29" i="24"/>
  <c r="H29" i="24"/>
  <c r="I29" i="24"/>
  <c r="J29" i="24"/>
  <c r="K29" i="24"/>
  <c r="L29" i="24"/>
  <c r="M29" i="24"/>
  <c r="N29" i="24"/>
  <c r="O29" i="24"/>
  <c r="P29" i="24"/>
  <c r="G28" i="24"/>
  <c r="H28" i="24"/>
  <c r="I28" i="24"/>
  <c r="J28" i="24"/>
  <c r="K28" i="24"/>
  <c r="L28" i="24"/>
  <c r="M28" i="24"/>
  <c r="N28" i="24"/>
  <c r="O28" i="24"/>
  <c r="P28" i="24"/>
  <c r="G27" i="24"/>
  <c r="H27" i="24"/>
  <c r="I27" i="24"/>
  <c r="J27" i="24"/>
  <c r="K27" i="24"/>
  <c r="L27" i="24"/>
  <c r="M27" i="24"/>
  <c r="N27" i="24"/>
  <c r="O27" i="24"/>
  <c r="P27" i="24"/>
  <c r="G25" i="26"/>
  <c r="H25" i="26"/>
  <c r="I25" i="26"/>
  <c r="J25" i="26"/>
  <c r="K25" i="26"/>
  <c r="L25" i="26"/>
  <c r="M25" i="26"/>
  <c r="N25" i="26"/>
  <c r="O25" i="26"/>
  <c r="P25" i="26"/>
  <c r="G24" i="26"/>
  <c r="H24" i="26"/>
  <c r="I24" i="26"/>
  <c r="J24" i="26"/>
  <c r="K24" i="26"/>
  <c r="L24" i="26"/>
  <c r="M24" i="26"/>
  <c r="N24" i="26"/>
  <c r="O24" i="26"/>
  <c r="P24" i="26"/>
  <c r="G23" i="26"/>
  <c r="H23" i="26"/>
  <c r="I23" i="26"/>
  <c r="J23" i="26"/>
  <c r="K23" i="26"/>
  <c r="L23" i="26"/>
  <c r="M23" i="26"/>
  <c r="N23" i="26"/>
  <c r="O23" i="26"/>
  <c r="P23" i="26"/>
  <c r="G22" i="26"/>
  <c r="H22" i="26"/>
  <c r="I22" i="26"/>
  <c r="J22" i="26"/>
  <c r="K22" i="26"/>
  <c r="L22" i="26"/>
  <c r="M22" i="26"/>
  <c r="N22" i="26"/>
  <c r="O22" i="26"/>
  <c r="P22" i="26"/>
  <c r="G21" i="26"/>
  <c r="H21" i="26"/>
  <c r="I21" i="26"/>
  <c r="J21" i="26"/>
  <c r="K21" i="26"/>
  <c r="L21" i="26"/>
  <c r="M21" i="26"/>
  <c r="N21" i="26"/>
  <c r="O21" i="26"/>
  <c r="P21" i="26"/>
  <c r="G20" i="26"/>
  <c r="H20" i="26"/>
  <c r="I20" i="26"/>
  <c r="J20" i="26"/>
  <c r="K20" i="26"/>
  <c r="L20" i="26"/>
  <c r="M20" i="26"/>
  <c r="N20" i="26"/>
  <c r="O20" i="26"/>
  <c r="P20" i="26"/>
  <c r="G19" i="26"/>
  <c r="H19" i="26"/>
  <c r="I19" i="26"/>
  <c r="J19" i="26"/>
  <c r="K19" i="26"/>
  <c r="L19" i="26"/>
  <c r="M19" i="26"/>
  <c r="N19" i="26"/>
  <c r="O19" i="26"/>
  <c r="P19" i="26"/>
  <c r="G18" i="26"/>
  <c r="H18" i="26"/>
  <c r="I18" i="26"/>
  <c r="J18" i="26"/>
  <c r="K18" i="26"/>
  <c r="L18" i="26"/>
  <c r="M18" i="26"/>
  <c r="N18" i="26"/>
  <c r="O18" i="26"/>
  <c r="P18" i="26"/>
  <c r="G17" i="26"/>
  <c r="H17" i="26"/>
  <c r="I17" i="26"/>
  <c r="J17" i="26"/>
  <c r="K17" i="26"/>
  <c r="L17" i="26"/>
  <c r="M17" i="26"/>
  <c r="N17" i="26"/>
  <c r="O17" i="26"/>
  <c r="P17" i="26"/>
  <c r="G16" i="26"/>
  <c r="H16" i="26"/>
  <c r="I16" i="26"/>
  <c r="J16" i="26"/>
  <c r="K16" i="26"/>
  <c r="L16" i="26"/>
  <c r="M16" i="26"/>
  <c r="N16" i="26"/>
  <c r="O16" i="26"/>
  <c r="P16" i="26"/>
  <c r="G15" i="26"/>
  <c r="H15" i="26"/>
  <c r="I15" i="26"/>
  <c r="J15" i="26"/>
  <c r="K15" i="26"/>
  <c r="L15" i="26"/>
  <c r="M15" i="26"/>
  <c r="N15" i="26"/>
  <c r="O15" i="26"/>
  <c r="P15" i="26"/>
  <c r="G14" i="26"/>
  <c r="H14" i="26"/>
  <c r="I14" i="26"/>
  <c r="J14" i="26"/>
  <c r="K14" i="26"/>
  <c r="L14" i="26"/>
  <c r="M14" i="26"/>
  <c r="N14" i="26"/>
  <c r="O14" i="26"/>
  <c r="P14" i="26"/>
  <c r="G12" i="26"/>
  <c r="H12" i="26"/>
  <c r="I12" i="26"/>
  <c r="J12" i="26"/>
  <c r="K12" i="26"/>
  <c r="L12" i="26"/>
  <c r="M12" i="26"/>
  <c r="N12" i="26"/>
  <c r="O12" i="26"/>
  <c r="P12" i="26"/>
  <c r="G11" i="26"/>
  <c r="H11" i="26"/>
  <c r="I11" i="26"/>
  <c r="J11" i="26"/>
  <c r="K11" i="26"/>
  <c r="L11" i="26"/>
  <c r="M11" i="26"/>
  <c r="N11" i="26"/>
  <c r="O11" i="26"/>
  <c r="P11" i="26"/>
  <c r="G10" i="26"/>
  <c r="H10" i="26"/>
  <c r="I10" i="26"/>
  <c r="J10" i="26"/>
  <c r="K10" i="26"/>
  <c r="L10" i="26"/>
  <c r="M10" i="26"/>
  <c r="N10" i="26"/>
  <c r="O10" i="26"/>
  <c r="P10" i="26"/>
  <c r="G9" i="26"/>
  <c r="H9" i="26"/>
  <c r="I9" i="26"/>
  <c r="J9" i="26"/>
  <c r="K9" i="26"/>
  <c r="L9" i="26"/>
  <c r="M9" i="26"/>
  <c r="N9" i="26"/>
  <c r="O9" i="26"/>
  <c r="P9" i="26"/>
  <c r="G8" i="26"/>
  <c r="H8" i="26"/>
  <c r="I8" i="26"/>
  <c r="J8" i="26"/>
  <c r="K8" i="26"/>
  <c r="L8" i="26"/>
  <c r="M8" i="26"/>
  <c r="N8" i="26"/>
  <c r="O8" i="26"/>
  <c r="P8" i="26"/>
  <c r="G7" i="26"/>
  <c r="H7" i="26"/>
  <c r="I7" i="26"/>
  <c r="J7" i="26"/>
  <c r="K7" i="26"/>
  <c r="L7" i="26"/>
  <c r="M7" i="26"/>
  <c r="N7" i="26"/>
  <c r="O7" i="26"/>
  <c r="P7" i="26"/>
  <c r="F40" i="26"/>
  <c r="F30" i="26"/>
  <c r="F11" i="26"/>
  <c r="F10" i="26"/>
  <c r="F9" i="26"/>
  <c r="F8" i="26"/>
  <c r="F7" i="26"/>
  <c r="G25" i="25"/>
  <c r="H25" i="25"/>
  <c r="I25" i="25"/>
  <c r="J25" i="25"/>
  <c r="K25" i="25"/>
  <c r="L25" i="25"/>
  <c r="M25" i="25"/>
  <c r="N25" i="25"/>
  <c r="O25" i="25"/>
  <c r="P25" i="25"/>
  <c r="G24" i="25"/>
  <c r="H24" i="25"/>
  <c r="I24" i="25"/>
  <c r="J24" i="25"/>
  <c r="K24" i="25"/>
  <c r="L24" i="25"/>
  <c r="M24" i="25"/>
  <c r="N24" i="25"/>
  <c r="O24" i="25"/>
  <c r="P24" i="25"/>
  <c r="G23" i="25"/>
  <c r="H23" i="25"/>
  <c r="I23" i="25"/>
  <c r="J23" i="25"/>
  <c r="K23" i="25"/>
  <c r="L23" i="25"/>
  <c r="M23" i="25"/>
  <c r="N23" i="25"/>
  <c r="O23" i="25"/>
  <c r="P23" i="25"/>
  <c r="G22" i="25"/>
  <c r="H22" i="25"/>
  <c r="I22" i="25"/>
  <c r="J22" i="25"/>
  <c r="K22" i="25"/>
  <c r="L22" i="25"/>
  <c r="M22" i="25"/>
  <c r="N22" i="25"/>
  <c r="O22" i="25"/>
  <c r="P22" i="25"/>
  <c r="G21" i="25"/>
  <c r="H21" i="25"/>
  <c r="I21" i="25"/>
  <c r="J21" i="25"/>
  <c r="K21" i="25"/>
  <c r="L21" i="25"/>
  <c r="M21" i="25"/>
  <c r="N21" i="25"/>
  <c r="O21" i="25"/>
  <c r="P21" i="25"/>
  <c r="G20" i="25"/>
  <c r="H20" i="25"/>
  <c r="I20" i="25"/>
  <c r="J20" i="25"/>
  <c r="K20" i="25"/>
  <c r="L20" i="25"/>
  <c r="M20" i="25"/>
  <c r="N20" i="25"/>
  <c r="O20" i="25"/>
  <c r="P20" i="25"/>
  <c r="G19" i="25"/>
  <c r="H19" i="25"/>
  <c r="I19" i="25"/>
  <c r="J19" i="25"/>
  <c r="K19" i="25"/>
  <c r="L19" i="25"/>
  <c r="M19" i="25"/>
  <c r="N19" i="25"/>
  <c r="O19" i="25"/>
  <c r="P19" i="25"/>
  <c r="G18" i="25"/>
  <c r="H18" i="25"/>
  <c r="I18" i="25"/>
  <c r="J18" i="25"/>
  <c r="K18" i="25"/>
  <c r="L18" i="25"/>
  <c r="M18" i="25"/>
  <c r="N18" i="25"/>
  <c r="O18" i="25"/>
  <c r="P18" i="25"/>
  <c r="G17" i="25"/>
  <c r="H17" i="25"/>
  <c r="I17" i="25"/>
  <c r="J17" i="25"/>
  <c r="K17" i="25"/>
  <c r="L17" i="25"/>
  <c r="M17" i="25"/>
  <c r="N17" i="25"/>
  <c r="O17" i="25"/>
  <c r="P17" i="25"/>
  <c r="G16" i="25"/>
  <c r="H16" i="25"/>
  <c r="I16" i="25"/>
  <c r="J16" i="25"/>
  <c r="K16" i="25"/>
  <c r="L16" i="25"/>
  <c r="M16" i="25"/>
  <c r="N16" i="25"/>
  <c r="O16" i="25"/>
  <c r="P16" i="25"/>
  <c r="G15" i="25"/>
  <c r="H15" i="25"/>
  <c r="I15" i="25"/>
  <c r="J15" i="25"/>
  <c r="K15" i="25"/>
  <c r="L15" i="25"/>
  <c r="M15" i="25"/>
  <c r="N15" i="25"/>
  <c r="O15" i="25"/>
  <c r="P15" i="25"/>
  <c r="G14" i="25"/>
  <c r="H14" i="25"/>
  <c r="I14" i="25"/>
  <c r="J14" i="25"/>
  <c r="K14" i="25"/>
  <c r="L14" i="25"/>
  <c r="M14" i="25"/>
  <c r="N14" i="25"/>
  <c r="O14" i="25"/>
  <c r="P14" i="25"/>
  <c r="G12" i="25"/>
  <c r="H12" i="25"/>
  <c r="I12" i="25"/>
  <c r="J12" i="25"/>
  <c r="K12" i="25"/>
  <c r="L12" i="25"/>
  <c r="M12" i="25"/>
  <c r="N12" i="25"/>
  <c r="O12" i="25"/>
  <c r="P12" i="25"/>
  <c r="G11" i="25"/>
  <c r="H11" i="25"/>
  <c r="I11" i="25"/>
  <c r="J11" i="25"/>
  <c r="K11" i="25"/>
  <c r="L11" i="25"/>
  <c r="M11" i="25"/>
  <c r="N11" i="25"/>
  <c r="O11" i="25"/>
  <c r="P11" i="25"/>
  <c r="G10" i="25"/>
  <c r="H10" i="25"/>
  <c r="I10" i="25"/>
  <c r="J10" i="25"/>
  <c r="K10" i="25"/>
  <c r="L10" i="25"/>
  <c r="M10" i="25"/>
  <c r="N10" i="25"/>
  <c r="O10" i="25"/>
  <c r="P10" i="25"/>
  <c r="G9" i="25"/>
  <c r="H9" i="25"/>
  <c r="I9" i="25"/>
  <c r="J9" i="25"/>
  <c r="K9" i="25"/>
  <c r="L9" i="25"/>
  <c r="M9" i="25"/>
  <c r="N9" i="25"/>
  <c r="O9" i="25"/>
  <c r="P9" i="25"/>
  <c r="G8" i="25"/>
  <c r="H8" i="25"/>
  <c r="I8" i="25"/>
  <c r="J8" i="25"/>
  <c r="K8" i="25"/>
  <c r="L8" i="25"/>
  <c r="M8" i="25"/>
  <c r="N8" i="25"/>
  <c r="O8" i="25"/>
  <c r="P8" i="25"/>
  <c r="G7" i="25"/>
  <c r="H7" i="25"/>
  <c r="I7" i="25"/>
  <c r="J7" i="25"/>
  <c r="K7" i="25"/>
  <c r="L7" i="25"/>
  <c r="M7" i="25"/>
  <c r="N7" i="25"/>
  <c r="O7" i="25"/>
  <c r="P7" i="25"/>
  <c r="F40" i="25"/>
  <c r="F30" i="25"/>
  <c r="F11" i="25"/>
  <c r="F10" i="25"/>
  <c r="F9" i="25"/>
  <c r="F8" i="25"/>
  <c r="F7" i="25"/>
  <c r="G25" i="24"/>
  <c r="H25" i="24"/>
  <c r="I25" i="24"/>
  <c r="J25" i="24"/>
  <c r="K25" i="24"/>
  <c r="L25" i="24"/>
  <c r="M25" i="24"/>
  <c r="N25" i="24"/>
  <c r="O25" i="24"/>
  <c r="P25" i="24"/>
  <c r="G24" i="24"/>
  <c r="H24" i="24"/>
  <c r="I24" i="24"/>
  <c r="J24" i="24"/>
  <c r="K24" i="24"/>
  <c r="L24" i="24"/>
  <c r="M24" i="24"/>
  <c r="N24" i="24"/>
  <c r="O24" i="24"/>
  <c r="P24" i="24"/>
  <c r="G23" i="24"/>
  <c r="H23" i="24"/>
  <c r="I23" i="24"/>
  <c r="J23" i="24"/>
  <c r="K23" i="24"/>
  <c r="L23" i="24"/>
  <c r="M23" i="24"/>
  <c r="N23" i="24"/>
  <c r="O23" i="24"/>
  <c r="P23" i="24"/>
  <c r="G22" i="24"/>
  <c r="H22" i="24"/>
  <c r="I22" i="24"/>
  <c r="J22" i="24"/>
  <c r="K22" i="24"/>
  <c r="L22" i="24"/>
  <c r="M22" i="24"/>
  <c r="N22" i="24"/>
  <c r="O22" i="24"/>
  <c r="P22" i="24"/>
  <c r="G21" i="24"/>
  <c r="H21" i="24"/>
  <c r="I21" i="24"/>
  <c r="J21" i="24"/>
  <c r="K21" i="24"/>
  <c r="L21" i="24"/>
  <c r="M21" i="24"/>
  <c r="N21" i="24"/>
  <c r="O21" i="24"/>
  <c r="P21" i="24"/>
  <c r="G20" i="24"/>
  <c r="H20" i="24"/>
  <c r="I20" i="24"/>
  <c r="J20" i="24"/>
  <c r="K20" i="24"/>
  <c r="L20" i="24"/>
  <c r="M20" i="24"/>
  <c r="N20" i="24"/>
  <c r="O20" i="24"/>
  <c r="P20" i="24"/>
  <c r="G19" i="24"/>
  <c r="H19" i="24"/>
  <c r="I19" i="24"/>
  <c r="J19" i="24"/>
  <c r="K19" i="24"/>
  <c r="L19" i="24"/>
  <c r="M19" i="24"/>
  <c r="N19" i="24"/>
  <c r="O19" i="24"/>
  <c r="P19" i="24"/>
  <c r="G18" i="24"/>
  <c r="H18" i="24"/>
  <c r="I18" i="24"/>
  <c r="J18" i="24"/>
  <c r="K18" i="24"/>
  <c r="L18" i="24"/>
  <c r="M18" i="24"/>
  <c r="N18" i="24"/>
  <c r="O18" i="24"/>
  <c r="P18" i="24"/>
  <c r="G17" i="24"/>
  <c r="H17" i="24"/>
  <c r="I17" i="24"/>
  <c r="J17" i="24"/>
  <c r="K17" i="24"/>
  <c r="L17" i="24"/>
  <c r="M17" i="24"/>
  <c r="N17" i="24"/>
  <c r="O17" i="24"/>
  <c r="P17" i="24"/>
  <c r="G16" i="24"/>
  <c r="H16" i="24"/>
  <c r="I16" i="24"/>
  <c r="J16" i="24"/>
  <c r="K16" i="24"/>
  <c r="L16" i="24"/>
  <c r="M16" i="24"/>
  <c r="N16" i="24"/>
  <c r="O16" i="24"/>
  <c r="P16" i="24"/>
  <c r="G15" i="24"/>
  <c r="H15" i="24"/>
  <c r="I15" i="24"/>
  <c r="J15" i="24"/>
  <c r="K15" i="24"/>
  <c r="L15" i="24"/>
  <c r="M15" i="24"/>
  <c r="N15" i="24"/>
  <c r="O15" i="24"/>
  <c r="P15" i="24"/>
  <c r="G14" i="24"/>
  <c r="H14" i="24"/>
  <c r="I14" i="24"/>
  <c r="J14" i="24"/>
  <c r="K14" i="24"/>
  <c r="L14" i="24"/>
  <c r="M14" i="24"/>
  <c r="N14" i="24"/>
  <c r="O14" i="24"/>
  <c r="P14" i="24"/>
  <c r="G12" i="24"/>
  <c r="H12" i="24"/>
  <c r="I12" i="24"/>
  <c r="J12" i="24"/>
  <c r="K12" i="24"/>
  <c r="L12" i="24"/>
  <c r="M12" i="24"/>
  <c r="N12" i="24"/>
  <c r="O12" i="24"/>
  <c r="P12" i="24"/>
  <c r="G11" i="24"/>
  <c r="H11" i="24"/>
  <c r="I11" i="24"/>
  <c r="J11" i="24"/>
  <c r="K11" i="24"/>
  <c r="L11" i="24"/>
  <c r="M11" i="24"/>
  <c r="N11" i="24"/>
  <c r="O11" i="24"/>
  <c r="P11" i="24"/>
  <c r="G10" i="24"/>
  <c r="H10" i="24"/>
  <c r="I10" i="24"/>
  <c r="J10" i="24"/>
  <c r="K10" i="24"/>
  <c r="L10" i="24"/>
  <c r="M10" i="24"/>
  <c r="N10" i="24"/>
  <c r="O10" i="24"/>
  <c r="P10" i="24"/>
  <c r="G9" i="24"/>
  <c r="H9" i="24"/>
  <c r="I9" i="24"/>
  <c r="J9" i="24"/>
  <c r="K9" i="24"/>
  <c r="L9" i="24"/>
  <c r="M9" i="24"/>
  <c r="N9" i="24"/>
  <c r="O9" i="24"/>
  <c r="P9" i="24"/>
  <c r="G8" i="24"/>
  <c r="H8" i="24"/>
  <c r="I8" i="24"/>
  <c r="J8" i="24"/>
  <c r="K8" i="24"/>
  <c r="L8" i="24"/>
  <c r="M8" i="24"/>
  <c r="N8" i="24"/>
  <c r="O8" i="24"/>
  <c r="P8" i="24"/>
  <c r="G7" i="24"/>
  <c r="H7" i="24"/>
  <c r="I7" i="24"/>
  <c r="J7" i="24"/>
  <c r="K7" i="24"/>
  <c r="L7" i="24"/>
  <c r="M7" i="24"/>
  <c r="N7" i="24"/>
  <c r="O7" i="24"/>
  <c r="P7" i="24"/>
  <c r="F40" i="24"/>
  <c r="F30" i="24"/>
  <c r="F11" i="24"/>
  <c r="F10" i="24"/>
  <c r="F9" i="24"/>
  <c r="F8" i="24"/>
  <c r="F7" i="24"/>
  <c r="D46" i="9" a="1"/>
  <c r="D46" i="9"/>
  <c r="E46" i="9" a="1"/>
  <c r="E46" i="9"/>
  <c r="F46" i="9" a="1"/>
  <c r="F46" i="9"/>
  <c r="G46" i="9" a="1"/>
  <c r="G46" i="9"/>
  <c r="H46" i="9" a="1"/>
  <c r="H46" i="9"/>
  <c r="D45" i="9" a="1"/>
  <c r="D45" i="9"/>
  <c r="E45" i="9" a="1"/>
  <c r="E45" i="9"/>
  <c r="F45" i="9" a="1"/>
  <c r="F45" i="9"/>
  <c r="G45" i="9" a="1"/>
  <c r="G45" i="9"/>
  <c r="H45" i="9" a="1"/>
  <c r="H45" i="9"/>
  <c r="D44" i="9" a="1"/>
  <c r="D44" i="9"/>
  <c r="E44" i="9" a="1"/>
  <c r="E44" i="9"/>
  <c r="F44" i="9" a="1"/>
  <c r="F44" i="9"/>
  <c r="G44" i="9" a="1"/>
  <c r="G44" i="9"/>
  <c r="H44" i="9" a="1"/>
  <c r="H44" i="9"/>
  <c r="D43" i="9" a="1"/>
  <c r="D43" i="9"/>
  <c r="E43" i="9" a="1"/>
  <c r="E43" i="9"/>
  <c r="F43" i="9" a="1"/>
  <c r="F43" i="9"/>
  <c r="G43" i="9" a="1"/>
  <c r="G43" i="9"/>
  <c r="H43" i="9" a="1"/>
  <c r="H43" i="9"/>
  <c r="D42" i="9" a="1"/>
  <c r="D42" i="9"/>
  <c r="E42" i="9" a="1"/>
  <c r="E42" i="9"/>
  <c r="F42" i="9" a="1"/>
  <c r="F42" i="9"/>
  <c r="G42" i="9" a="1"/>
  <c r="G42" i="9"/>
  <c r="H42" i="9" a="1"/>
  <c r="H42" i="9"/>
  <c r="D37" i="9" a="1"/>
  <c r="D37" i="9"/>
  <c r="E37" i="9" a="1"/>
  <c r="E37" i="9"/>
  <c r="F37" i="9" a="1"/>
  <c r="F37" i="9"/>
  <c r="G37" i="9" a="1"/>
  <c r="G37" i="9"/>
  <c r="H37" i="9" a="1"/>
  <c r="H37" i="9"/>
  <c r="D36" i="9" a="1"/>
  <c r="D36" i="9"/>
  <c r="E36" i="9" a="1"/>
  <c r="E36" i="9"/>
  <c r="F36" i="9" a="1"/>
  <c r="F36" i="9"/>
  <c r="G36" i="9" a="1"/>
  <c r="G36" i="9"/>
  <c r="H36" i="9" a="1"/>
  <c r="H36" i="9"/>
  <c r="D35" i="9" a="1"/>
  <c r="D35" i="9"/>
  <c r="E35" i="9" a="1"/>
  <c r="E35" i="9"/>
  <c r="F35" i="9" a="1"/>
  <c r="F35" i="9"/>
  <c r="G35" i="9" a="1"/>
  <c r="G35" i="9"/>
  <c r="H35" i="9" a="1"/>
  <c r="H35" i="9"/>
  <c r="D34" i="9" a="1"/>
  <c r="D34" i="9"/>
  <c r="E34" i="9" a="1"/>
  <c r="E34" i="9"/>
  <c r="F34" i="9" a="1"/>
  <c r="F34" i="9"/>
  <c r="G34" i="9" a="1"/>
  <c r="G34" i="9"/>
  <c r="H34" i="9" a="1"/>
  <c r="H34" i="9"/>
  <c r="D33" i="9" a="1"/>
  <c r="D33" i="9"/>
  <c r="E33" i="9" a="1"/>
  <c r="E33" i="9"/>
  <c r="F33" i="9" a="1"/>
  <c r="F33" i="9"/>
  <c r="G33" i="9" a="1"/>
  <c r="G33" i="9"/>
  <c r="H33" i="9" a="1"/>
  <c r="H33" i="9"/>
  <c r="D28" i="9" a="1"/>
  <c r="D28" i="9"/>
  <c r="E28" i="9" a="1"/>
  <c r="E28" i="9"/>
  <c r="F28" i="9" a="1"/>
  <c r="F28" i="9"/>
  <c r="G28" i="9" a="1"/>
  <c r="G28" i="9"/>
  <c r="H28" i="9" a="1"/>
  <c r="H28" i="9"/>
  <c r="D27" i="9" a="1"/>
  <c r="D27" i="9"/>
  <c r="E27" i="9" a="1"/>
  <c r="E27" i="9"/>
  <c r="F27" i="9" a="1"/>
  <c r="F27" i="9"/>
  <c r="G27" i="9" a="1"/>
  <c r="G27" i="9"/>
  <c r="H27" i="9" a="1"/>
  <c r="H27" i="9"/>
  <c r="D26" i="9" a="1"/>
  <c r="D26" i="9"/>
  <c r="E26" i="9" a="1"/>
  <c r="E26" i="9"/>
  <c r="F26" i="9" a="1"/>
  <c r="F26" i="9"/>
  <c r="G26" i="9" a="1"/>
  <c r="G26" i="9"/>
  <c r="H26" i="9" a="1"/>
  <c r="H26" i="9"/>
  <c r="D25" i="9" a="1"/>
  <c r="D25" i="9"/>
  <c r="E25" i="9" a="1"/>
  <c r="E25" i="9"/>
  <c r="F25" i="9" a="1"/>
  <c r="F25" i="9"/>
  <c r="G25" i="9" a="1"/>
  <c r="G25" i="9"/>
  <c r="H25" i="9" a="1"/>
  <c r="H25" i="9"/>
  <c r="D24" i="9" a="1"/>
  <c r="D24" i="9"/>
  <c r="E24" i="9" a="1"/>
  <c r="E24" i="9"/>
  <c r="F24" i="9" a="1"/>
  <c r="F24" i="9"/>
  <c r="G24" i="9" a="1"/>
  <c r="G24" i="9"/>
  <c r="H24" i="9" a="1"/>
  <c r="H24" i="9"/>
  <c r="D19" i="9" a="1"/>
  <c r="D19" i="9"/>
  <c r="E19" i="9" a="1"/>
  <c r="E19" i="9"/>
  <c r="F19" i="9" a="1"/>
  <c r="F19" i="9"/>
  <c r="G19" i="9" a="1"/>
  <c r="G19" i="9"/>
  <c r="H19" i="9" a="1"/>
  <c r="H19" i="9"/>
  <c r="D18" i="9" a="1"/>
  <c r="D18" i="9"/>
  <c r="E18" i="9" a="1"/>
  <c r="E18" i="9"/>
  <c r="F18" i="9" a="1"/>
  <c r="F18" i="9"/>
  <c r="G18" i="9" a="1"/>
  <c r="G18" i="9"/>
  <c r="H18" i="9" a="1"/>
  <c r="H18" i="9"/>
  <c r="D17" i="9" a="1"/>
  <c r="D17" i="9"/>
  <c r="E17" i="9" a="1"/>
  <c r="E17" i="9"/>
  <c r="F17" i="9" a="1"/>
  <c r="F17" i="9"/>
  <c r="G17" i="9" a="1"/>
  <c r="G17" i="9"/>
  <c r="H17" i="9" a="1"/>
  <c r="H17" i="9"/>
  <c r="D16" i="9" a="1"/>
  <c r="D16" i="9"/>
  <c r="E16" i="9" a="1"/>
  <c r="E16" i="9"/>
  <c r="F16" i="9" a="1"/>
  <c r="F16" i="9"/>
  <c r="G16" i="9" a="1"/>
  <c r="G16" i="9"/>
  <c r="H16" i="9" a="1"/>
  <c r="H16" i="9"/>
  <c r="D15" i="9" a="1"/>
  <c r="D15" i="9"/>
  <c r="E15" i="9" a="1"/>
  <c r="E15" i="9"/>
  <c r="F15" i="9" a="1"/>
  <c r="F15" i="9"/>
  <c r="G15" i="9" a="1"/>
  <c r="G15" i="9"/>
  <c r="H15" i="9" a="1"/>
  <c r="H15" i="9"/>
  <c r="D10" i="9" a="1"/>
  <c r="D10" i="9"/>
  <c r="E10" i="9" a="1"/>
  <c r="E10" i="9"/>
  <c r="F10" i="9" a="1"/>
  <c r="F10" i="9"/>
  <c r="G10" i="9" a="1"/>
  <c r="G10" i="9"/>
  <c r="H10" i="9" a="1"/>
  <c r="H10" i="9"/>
  <c r="D9" i="9" a="1"/>
  <c r="D9" i="9"/>
  <c r="E9" i="9" a="1"/>
  <c r="E9" i="9"/>
  <c r="F9" i="9" a="1"/>
  <c r="F9" i="9"/>
  <c r="G9" i="9" a="1"/>
  <c r="G9" i="9"/>
  <c r="H9" i="9" a="1"/>
  <c r="H9" i="9"/>
  <c r="D8" i="9" a="1"/>
  <c r="D8" i="9"/>
  <c r="E8" i="9" a="1"/>
  <c r="E8" i="9"/>
  <c r="F8" i="9" a="1"/>
  <c r="F8" i="9"/>
  <c r="G8" i="9" a="1"/>
  <c r="G8" i="9"/>
  <c r="H8" i="9" a="1"/>
  <c r="H8" i="9"/>
  <c r="D7" i="9" a="1"/>
  <c r="D7" i="9"/>
  <c r="E7" i="9" a="1"/>
  <c r="E7" i="9"/>
  <c r="F7" i="9" a="1"/>
  <c r="F7" i="9"/>
  <c r="G7" i="9" a="1"/>
  <c r="G7" i="9"/>
  <c r="H7" i="9" a="1"/>
  <c r="H7" i="9"/>
  <c r="D6" i="9" a="1"/>
  <c r="D6" i="9"/>
  <c r="E6" i="9" a="1"/>
  <c r="E6" i="9"/>
  <c r="F6" i="9" a="1"/>
  <c r="F6" i="9"/>
  <c r="G6" i="9" a="1"/>
  <c r="G6" i="9"/>
  <c r="H6" i="9" a="1"/>
  <c r="H6" i="9"/>
  <c r="F75" i="14"/>
  <c r="D75" i="14"/>
  <c r="F71" i="14"/>
  <c r="D71" i="14" a="1"/>
  <c r="D71" i="14"/>
  <c r="D76" i="14"/>
  <c r="F76" i="14" s="1"/>
  <c r="C69" i="3"/>
  <c r="D74" i="14"/>
  <c r="F74" i="14" s="1"/>
  <c r="F68" i="14"/>
  <c r="F67" i="14"/>
  <c r="F66" i="14"/>
  <c r="D65" i="14"/>
  <c r="F65" i="14" s="1"/>
  <c r="F64" i="14"/>
  <c r="F63" i="14"/>
  <c r="F59" i="14"/>
  <c r="F58" i="14"/>
  <c r="F47" i="14"/>
  <c r="F38" i="14"/>
  <c r="F36" i="14"/>
  <c r="D35" i="14"/>
  <c r="F35" i="14" s="1"/>
  <c r="G14" i="13"/>
  <c r="C17" i="12"/>
  <c r="D38" i="11"/>
  <c r="D5" i="11"/>
  <c r="D33" i="11" s="1"/>
  <c r="G84" i="6"/>
  <c r="H84" i="6"/>
  <c r="I84" i="6"/>
  <c r="J84" i="6"/>
  <c r="K84" i="6"/>
  <c r="L84" i="6"/>
  <c r="M84" i="6"/>
  <c r="N84" i="6"/>
  <c r="O84" i="6"/>
  <c r="P84" i="6"/>
  <c r="G69" i="6"/>
  <c r="H69" i="6"/>
  <c r="I69" i="6"/>
  <c r="J69" i="6"/>
  <c r="K69" i="6"/>
  <c r="L69" i="6"/>
  <c r="M69" i="6"/>
  <c r="N69" i="6"/>
  <c r="O69" i="6"/>
  <c r="P69" i="6"/>
  <c r="G57" i="6"/>
  <c r="H57" i="6"/>
  <c r="I57" i="6"/>
  <c r="J57" i="6"/>
  <c r="K57" i="6"/>
  <c r="L57" i="6"/>
  <c r="M57" i="6"/>
  <c r="N57" i="6"/>
  <c r="O57" i="6"/>
  <c r="P57" i="6"/>
  <c r="G56" i="6"/>
  <c r="H56" i="6"/>
  <c r="I56" i="6"/>
  <c r="J56" i="6"/>
  <c r="K56" i="6"/>
  <c r="L56" i="6"/>
  <c r="M56" i="6"/>
  <c r="N56" i="6"/>
  <c r="O56" i="6"/>
  <c r="P56" i="6"/>
  <c r="G55" i="6"/>
  <c r="H55" i="6"/>
  <c r="I55" i="6"/>
  <c r="J55" i="6"/>
  <c r="K55" i="6"/>
  <c r="L55" i="6"/>
  <c r="M55" i="6"/>
  <c r="N55" i="6"/>
  <c r="O55" i="6"/>
  <c r="P55" i="6"/>
  <c r="G46" i="6"/>
  <c r="H46" i="6"/>
  <c r="I46" i="6"/>
  <c r="J46" i="6"/>
  <c r="K46" i="6"/>
  <c r="L46" i="6"/>
  <c r="M46" i="6"/>
  <c r="N46" i="6"/>
  <c r="O46" i="6"/>
  <c r="P46" i="6"/>
  <c r="G44" i="6"/>
  <c r="H44" i="6"/>
  <c r="I44" i="6"/>
  <c r="J44" i="6"/>
  <c r="K44" i="6"/>
  <c r="L44" i="6"/>
  <c r="M44" i="6"/>
  <c r="N44" i="6"/>
  <c r="O44" i="6"/>
  <c r="P44" i="6"/>
  <c r="G43" i="6"/>
  <c r="H43" i="6"/>
  <c r="I43" i="6"/>
  <c r="J43" i="6"/>
  <c r="K43" i="6"/>
  <c r="L43" i="6"/>
  <c r="M43" i="6"/>
  <c r="N43" i="6"/>
  <c r="O43" i="6"/>
  <c r="P43" i="6"/>
  <c r="G25" i="6"/>
  <c r="H25" i="6"/>
  <c r="I25" i="6"/>
  <c r="J25" i="6"/>
  <c r="K25" i="6"/>
  <c r="L25" i="6"/>
  <c r="M25" i="6"/>
  <c r="N25" i="6"/>
  <c r="O25" i="6"/>
  <c r="P25" i="6"/>
  <c r="G13" i="6"/>
  <c r="H13" i="6"/>
  <c r="I13" i="6"/>
  <c r="J13" i="6"/>
  <c r="K13" i="6"/>
  <c r="L13" i="6"/>
  <c r="M13" i="6"/>
  <c r="N13" i="6"/>
  <c r="O13" i="6"/>
  <c r="P13" i="6"/>
  <c r="F92" i="6"/>
  <c r="G92" i="6" s="1"/>
  <c r="C101" i="3"/>
  <c r="C102" i="3" s="1"/>
  <c r="L47" i="6" s="1"/>
  <c r="C54" i="2"/>
  <c r="C46" i="2"/>
  <c r="C42" i="2"/>
  <c r="F56" i="7"/>
  <c r="F33" i="7"/>
  <c r="F27" i="7"/>
  <c r="C28" i="2" s="1"/>
  <c r="G20" i="7"/>
  <c r="H20" i="7"/>
  <c r="I20" i="7"/>
  <c r="J20" i="7"/>
  <c r="K20" i="7"/>
  <c r="L20" i="7"/>
  <c r="M20" i="7"/>
  <c r="N20" i="7"/>
  <c r="O20" i="7"/>
  <c r="P20" i="7"/>
  <c r="G14" i="7"/>
  <c r="D19" i="14" s="1"/>
  <c r="F19" i="14" s="1"/>
  <c r="H14" i="7"/>
  <c r="I14" i="7"/>
  <c r="J14" i="7"/>
  <c r="K14" i="7"/>
  <c r="L14" i="7"/>
  <c r="M14" i="7"/>
  <c r="N14" i="7"/>
  <c r="O14" i="7"/>
  <c r="P14" i="7"/>
  <c r="C53" i="8"/>
  <c r="C52" i="8"/>
  <c r="C51" i="8"/>
  <c r="C50" i="8"/>
  <c r="C49" i="8"/>
  <c r="C32" i="8"/>
  <c r="C16" i="8" s="1"/>
  <c r="C29" i="8"/>
  <c r="C23" i="8"/>
  <c r="C22" i="8"/>
  <c r="C14" i="8"/>
  <c r="C26" i="8" s="1"/>
  <c r="F61" i="5"/>
  <c r="F49" i="5"/>
  <c r="E49" i="5"/>
  <c r="F48" i="5"/>
  <c r="E48" i="5"/>
  <c r="F47" i="5"/>
  <c r="E47" i="5"/>
  <c r="F46" i="5"/>
  <c r="E46" i="5"/>
  <c r="F45" i="5"/>
  <c r="E45" i="5"/>
  <c r="F44" i="5"/>
  <c r="E44" i="5"/>
  <c r="F37" i="5"/>
  <c r="G33" i="5" s="1"/>
  <c r="E37" i="5"/>
  <c r="F36" i="5"/>
  <c r="E36" i="5"/>
  <c r="D36" i="5"/>
  <c r="F33" i="5"/>
  <c r="G25" i="5"/>
  <c r="H25" i="5"/>
  <c r="I25" i="5"/>
  <c r="J25" i="5"/>
  <c r="K25" i="5"/>
  <c r="L25" i="5"/>
  <c r="M25" i="5"/>
  <c r="N25" i="5"/>
  <c r="O25" i="5"/>
  <c r="P25" i="5"/>
  <c r="F25" i="5"/>
  <c r="E25" i="5"/>
  <c r="D25" i="5"/>
  <c r="G24" i="5"/>
  <c r="H24" i="5"/>
  <c r="I24" i="5"/>
  <c r="J24" i="5"/>
  <c r="K24" i="5"/>
  <c r="L24" i="5"/>
  <c r="M24" i="5"/>
  <c r="N24" i="5"/>
  <c r="O24" i="5"/>
  <c r="P24" i="5"/>
  <c r="F24" i="5"/>
  <c r="E24" i="5"/>
  <c r="D24" i="5"/>
  <c r="F23" i="5"/>
  <c r="E23" i="5"/>
  <c r="D23" i="5"/>
  <c r="F22" i="5"/>
  <c r="E22" i="5"/>
  <c r="D22" i="5"/>
  <c r="F21" i="5"/>
  <c r="E21" i="5"/>
  <c r="D21" i="5"/>
  <c r="F10" i="5"/>
  <c r="E10" i="5"/>
  <c r="D10" i="5"/>
  <c r="F9" i="5"/>
  <c r="E9" i="5"/>
  <c r="D9" i="5"/>
  <c r="F8" i="5"/>
  <c r="E8" i="5"/>
  <c r="D8" i="5"/>
  <c r="F7" i="5"/>
  <c r="E7" i="5"/>
  <c r="D7" i="5"/>
  <c r="G17" i="10"/>
  <c r="C37" i="8" s="1"/>
  <c r="G16" i="10"/>
  <c r="C63" i="3" s="1"/>
  <c r="C41" i="8" s="1"/>
  <c r="G15" i="10"/>
  <c r="L57" i="3" s="1"/>
  <c r="L55" i="5" s="1"/>
  <c r="L8" i="7" s="1"/>
  <c r="G14" i="10"/>
  <c r="I48" i="3" s="1"/>
  <c r="G13" i="10"/>
  <c r="H42" i="3" s="1"/>
  <c r="G12" i="10"/>
  <c r="M36" i="3" s="1"/>
  <c r="G11" i="10"/>
  <c r="H30" i="3" s="1"/>
  <c r="H16" i="5" s="1"/>
  <c r="G10" i="10"/>
  <c r="K26" i="3" s="1"/>
  <c r="G9" i="10"/>
  <c r="J20" i="3" s="1"/>
  <c r="C76" i="3"/>
  <c r="C18" i="12" s="1"/>
  <c r="C75" i="3"/>
  <c r="J93" i="6" s="1"/>
  <c r="J17" i="6" s="1"/>
  <c r="C74" i="3"/>
  <c r="F51" i="7" s="1"/>
  <c r="D54" i="14" s="1"/>
  <c r="F54" i="14" s="1"/>
  <c r="C73" i="3"/>
  <c r="D12" i="11" s="1"/>
  <c r="C72" i="3"/>
  <c r="D10" i="11" s="1"/>
  <c r="C71" i="3"/>
  <c r="D9" i="11" s="1"/>
  <c r="C70" i="3"/>
  <c r="G16" i="13" s="1"/>
  <c r="F54" i="7"/>
  <c r="C17" i="2" s="1"/>
  <c r="C7" i="3"/>
  <c r="C30" i="10"/>
  <c r="C5" i="10"/>
  <c r="C8" i="3" s="1"/>
  <c r="C157" i="4"/>
  <c r="C156" i="4"/>
  <c r="C155" i="4"/>
  <c r="C154" i="4"/>
  <c r="C153" i="4"/>
  <c r="C152" i="4"/>
  <c r="C151" i="4"/>
  <c r="C149" i="4"/>
  <c r="C148" i="4"/>
  <c r="C147" i="4"/>
  <c r="C146" i="4"/>
  <c r="F137" i="4"/>
  <c r="C44" i="2" s="1"/>
  <c r="E137" i="4"/>
  <c r="F129" i="4"/>
  <c r="E129" i="4"/>
  <c r="E132" i="4" s="1"/>
  <c r="D129" i="4"/>
  <c r="D132" i="4" s="1"/>
  <c r="F122" i="4"/>
  <c r="E122" i="4"/>
  <c r="F111" i="4"/>
  <c r="D15" i="14" s="1"/>
  <c r="F15" i="14" s="1"/>
  <c r="E111" i="4"/>
  <c r="D16" i="14" s="1"/>
  <c r="F16" i="14" s="1"/>
  <c r="F103" i="4"/>
  <c r="F105" i="4" s="1"/>
  <c r="D13" i="14" s="1"/>
  <c r="F13" i="14" s="1"/>
  <c r="E103" i="4"/>
  <c r="E106" i="4" s="1"/>
  <c r="D103" i="4"/>
  <c r="D106" i="4" s="1"/>
  <c r="F90" i="4"/>
  <c r="E90" i="4"/>
  <c r="D90" i="4"/>
  <c r="F80" i="4"/>
  <c r="F124" i="4" s="1"/>
  <c r="E80" i="4"/>
  <c r="E124" i="4" s="1"/>
  <c r="D80" i="4"/>
  <c r="D124" i="4" s="1"/>
  <c r="F71" i="4"/>
  <c r="F73" i="4" s="1"/>
  <c r="E71" i="4"/>
  <c r="E73" i="4" s="1"/>
  <c r="F66" i="4"/>
  <c r="E66" i="4"/>
  <c r="F61" i="4"/>
  <c r="E61" i="4"/>
  <c r="F53" i="4"/>
  <c r="E53" i="4"/>
  <c r="F47" i="4"/>
  <c r="E47" i="4"/>
  <c r="F16" i="4"/>
  <c r="F25" i="4" s="1"/>
  <c r="E16" i="4"/>
  <c r="E25" i="4" s="1"/>
  <c r="D16" i="4"/>
  <c r="D25" i="4" s="1"/>
  <c r="F11" i="4"/>
  <c r="F134" i="4" s="1"/>
  <c r="E11" i="4"/>
  <c r="E134" i="4" s="1"/>
  <c r="D11" i="4"/>
  <c r="I20" i="3" l="1"/>
  <c r="P20" i="3"/>
  <c r="H20" i="3"/>
  <c r="O20" i="3"/>
  <c r="G20" i="3"/>
  <c r="G7" i="5" s="1"/>
  <c r="N20" i="3"/>
  <c r="M20" i="3"/>
  <c r="L20" i="3"/>
  <c r="K20" i="3"/>
  <c r="C19" i="12"/>
  <c r="O26" i="3"/>
  <c r="G21" i="13"/>
  <c r="D29" i="14"/>
  <c r="F29" i="14" s="1"/>
  <c r="G22" i="13"/>
  <c r="D12" i="14"/>
  <c r="F12" i="14" s="1"/>
  <c r="D57" i="14"/>
  <c r="F57" i="14" s="1"/>
  <c r="I22" i="3"/>
  <c r="D8" i="11"/>
  <c r="D17" i="14"/>
  <c r="F17" i="14" s="1"/>
  <c r="G24" i="13"/>
  <c r="G17" i="13"/>
  <c r="J26" i="3"/>
  <c r="G18" i="13"/>
  <c r="G19" i="13"/>
  <c r="N22" i="3"/>
  <c r="G20" i="13"/>
  <c r="M22" i="3"/>
  <c r="G26" i="3"/>
  <c r="G10" i="5" s="1"/>
  <c r="O24" i="3"/>
  <c r="N24" i="3"/>
  <c r="J24" i="3"/>
  <c r="P26" i="3"/>
  <c r="H22" i="3"/>
  <c r="H24" i="3"/>
  <c r="I26" i="3"/>
  <c r="D13" i="11"/>
  <c r="P22" i="3"/>
  <c r="P24" i="3"/>
  <c r="G24" i="3"/>
  <c r="G9" i="5" s="1"/>
  <c r="H26" i="3"/>
  <c r="D6" i="11"/>
  <c r="D7" i="11" s="1"/>
  <c r="D14" i="11"/>
  <c r="L22" i="3"/>
  <c r="M24" i="3"/>
  <c r="N26" i="3"/>
  <c r="K22" i="3"/>
  <c r="L24" i="3"/>
  <c r="M26" i="3"/>
  <c r="J22" i="3"/>
  <c r="K24" i="3"/>
  <c r="L26" i="3"/>
  <c r="D11" i="11"/>
  <c r="O22" i="3"/>
  <c r="G22" i="3"/>
  <c r="G8" i="5" s="1"/>
  <c r="I24" i="3"/>
  <c r="F45" i="6"/>
  <c r="G45" i="6" s="1"/>
  <c r="H45" i="6" s="1"/>
  <c r="I45" i="6" s="1"/>
  <c r="J45" i="6" s="1"/>
  <c r="K45" i="6" s="1"/>
  <c r="L45" i="6" s="1"/>
  <c r="M45" i="6" s="1"/>
  <c r="N45" i="6" s="1"/>
  <c r="O45" i="6" s="1"/>
  <c r="P45" i="6" s="1"/>
  <c r="D25" i="14" s="1"/>
  <c r="F25" i="14" s="1"/>
  <c r="F46" i="7"/>
  <c r="F24" i="6"/>
  <c r="G21" i="6" s="1"/>
  <c r="G82" i="6"/>
  <c r="G67" i="6"/>
  <c r="F47" i="7"/>
  <c r="D52" i="14" s="1"/>
  <c r="F52" i="14" s="1"/>
  <c r="K54" i="6"/>
  <c r="L54" i="6"/>
  <c r="M54" i="6"/>
  <c r="N54" i="6"/>
  <c r="G54" i="6"/>
  <c r="O54" i="6"/>
  <c r="H54" i="6"/>
  <c r="P54" i="6"/>
  <c r="I54" i="6"/>
  <c r="J54" i="6"/>
  <c r="F48" i="7"/>
  <c r="F35" i="6"/>
  <c r="G29" i="6" s="1"/>
  <c r="J68" i="6"/>
  <c r="F50" i="7"/>
  <c r="M39" i="6"/>
  <c r="N39" i="6"/>
  <c r="G39" i="6"/>
  <c r="O39" i="6"/>
  <c r="H39" i="6"/>
  <c r="P39" i="6"/>
  <c r="I39" i="6"/>
  <c r="J39" i="6"/>
  <c r="K39" i="6"/>
  <c r="L39" i="6"/>
  <c r="M47" i="6"/>
  <c r="N47" i="6"/>
  <c r="G47" i="6"/>
  <c r="O47" i="6"/>
  <c r="H47" i="6"/>
  <c r="P47" i="6"/>
  <c r="I47" i="6"/>
  <c r="J47" i="6"/>
  <c r="K47" i="6"/>
  <c r="F70" i="6"/>
  <c r="G64" i="6" s="1"/>
  <c r="F34" i="5"/>
  <c r="C40" i="2"/>
  <c r="F52" i="7"/>
  <c r="D55" i="14" s="1"/>
  <c r="F55" i="14" s="1"/>
  <c r="K93" i="6"/>
  <c r="L93" i="6"/>
  <c r="M93" i="6"/>
  <c r="N93" i="6"/>
  <c r="G93" i="6"/>
  <c r="O93" i="6"/>
  <c r="H93" i="6"/>
  <c r="P93" i="6"/>
  <c r="I93" i="6"/>
  <c r="H92" i="6"/>
  <c r="J83" i="6"/>
  <c r="C13" i="2"/>
  <c r="C36" i="2"/>
  <c r="C30" i="8"/>
  <c r="C33" i="8" s="1"/>
  <c r="F26" i="7"/>
  <c r="F38" i="5"/>
  <c r="D26" i="5"/>
  <c r="E26" i="5"/>
  <c r="C24" i="8"/>
  <c r="F49" i="7"/>
  <c r="D56" i="14" s="1"/>
  <c r="F56" i="14" s="1"/>
  <c r="F11" i="5"/>
  <c r="C15" i="8"/>
  <c r="C17" i="8" s="1"/>
  <c r="C19" i="8" s="1"/>
  <c r="E11" i="5"/>
  <c r="E13" i="5" s="1"/>
  <c r="F18" i="5"/>
  <c r="F50" i="5"/>
  <c r="F63" i="5" s="1"/>
  <c r="F139" i="4" s="1"/>
  <c r="F26" i="5"/>
  <c r="E38" i="5"/>
  <c r="D11" i="5"/>
  <c r="D13" i="5" s="1"/>
  <c r="D38" i="5"/>
  <c r="D18" i="5"/>
  <c r="D34" i="5"/>
  <c r="D26" i="4"/>
  <c r="D127" i="4" s="1"/>
  <c r="E54" i="4"/>
  <c r="E18" i="5"/>
  <c r="E34" i="5"/>
  <c r="E50" i="5"/>
  <c r="E26" i="4"/>
  <c r="E127" i="4" s="1"/>
  <c r="E136" i="4"/>
  <c r="F54" i="4"/>
  <c r="F26" i="4"/>
  <c r="F127" i="4" s="1"/>
  <c r="F125" i="4" s="1"/>
  <c r="E121" i="4"/>
  <c r="E133" i="4"/>
  <c r="I57" i="3"/>
  <c r="I55" i="5" s="1"/>
  <c r="I8" i="7" s="1"/>
  <c r="K57" i="3"/>
  <c r="K55" i="5" s="1"/>
  <c r="K8" i="7" s="1"/>
  <c r="J57" i="3"/>
  <c r="J55" i="5" s="1"/>
  <c r="J8" i="7" s="1"/>
  <c r="M57" i="3"/>
  <c r="M55" i="5" s="1"/>
  <c r="M8" i="7" s="1"/>
  <c r="K48" i="3"/>
  <c r="J48" i="3"/>
  <c r="I32" i="3"/>
  <c r="N36" i="3"/>
  <c r="G42" i="3"/>
  <c r="N42" i="3"/>
  <c r="F106" i="4"/>
  <c r="F107" i="4" s="1"/>
  <c r="D133" i="4"/>
  <c r="P48" i="3"/>
  <c r="K34" i="3"/>
  <c r="H48" i="3"/>
  <c r="O42" i="3"/>
  <c r="O30" i="3"/>
  <c r="O16" i="5" s="1"/>
  <c r="F130" i="4"/>
  <c r="C41" i="2" s="1"/>
  <c r="O48" i="3"/>
  <c r="K30" i="3"/>
  <c r="K16" i="5" s="1"/>
  <c r="O34" i="3"/>
  <c r="G34" i="3"/>
  <c r="I36" i="3"/>
  <c r="H57" i="3"/>
  <c r="H55" i="5" s="1"/>
  <c r="H8" i="7" s="1"/>
  <c r="F44" i="3"/>
  <c r="E130" i="4"/>
  <c r="M30" i="3"/>
  <c r="M16" i="5" s="1"/>
  <c r="O32" i="3"/>
  <c r="I34" i="3"/>
  <c r="M42" i="3"/>
  <c r="P34" i="3"/>
  <c r="L42" i="3"/>
  <c r="D17" i="4"/>
  <c r="K42" i="3"/>
  <c r="F133" i="4"/>
  <c r="J30" i="3"/>
  <c r="J16" i="5" s="1"/>
  <c r="L32" i="3"/>
  <c r="N34" i="3"/>
  <c r="P36" i="3"/>
  <c r="H36" i="3"/>
  <c r="J42" i="3"/>
  <c r="M48" i="3"/>
  <c r="O57" i="3"/>
  <c r="O55" i="5" s="1"/>
  <c r="O8" i="7" s="1"/>
  <c r="G57" i="3"/>
  <c r="G55" i="5" s="1"/>
  <c r="G8" i="7" s="1"/>
  <c r="F136" i="4"/>
  <c r="P32" i="3"/>
  <c r="L36" i="3"/>
  <c r="G32" i="3"/>
  <c r="K36" i="3"/>
  <c r="L30" i="3"/>
  <c r="L16" i="5" s="1"/>
  <c r="J36" i="3"/>
  <c r="F121" i="4"/>
  <c r="C37" i="2" s="1"/>
  <c r="M32" i="3"/>
  <c r="N48" i="3"/>
  <c r="F74" i="4"/>
  <c r="F17" i="4"/>
  <c r="I30" i="3"/>
  <c r="I16" i="5" s="1"/>
  <c r="K32" i="3"/>
  <c r="M34" i="3"/>
  <c r="O36" i="3"/>
  <c r="G36" i="3"/>
  <c r="I42" i="3"/>
  <c r="L48" i="3"/>
  <c r="N57" i="3"/>
  <c r="N55" i="5" s="1"/>
  <c r="N8" i="7" s="1"/>
  <c r="G30" i="3"/>
  <c r="G16" i="5" s="1"/>
  <c r="N30" i="3"/>
  <c r="N16" i="5" s="1"/>
  <c r="H32" i="3"/>
  <c r="J34" i="3"/>
  <c r="N32" i="3"/>
  <c r="H34" i="3"/>
  <c r="G48" i="3"/>
  <c r="D49" i="14" s="1"/>
  <c r="F49" i="14" s="1"/>
  <c r="E74" i="4"/>
  <c r="P57" i="3"/>
  <c r="E17" i="4"/>
  <c r="P30" i="3"/>
  <c r="J32" i="3"/>
  <c r="L34" i="3"/>
  <c r="P42" i="3"/>
  <c r="F131" i="4"/>
  <c r="D131" i="4"/>
  <c r="E131" i="4"/>
  <c r="E135" i="4"/>
  <c r="E105" i="4"/>
  <c r="D14" i="14" s="1"/>
  <c r="F14" i="14" s="1"/>
  <c r="F135" i="4"/>
  <c r="D130" i="4"/>
  <c r="F132" i="4"/>
  <c r="C43" i="2" s="1"/>
  <c r="D53" i="14" l="1"/>
  <c r="F53" i="14" s="1"/>
  <c r="E128" i="4"/>
  <c r="E125" i="4"/>
  <c r="E126" i="4" s="1"/>
  <c r="D128" i="4"/>
  <c r="D125" i="4"/>
  <c r="D126" i="4" s="1"/>
  <c r="P55" i="5"/>
  <c r="P8" i="7" s="1"/>
  <c r="D18" i="14"/>
  <c r="C7" i="8"/>
  <c r="C9" i="8" s="1"/>
  <c r="D32" i="14" s="1"/>
  <c r="F32" i="14" s="1"/>
  <c r="D34" i="14"/>
  <c r="F34" i="14" s="1"/>
  <c r="F31" i="4"/>
  <c r="F33" i="4" s="1"/>
  <c r="F55" i="5" s="1"/>
  <c r="C44" i="8"/>
  <c r="D33" i="14"/>
  <c r="F33" i="14" s="1"/>
  <c r="D37" i="11"/>
  <c r="D37" i="14"/>
  <c r="F37" i="14" s="1"/>
  <c r="E75" i="4"/>
  <c r="D10" i="14" s="1"/>
  <c r="F10" i="14" s="1"/>
  <c r="D51" i="14"/>
  <c r="F51" i="14" s="1"/>
  <c r="P16" i="5"/>
  <c r="D15" i="11"/>
  <c r="C27" i="2"/>
  <c r="F5" i="9"/>
  <c r="E5" i="9"/>
  <c r="H5" i="9"/>
  <c r="G5" i="9"/>
  <c r="D5" i="9"/>
  <c r="F35" i="5"/>
  <c r="D142" i="4"/>
  <c r="N17" i="6"/>
  <c r="N83" i="6"/>
  <c r="N68" i="6"/>
  <c r="F41" i="5"/>
  <c r="I92" i="6"/>
  <c r="H82" i="6"/>
  <c r="H67" i="6"/>
  <c r="M17" i="6"/>
  <c r="M83" i="6"/>
  <c r="M68" i="6"/>
  <c r="H10" i="5"/>
  <c r="I10" i="5" s="1"/>
  <c r="L83" i="6"/>
  <c r="L68" i="6"/>
  <c r="L17" i="6"/>
  <c r="I17" i="6"/>
  <c r="I83" i="6"/>
  <c r="I68" i="6"/>
  <c r="K83" i="6"/>
  <c r="K68" i="6"/>
  <c r="K17" i="6"/>
  <c r="P17" i="6"/>
  <c r="P83" i="6"/>
  <c r="P68" i="6"/>
  <c r="H17" i="6"/>
  <c r="H83" i="6"/>
  <c r="H68" i="6"/>
  <c r="O17" i="6"/>
  <c r="O83" i="6"/>
  <c r="O68" i="6"/>
  <c r="G87" i="6"/>
  <c r="G26" i="6"/>
  <c r="G12" i="6" s="1"/>
  <c r="G17" i="6"/>
  <c r="G83" i="6"/>
  <c r="G68" i="6"/>
  <c r="F13" i="5"/>
  <c r="F75" i="4"/>
  <c r="F142" i="4"/>
  <c r="C38" i="2"/>
  <c r="F12" i="5"/>
  <c r="H8" i="5"/>
  <c r="I8" i="5" s="1"/>
  <c r="F128" i="4"/>
  <c r="C39" i="2" s="1"/>
  <c r="E52" i="5"/>
  <c r="F28" i="7"/>
  <c r="D39" i="14" s="1"/>
  <c r="F39" i="14" s="1"/>
  <c r="F68" i="7"/>
  <c r="F27" i="4"/>
  <c r="F126" i="4"/>
  <c r="E35" i="5"/>
  <c r="H9" i="5"/>
  <c r="I9" i="5" s="1"/>
  <c r="F52" i="5"/>
  <c r="E27" i="4"/>
  <c r="E12" i="5"/>
  <c r="D35" i="5"/>
  <c r="G60" i="5"/>
  <c r="G62" i="5" s="1"/>
  <c r="H7" i="5"/>
  <c r="G11" i="5"/>
  <c r="D41" i="5"/>
  <c r="D18" i="4"/>
  <c r="D17" i="5"/>
  <c r="D27" i="5" s="1"/>
  <c r="D28" i="5" s="1"/>
  <c r="E63" i="5"/>
  <c r="E139" i="4" s="1"/>
  <c r="E142" i="4"/>
  <c r="F51" i="5"/>
  <c r="E18" i="4"/>
  <c r="E17" i="5"/>
  <c r="E27" i="5" s="1"/>
  <c r="E29" i="5" s="1"/>
  <c r="E7" i="7" s="1"/>
  <c r="D27" i="4"/>
  <c r="D31" i="4"/>
  <c r="D34" i="4" s="1"/>
  <c r="E31" i="4"/>
  <c r="E33" i="4" s="1"/>
  <c r="F18" i="4"/>
  <c r="D46" i="14" s="1"/>
  <c r="F46" i="14" s="1"/>
  <c r="F17" i="5"/>
  <c r="F27" i="5" s="1"/>
  <c r="F29" i="5" s="1"/>
  <c r="F7" i="7" s="1"/>
  <c r="E41" i="5"/>
  <c r="C49" i="2" l="1"/>
  <c r="D11" i="14"/>
  <c r="F11" i="14" s="1"/>
  <c r="F34" i="4"/>
  <c r="F36" i="4" s="1"/>
  <c r="C36" i="8"/>
  <c r="C38" i="8" s="1"/>
  <c r="C45" i="8"/>
  <c r="F18" i="14"/>
  <c r="J10" i="5"/>
  <c r="K10" i="5" s="1"/>
  <c r="L10" i="5" s="1"/>
  <c r="M10" i="5" s="1"/>
  <c r="N10" i="5" s="1"/>
  <c r="O10" i="5" s="1"/>
  <c r="P10" i="5" s="1"/>
  <c r="C10" i="13"/>
  <c r="E10" i="13" s="1"/>
  <c r="G10" i="13" s="1"/>
  <c r="J9" i="5"/>
  <c r="K9" i="5" s="1"/>
  <c r="L9" i="5" s="1"/>
  <c r="M9" i="5" s="1"/>
  <c r="N9" i="5" s="1"/>
  <c r="O9" i="5" s="1"/>
  <c r="P9" i="5" s="1"/>
  <c r="C9" i="13"/>
  <c r="E9" i="13" s="1"/>
  <c r="G9" i="13" s="1"/>
  <c r="J8" i="5"/>
  <c r="K8" i="5" s="1"/>
  <c r="L8" i="5" s="1"/>
  <c r="M8" i="5" s="1"/>
  <c r="N8" i="5" s="1"/>
  <c r="O8" i="5" s="1"/>
  <c r="P8" i="5" s="1"/>
  <c r="C8" i="13"/>
  <c r="E8" i="13" s="1"/>
  <c r="G8" i="13" s="1"/>
  <c r="D26" i="11"/>
  <c r="D33" i="4"/>
  <c r="D140" i="4" s="1"/>
  <c r="G22" i="5"/>
  <c r="G7" i="6"/>
  <c r="I82" i="6"/>
  <c r="I67" i="6"/>
  <c r="J92" i="6"/>
  <c r="G34" i="5"/>
  <c r="E34" i="4"/>
  <c r="E78" i="4" s="1"/>
  <c r="E84" i="4" s="1"/>
  <c r="D29" i="5"/>
  <c r="D7" i="7" s="1"/>
  <c r="H11" i="5"/>
  <c r="H48" i="5" s="1"/>
  <c r="H51" i="6" s="1"/>
  <c r="F138" i="4"/>
  <c r="C45" i="2" s="1"/>
  <c r="I7" i="5"/>
  <c r="G12" i="5"/>
  <c r="G68" i="5" s="1"/>
  <c r="G44" i="5"/>
  <c r="G40" i="6" s="1"/>
  <c r="G13" i="5"/>
  <c r="E138" i="4"/>
  <c r="F28" i="5"/>
  <c r="E28" i="5"/>
  <c r="H60" i="5"/>
  <c r="H62" i="5" s="1"/>
  <c r="G23" i="5"/>
  <c r="E123" i="4"/>
  <c r="E16" i="5"/>
  <c r="F56" i="5"/>
  <c r="F57" i="5" s="1"/>
  <c r="F64" i="5" s="1"/>
  <c r="F123" i="4"/>
  <c r="F16" i="5"/>
  <c r="E140" i="4"/>
  <c r="E55" i="5"/>
  <c r="E56" i="5" s="1"/>
  <c r="E57" i="5" s="1"/>
  <c r="G49" i="5"/>
  <c r="G52" i="6" s="1"/>
  <c r="G47" i="5"/>
  <c r="G50" i="6" s="1"/>
  <c r="G45" i="5"/>
  <c r="G41" i="6" s="1"/>
  <c r="G48" i="5"/>
  <c r="G51" i="6" s="1"/>
  <c r="G21" i="5"/>
  <c r="G17" i="5"/>
  <c r="G18" i="5" s="1"/>
  <c r="D123" i="4"/>
  <c r="D16" i="5"/>
  <c r="F39" i="5"/>
  <c r="F40" i="5" s="1"/>
  <c r="F30" i="5"/>
  <c r="E39" i="5"/>
  <c r="E40" i="5" s="1"/>
  <c r="E30" i="5"/>
  <c r="F59" i="3"/>
  <c r="F140" i="4"/>
  <c r="F141" i="4" s="1"/>
  <c r="D36" i="4"/>
  <c r="D78" i="4"/>
  <c r="D84" i="4" s="1"/>
  <c r="F78" i="4" l="1"/>
  <c r="F84" i="4" s="1"/>
  <c r="G35" i="5"/>
  <c r="G71" i="5"/>
  <c r="C10" i="9"/>
  <c r="C43" i="8"/>
  <c r="D30" i="14" s="1"/>
  <c r="F30" i="14" s="1"/>
  <c r="K21" i="7"/>
  <c r="K22" i="7" s="1"/>
  <c r="I21" i="7"/>
  <c r="I22" i="7" s="1"/>
  <c r="D55" i="5"/>
  <c r="D56" i="5" s="1"/>
  <c r="D57" i="5" s="1"/>
  <c r="M21" i="7"/>
  <c r="M22" i="7" s="1"/>
  <c r="C28" i="9"/>
  <c r="C25" i="9"/>
  <c r="C16" i="9"/>
  <c r="P21" i="7"/>
  <c r="F35" i="7" s="1"/>
  <c r="C19" i="9"/>
  <c r="C36" i="9"/>
  <c r="J21" i="7"/>
  <c r="J22" i="7" s="1"/>
  <c r="C43" i="9"/>
  <c r="C9" i="9"/>
  <c r="C6" i="9"/>
  <c r="O21" i="7"/>
  <c r="O22" i="7" s="1"/>
  <c r="C7" i="9"/>
  <c r="C42" i="9"/>
  <c r="G21" i="7"/>
  <c r="G22" i="7" s="1"/>
  <c r="C34" i="9"/>
  <c r="C45" i="9"/>
  <c r="C18" i="9"/>
  <c r="C24" i="9"/>
  <c r="C42" i="8"/>
  <c r="L21" i="7"/>
  <c r="L22" i="7" s="1"/>
  <c r="C27" i="9"/>
  <c r="C44" i="9"/>
  <c r="C8" i="9"/>
  <c r="H21" i="7"/>
  <c r="H22" i="7" s="1"/>
  <c r="C26" i="9"/>
  <c r="C15" i="9"/>
  <c r="C17" i="9"/>
  <c r="C37" i="9"/>
  <c r="N21" i="7"/>
  <c r="N22" i="7" s="1"/>
  <c r="C46" i="9"/>
  <c r="C35" i="9"/>
  <c r="C33" i="9"/>
  <c r="C26" i="2"/>
  <c r="I11" i="5"/>
  <c r="I7" i="6" s="1"/>
  <c r="I31" i="6" s="1"/>
  <c r="C7" i="13"/>
  <c r="D39" i="5"/>
  <c r="D40" i="5" s="1"/>
  <c r="D30" i="5"/>
  <c r="H23" i="5"/>
  <c r="H22" i="5"/>
  <c r="H47" i="5"/>
  <c r="H50" i="6" s="1"/>
  <c r="H34" i="5"/>
  <c r="G36" i="5"/>
  <c r="G38" i="5" s="1"/>
  <c r="G74" i="6" s="1"/>
  <c r="H21" i="5"/>
  <c r="E36" i="4"/>
  <c r="J7" i="5"/>
  <c r="K7" i="5" s="1"/>
  <c r="K60" i="5" s="1"/>
  <c r="K62" i="5" s="1"/>
  <c r="G12" i="7"/>
  <c r="G78" i="6"/>
  <c r="G79" i="6" s="1"/>
  <c r="H44" i="5"/>
  <c r="H40" i="6" s="1"/>
  <c r="H7" i="6"/>
  <c r="G75" i="6"/>
  <c r="G66" i="6" s="1"/>
  <c r="G31" i="6"/>
  <c r="J82" i="6"/>
  <c r="J67" i="6"/>
  <c r="K92" i="6"/>
  <c r="G46" i="5"/>
  <c r="G49" i="6" s="1"/>
  <c r="G8" i="6"/>
  <c r="G9" i="6" s="1"/>
  <c r="H49" i="5"/>
  <c r="H52" i="6" s="1"/>
  <c r="H17" i="5"/>
  <c r="H18" i="5" s="1"/>
  <c r="H12" i="5"/>
  <c r="H68" i="5" s="1"/>
  <c r="H45" i="5"/>
  <c r="H13" i="5"/>
  <c r="G26" i="5"/>
  <c r="G10" i="6" s="1"/>
  <c r="I60" i="5"/>
  <c r="I62" i="5" s="1"/>
  <c r="I44" i="5" l="1"/>
  <c r="I40" i="6" s="1"/>
  <c r="F67" i="7"/>
  <c r="C50" i="2" s="1"/>
  <c r="H12" i="7"/>
  <c r="H71" i="5"/>
  <c r="C29" i="2"/>
  <c r="D31" i="14"/>
  <c r="F31" i="14" s="1"/>
  <c r="I22" i="5"/>
  <c r="I48" i="5"/>
  <c r="I51" i="6" s="1"/>
  <c r="I75" i="6"/>
  <c r="I66" i="6" s="1"/>
  <c r="P22" i="7"/>
  <c r="I49" i="5"/>
  <c r="I52" i="6" s="1"/>
  <c r="I13" i="5"/>
  <c r="I12" i="5"/>
  <c r="I68" i="5" s="1"/>
  <c r="I23" i="5"/>
  <c r="G13" i="13" s="1"/>
  <c r="H26" i="5"/>
  <c r="H27" i="5" s="1"/>
  <c r="H29" i="5" s="1"/>
  <c r="I21" i="5"/>
  <c r="I34" i="5"/>
  <c r="I12" i="7" s="1"/>
  <c r="I45" i="5"/>
  <c r="I41" i="6" s="1"/>
  <c r="G11" i="7"/>
  <c r="I17" i="5"/>
  <c r="I18" i="5" s="1"/>
  <c r="I47" i="5"/>
  <c r="I50" i="6" s="1"/>
  <c r="G41" i="5"/>
  <c r="D45" i="14" s="1"/>
  <c r="F45" i="14" s="1"/>
  <c r="H35" i="5"/>
  <c r="E7" i="13"/>
  <c r="C11" i="13"/>
  <c r="G50" i="5"/>
  <c r="G52" i="5" s="1"/>
  <c r="G37" i="5"/>
  <c r="H33" i="5" s="1"/>
  <c r="H36" i="5" s="1"/>
  <c r="H38" i="5" s="1"/>
  <c r="H74" i="6" s="1"/>
  <c r="J11" i="5"/>
  <c r="J17" i="5" s="1"/>
  <c r="J18" i="5" s="1"/>
  <c r="J8" i="6" s="1"/>
  <c r="H78" i="6"/>
  <c r="H79" i="6" s="1"/>
  <c r="G11" i="6"/>
  <c r="G14" i="6" s="1"/>
  <c r="G15" i="6" s="1"/>
  <c r="G16" i="6" s="1"/>
  <c r="J60" i="5"/>
  <c r="J62" i="5" s="1"/>
  <c r="H41" i="6"/>
  <c r="K82" i="6"/>
  <c r="K67" i="6"/>
  <c r="L92" i="6"/>
  <c r="H75" i="6"/>
  <c r="H66" i="6" s="1"/>
  <c r="H31" i="6"/>
  <c r="H46" i="5"/>
  <c r="H49" i="6" s="1"/>
  <c r="H8" i="6"/>
  <c r="H9" i="6" s="1"/>
  <c r="G27" i="5"/>
  <c r="G29" i="5" s="1"/>
  <c r="G7" i="7" s="1"/>
  <c r="K11" i="5"/>
  <c r="K7" i="6" s="1"/>
  <c r="L7" i="5"/>
  <c r="I78" i="6" l="1"/>
  <c r="I79" i="6" s="1"/>
  <c r="I46" i="5"/>
  <c r="I49" i="6" s="1"/>
  <c r="I35" i="5"/>
  <c r="I71" i="5"/>
  <c r="H10" i="6"/>
  <c r="H11" i="6" s="1"/>
  <c r="I26" i="5"/>
  <c r="I27" i="5" s="1"/>
  <c r="I29" i="5" s="1"/>
  <c r="I8" i="6"/>
  <c r="I9" i="6" s="1"/>
  <c r="J12" i="5"/>
  <c r="J68" i="5" s="1"/>
  <c r="J21" i="5"/>
  <c r="G9" i="7"/>
  <c r="G10" i="7" s="1"/>
  <c r="J44" i="5"/>
  <c r="J40" i="6" s="1"/>
  <c r="J45" i="5"/>
  <c r="J41" i="6" s="1"/>
  <c r="J47" i="5"/>
  <c r="J50" i="6" s="1"/>
  <c r="J22" i="5"/>
  <c r="J49" i="5"/>
  <c r="J52" i="6" s="1"/>
  <c r="J23" i="5"/>
  <c r="H11" i="7"/>
  <c r="G42" i="6"/>
  <c r="J48" i="5"/>
  <c r="J51" i="6" s="1"/>
  <c r="G7" i="13"/>
  <c r="E11" i="13"/>
  <c r="J13" i="5"/>
  <c r="G51" i="5"/>
  <c r="G76" i="6" s="1"/>
  <c r="H41" i="5"/>
  <c r="J34" i="5"/>
  <c r="H37" i="5"/>
  <c r="H42" i="6" s="1"/>
  <c r="G63" i="5"/>
  <c r="J7" i="6"/>
  <c r="G30" i="5"/>
  <c r="G56" i="5"/>
  <c r="G57" i="5" s="1"/>
  <c r="G39" i="5"/>
  <c r="G40" i="5" s="1"/>
  <c r="G73" i="6"/>
  <c r="G18" i="6"/>
  <c r="G65" i="6"/>
  <c r="G70" i="6" s="1"/>
  <c r="G94" i="6"/>
  <c r="I50" i="5"/>
  <c r="I52" i="5" s="1"/>
  <c r="H50" i="5"/>
  <c r="I10" i="6"/>
  <c r="L82" i="6"/>
  <c r="L67" i="6"/>
  <c r="M92" i="6"/>
  <c r="K75" i="6"/>
  <c r="K66" i="6" s="1"/>
  <c r="K31" i="6"/>
  <c r="H28" i="5"/>
  <c r="G28" i="5"/>
  <c r="H56" i="5"/>
  <c r="H57" i="5" s="1"/>
  <c r="H7" i="7"/>
  <c r="L60" i="5"/>
  <c r="L62" i="5" s="1"/>
  <c r="K48" i="5"/>
  <c r="K51" i="6" s="1"/>
  <c r="K49" i="5"/>
  <c r="K52" i="6" s="1"/>
  <c r="K45" i="5"/>
  <c r="K41" i="6" s="1"/>
  <c r="K47" i="5"/>
  <c r="K50" i="6" s="1"/>
  <c r="K44" i="5"/>
  <c r="K40" i="6" s="1"/>
  <c r="L11" i="5"/>
  <c r="L7" i="6" s="1"/>
  <c r="M7" i="5"/>
  <c r="M60" i="5" s="1"/>
  <c r="M62" i="5" s="1"/>
  <c r="K17" i="5"/>
  <c r="K18" i="5" s="1"/>
  <c r="K8" i="6" s="1"/>
  <c r="K9" i="6" s="1"/>
  <c r="K23" i="5"/>
  <c r="K12" i="5"/>
  <c r="K68" i="5" s="1"/>
  <c r="K21" i="5"/>
  <c r="K34" i="5"/>
  <c r="K22" i="5"/>
  <c r="K13" i="5"/>
  <c r="H39" i="5"/>
  <c r="H40" i="5" s="1"/>
  <c r="H30" i="5"/>
  <c r="J35" i="5" l="1"/>
  <c r="J71" i="5"/>
  <c r="K71" i="5"/>
  <c r="I11" i="6"/>
  <c r="H63" i="5"/>
  <c r="H64" i="5" s="1"/>
  <c r="G77" i="6"/>
  <c r="G30" i="6" s="1"/>
  <c r="J26" i="5"/>
  <c r="J10" i="6" s="1"/>
  <c r="G13" i="7"/>
  <c r="G15" i="7" s="1"/>
  <c r="D28" i="14" s="1"/>
  <c r="F28" i="14" s="1"/>
  <c r="G65" i="5"/>
  <c r="G66" i="5" s="1"/>
  <c r="G11" i="13"/>
  <c r="H7" i="13" s="1"/>
  <c r="J78" i="6"/>
  <c r="J79" i="6" s="1"/>
  <c r="J46" i="5"/>
  <c r="J49" i="6" s="1"/>
  <c r="I33" i="5"/>
  <c r="I36" i="5" s="1"/>
  <c r="I38" i="5" s="1"/>
  <c r="I74" i="6" s="1"/>
  <c r="J12" i="7"/>
  <c r="G64" i="5"/>
  <c r="I28" i="5"/>
  <c r="J31" i="6"/>
  <c r="J75" i="6"/>
  <c r="J66" i="6" s="1"/>
  <c r="J9" i="6"/>
  <c r="L75" i="6"/>
  <c r="L66" i="6" s="1"/>
  <c r="L31" i="6"/>
  <c r="M82" i="6"/>
  <c r="M67" i="6"/>
  <c r="N92" i="6"/>
  <c r="G59" i="6"/>
  <c r="H64" i="6"/>
  <c r="H51" i="5"/>
  <c r="H52" i="5"/>
  <c r="K12" i="7"/>
  <c r="K78" i="6"/>
  <c r="K79" i="6" s="1"/>
  <c r="I51" i="5"/>
  <c r="I56" i="5"/>
  <c r="I57" i="5" s="1"/>
  <c r="I7" i="7"/>
  <c r="H9" i="7"/>
  <c r="H10" i="7" s="1"/>
  <c r="K46" i="5"/>
  <c r="K26" i="5"/>
  <c r="L47" i="5"/>
  <c r="L50" i="6" s="1"/>
  <c r="L45" i="5"/>
  <c r="L41" i="6" s="1"/>
  <c r="L48" i="5"/>
  <c r="L51" i="6" s="1"/>
  <c r="L49" i="5"/>
  <c r="L52" i="6" s="1"/>
  <c r="L44" i="5"/>
  <c r="L40" i="6" s="1"/>
  <c r="L13" i="5"/>
  <c r="K35" i="5"/>
  <c r="I30" i="5"/>
  <c r="M11" i="5"/>
  <c r="N7" i="5"/>
  <c r="N60" i="5" s="1"/>
  <c r="N62" i="5" s="1"/>
  <c r="L21" i="5"/>
  <c r="L23" i="5"/>
  <c r="L34" i="5"/>
  <c r="L71" i="5" s="1"/>
  <c r="L17" i="5"/>
  <c r="L22" i="5"/>
  <c r="L12" i="5"/>
  <c r="L68" i="5" s="1"/>
  <c r="G67" i="5" l="1"/>
  <c r="G69" i="5" s="1"/>
  <c r="G23" i="7"/>
  <c r="G16" i="7"/>
  <c r="G17" i="7"/>
  <c r="G70" i="5"/>
  <c r="J27" i="5"/>
  <c r="J29" i="5" s="1"/>
  <c r="J30" i="5" s="1"/>
  <c r="J11" i="6"/>
  <c r="J50" i="5"/>
  <c r="H11" i="13"/>
  <c r="G15" i="13"/>
  <c r="G23" i="13" s="1"/>
  <c r="G25" i="13" s="1"/>
  <c r="H9" i="13"/>
  <c r="H8" i="13"/>
  <c r="H10" i="13"/>
  <c r="M7" i="6"/>
  <c r="M75" i="6" s="1"/>
  <c r="M66" i="6" s="1"/>
  <c r="K50" i="5"/>
  <c r="K52" i="5" s="1"/>
  <c r="K49" i="6"/>
  <c r="G33" i="6"/>
  <c r="G34" i="6" s="1"/>
  <c r="G23" i="6" s="1"/>
  <c r="G81" i="6" s="1"/>
  <c r="G32" i="6"/>
  <c r="G22" i="6" s="1"/>
  <c r="H13" i="7"/>
  <c r="H15" i="7" s="1"/>
  <c r="H76" i="6"/>
  <c r="H65" i="5"/>
  <c r="H66" i="5" s="1"/>
  <c r="H67" i="5" s="1"/>
  <c r="H69" i="5" s="1"/>
  <c r="I13" i="7"/>
  <c r="I76" i="6"/>
  <c r="N82" i="6"/>
  <c r="N67" i="6"/>
  <c r="O92" i="6"/>
  <c r="L12" i="7"/>
  <c r="L78" i="6"/>
  <c r="L79" i="6" s="1"/>
  <c r="K27" i="5"/>
  <c r="K28" i="5" s="1"/>
  <c r="K10" i="6"/>
  <c r="K11" i="6" s="1"/>
  <c r="I37" i="5"/>
  <c r="I42" i="6" s="1"/>
  <c r="I41" i="5"/>
  <c r="I11" i="7"/>
  <c r="I9" i="7"/>
  <c r="I10" i="7" s="1"/>
  <c r="I65" i="5"/>
  <c r="I66" i="5" s="1"/>
  <c r="I39" i="5"/>
  <c r="I40" i="5" s="1"/>
  <c r="M13" i="5"/>
  <c r="M48" i="5"/>
  <c r="M51" i="6" s="1"/>
  <c r="M49" i="5"/>
  <c r="M52" i="6" s="1"/>
  <c r="M47" i="5"/>
  <c r="M50" i="6" s="1"/>
  <c r="M45" i="5"/>
  <c r="M41" i="6" s="1"/>
  <c r="M44" i="5"/>
  <c r="M40" i="6" s="1"/>
  <c r="O7" i="5"/>
  <c r="O60" i="5" s="1"/>
  <c r="O62" i="5" s="1"/>
  <c r="N11" i="5"/>
  <c r="N7" i="6" s="1"/>
  <c r="M34" i="5"/>
  <c r="M71" i="5" s="1"/>
  <c r="M22" i="5"/>
  <c r="M21" i="5"/>
  <c r="M17" i="5"/>
  <c r="M23" i="5"/>
  <c r="M12" i="5"/>
  <c r="M68" i="5" s="1"/>
  <c r="L35" i="5"/>
  <c r="L26" i="5"/>
  <c r="L18" i="5"/>
  <c r="J56" i="5" l="1"/>
  <c r="J57" i="5" s="1"/>
  <c r="K51" i="5"/>
  <c r="K76" i="6" s="1"/>
  <c r="J7" i="7"/>
  <c r="J9" i="7" s="1"/>
  <c r="J10" i="7" s="1"/>
  <c r="J28" i="5"/>
  <c r="M31" i="6"/>
  <c r="I63" i="5"/>
  <c r="I64" i="5" s="1"/>
  <c r="I67" i="5" s="1"/>
  <c r="I69" i="5" s="1"/>
  <c r="J52" i="5"/>
  <c r="J51" i="5"/>
  <c r="J33" i="5"/>
  <c r="J36" i="5" s="1"/>
  <c r="J38" i="5" s="1"/>
  <c r="I15" i="7"/>
  <c r="I70" i="5" s="1"/>
  <c r="K29" i="5"/>
  <c r="K7" i="7" s="1"/>
  <c r="H70" i="5"/>
  <c r="H16" i="7"/>
  <c r="H23" i="7"/>
  <c r="H17" i="7"/>
  <c r="O82" i="6"/>
  <c r="O67" i="6"/>
  <c r="P92" i="6"/>
  <c r="G80" i="6"/>
  <c r="G85" i="6" s="1"/>
  <c r="G86" i="6" s="1"/>
  <c r="G88" i="6" s="1"/>
  <c r="G24" i="6"/>
  <c r="G35" i="6"/>
  <c r="L27" i="5"/>
  <c r="L28" i="5" s="1"/>
  <c r="L10" i="6"/>
  <c r="L46" i="5"/>
  <c r="L8" i="6"/>
  <c r="L9" i="6" s="1"/>
  <c r="M12" i="7"/>
  <c r="M78" i="6"/>
  <c r="M79" i="6" s="1"/>
  <c r="N75" i="6"/>
  <c r="N66" i="6" s="1"/>
  <c r="N31" i="6"/>
  <c r="N49" i="5"/>
  <c r="N52" i="6" s="1"/>
  <c r="N47" i="5"/>
  <c r="N50" i="6" s="1"/>
  <c r="N45" i="5"/>
  <c r="N41" i="6" s="1"/>
  <c r="N48" i="5"/>
  <c r="N51" i="6" s="1"/>
  <c r="N44" i="5"/>
  <c r="N40" i="6" s="1"/>
  <c r="M26" i="5"/>
  <c r="M35" i="5"/>
  <c r="N17" i="5"/>
  <c r="N18" i="5" s="1"/>
  <c r="N8" i="6" s="1"/>
  <c r="N9" i="6" s="1"/>
  <c r="N34" i="5"/>
  <c r="N71" i="5" s="1"/>
  <c r="N22" i="5"/>
  <c r="N12" i="5"/>
  <c r="N68" i="5" s="1"/>
  <c r="N23" i="5"/>
  <c r="N21" i="5"/>
  <c r="N13" i="5"/>
  <c r="P7" i="5"/>
  <c r="P60" i="5" s="1"/>
  <c r="P62" i="5" s="1"/>
  <c r="D60" i="14" s="1"/>
  <c r="F60" i="14" s="1"/>
  <c r="O11" i="5"/>
  <c r="O7" i="6" s="1"/>
  <c r="M18" i="5"/>
  <c r="K13" i="7" l="1"/>
  <c r="I17" i="7"/>
  <c r="K56" i="5"/>
  <c r="K57" i="5" s="1"/>
  <c r="L29" i="5"/>
  <c r="J76" i="6"/>
  <c r="J13" i="7"/>
  <c r="I16" i="7"/>
  <c r="I23" i="7"/>
  <c r="K30" i="5"/>
  <c r="L11" i="6"/>
  <c r="P82" i="6"/>
  <c r="P67" i="6"/>
  <c r="L50" i="5"/>
  <c r="L49" i="6"/>
  <c r="M46" i="5"/>
  <c r="M8" i="6"/>
  <c r="M9" i="6" s="1"/>
  <c r="N12" i="7"/>
  <c r="N78" i="6"/>
  <c r="N79" i="6" s="1"/>
  <c r="M27" i="5"/>
  <c r="M29" i="5" s="1"/>
  <c r="M30" i="5" s="1"/>
  <c r="M10" i="6"/>
  <c r="H29" i="6"/>
  <c r="G38" i="6"/>
  <c r="G48" i="6" s="1"/>
  <c r="G53" i="6"/>
  <c r="G58" i="6" s="1"/>
  <c r="G60" i="6" s="1"/>
  <c r="H21" i="6"/>
  <c r="J11" i="7"/>
  <c r="J74" i="6"/>
  <c r="O75" i="6"/>
  <c r="O66" i="6" s="1"/>
  <c r="O31" i="6"/>
  <c r="J37" i="5"/>
  <c r="J42" i="6" s="1"/>
  <c r="L56" i="5"/>
  <c r="L57" i="5" s="1"/>
  <c r="L7" i="7"/>
  <c r="N46" i="5"/>
  <c r="K9" i="7"/>
  <c r="K10" i="7" s="1"/>
  <c r="O49" i="5"/>
  <c r="O52" i="6" s="1"/>
  <c r="O47" i="5"/>
  <c r="O50" i="6" s="1"/>
  <c r="O45" i="5"/>
  <c r="O41" i="6" s="1"/>
  <c r="O48" i="5"/>
  <c r="O51" i="6" s="1"/>
  <c r="O44" i="5"/>
  <c r="O40" i="6" s="1"/>
  <c r="N26" i="5"/>
  <c r="N10" i="6" s="1"/>
  <c r="N11" i="6" s="1"/>
  <c r="J41" i="5"/>
  <c r="J65" i="5"/>
  <c r="J66" i="5" s="1"/>
  <c r="J39" i="5"/>
  <c r="J40" i="5" s="1"/>
  <c r="O13" i="5"/>
  <c r="O12" i="5"/>
  <c r="O68" i="5" s="1"/>
  <c r="O17" i="5"/>
  <c r="O18" i="5" s="1"/>
  <c r="O8" i="6" s="1"/>
  <c r="O9" i="6" s="1"/>
  <c r="O34" i="5"/>
  <c r="O71" i="5" s="1"/>
  <c r="O22" i="5"/>
  <c r="O23" i="5"/>
  <c r="O21" i="5"/>
  <c r="P11" i="5"/>
  <c r="N35" i="5"/>
  <c r="L30" i="5"/>
  <c r="J15" i="7" l="1"/>
  <c r="J23" i="7" s="1"/>
  <c r="D49" i="11"/>
  <c r="D30" i="11" a="1"/>
  <c r="D30" i="11" s="1"/>
  <c r="D22" i="11" a="1"/>
  <c r="D22" i="11" s="1"/>
  <c r="M28" i="5"/>
  <c r="G89" i="6"/>
  <c r="J63" i="5"/>
  <c r="J64" i="5" s="1"/>
  <c r="J67" i="5" s="1"/>
  <c r="J69" i="5" s="1"/>
  <c r="N27" i="5"/>
  <c r="N28" i="5" s="1"/>
  <c r="K33" i="5"/>
  <c r="K36" i="5" s="1"/>
  <c r="K38" i="5" s="1"/>
  <c r="M50" i="5"/>
  <c r="M49" i="6"/>
  <c r="P13" i="5"/>
  <c r="P7" i="6"/>
  <c r="N50" i="5"/>
  <c r="N49" i="6"/>
  <c r="G61" i="6"/>
  <c r="O12" i="7"/>
  <c r="O78" i="6"/>
  <c r="O79" i="6" s="1"/>
  <c r="L51" i="5"/>
  <c r="L52" i="5"/>
  <c r="H87" i="6"/>
  <c r="H26" i="6"/>
  <c r="H12" i="6" s="1"/>
  <c r="H14" i="6" s="1"/>
  <c r="M11" i="6"/>
  <c r="L9" i="7"/>
  <c r="L10" i="7" s="1"/>
  <c r="M56" i="5"/>
  <c r="M57" i="5" s="1"/>
  <c r="M7" i="7"/>
  <c r="O46" i="5"/>
  <c r="O49" i="6" s="1"/>
  <c r="P49" i="5"/>
  <c r="P52" i="6" s="1"/>
  <c r="P47" i="5"/>
  <c r="P50" i="6" s="1"/>
  <c r="P45" i="5"/>
  <c r="P41" i="6" s="1"/>
  <c r="P48" i="5"/>
  <c r="P51" i="6" s="1"/>
  <c r="P44" i="5"/>
  <c r="P40" i="6" s="1"/>
  <c r="O35" i="5"/>
  <c r="P21" i="5"/>
  <c r="P12" i="5"/>
  <c r="P23" i="5"/>
  <c r="P17" i="5"/>
  <c r="P18" i="5" s="1"/>
  <c r="P8" i="6" s="1"/>
  <c r="P34" i="5"/>
  <c r="P71" i="5" s="1"/>
  <c r="P22" i="5"/>
  <c r="O26" i="5"/>
  <c r="J70" i="5" l="1"/>
  <c r="J16" i="7"/>
  <c r="J17" i="7"/>
  <c r="P68" i="5"/>
  <c r="D78" i="14"/>
  <c r="F78" i="14" s="1"/>
  <c r="O50" i="5"/>
  <c r="O51" i="5" s="1"/>
  <c r="N29" i="5"/>
  <c r="N7" i="7" s="1"/>
  <c r="N51" i="5"/>
  <c r="N13" i="7" s="1"/>
  <c r="L13" i="7"/>
  <c r="L76" i="6"/>
  <c r="P12" i="7"/>
  <c r="P78" i="6"/>
  <c r="P79" i="6" s="1"/>
  <c r="H15" i="6"/>
  <c r="H16" i="6" s="1"/>
  <c r="P9" i="6"/>
  <c r="P75" i="6"/>
  <c r="P66" i="6" s="1"/>
  <c r="P31" i="6"/>
  <c r="N52" i="5"/>
  <c r="M52" i="5"/>
  <c r="M51" i="5"/>
  <c r="O27" i="5"/>
  <c r="O28" i="5" s="1"/>
  <c r="O10" i="6"/>
  <c r="O11" i="6" s="1"/>
  <c r="K11" i="7"/>
  <c r="K15" i="7" s="1"/>
  <c r="K16" i="7" s="1"/>
  <c r="K74" i="6"/>
  <c r="M9" i="7"/>
  <c r="M10" i="7" s="1"/>
  <c r="K37" i="5"/>
  <c r="K42" i="6" s="1"/>
  <c r="K41" i="5"/>
  <c r="K65" i="5"/>
  <c r="K66" i="5" s="1"/>
  <c r="K39" i="5"/>
  <c r="K40" i="5" s="1"/>
  <c r="P46" i="5"/>
  <c r="O52" i="5"/>
  <c r="P26" i="5"/>
  <c r="P35" i="5"/>
  <c r="F64" i="7" l="1"/>
  <c r="N56" i="5"/>
  <c r="N57" i="5" s="1"/>
  <c r="N76" i="6"/>
  <c r="N30" i="5"/>
  <c r="O29" i="5"/>
  <c r="O7" i="7" s="1"/>
  <c r="O9" i="7" s="1"/>
  <c r="O10" i="7" s="1"/>
  <c r="L33" i="5"/>
  <c r="L36" i="5" s="1"/>
  <c r="L38" i="5" s="1"/>
  <c r="K63" i="5"/>
  <c r="K64" i="5" s="1"/>
  <c r="K67" i="5" s="1"/>
  <c r="K69" i="5" s="1"/>
  <c r="K70" i="5"/>
  <c r="H73" i="6"/>
  <c r="H77" i="6" s="1"/>
  <c r="H18" i="6"/>
  <c r="H65" i="6"/>
  <c r="H70" i="6" s="1"/>
  <c r="H94" i="6"/>
  <c r="P27" i="5"/>
  <c r="P29" i="5" s="1"/>
  <c r="P10" i="6"/>
  <c r="P11" i="6" s="1"/>
  <c r="K23" i="7"/>
  <c r="O13" i="7"/>
  <c r="O76" i="6"/>
  <c r="P50" i="5"/>
  <c r="P51" i="5" s="1"/>
  <c r="P49" i="6"/>
  <c r="M13" i="7"/>
  <c r="M76" i="6"/>
  <c r="K17" i="7"/>
  <c r="N9" i="7"/>
  <c r="N10" i="7" s="1"/>
  <c r="P28" i="5" l="1"/>
  <c r="O56" i="5"/>
  <c r="O57" i="5" s="1"/>
  <c r="O30" i="5"/>
  <c r="P13" i="7"/>
  <c r="P76" i="6"/>
  <c r="P52" i="5"/>
  <c r="D48" i="14" s="1"/>
  <c r="F48" i="14" s="1"/>
  <c r="H59" i="6"/>
  <c r="I64" i="6"/>
  <c r="L11" i="7"/>
  <c r="L15" i="7" s="1"/>
  <c r="L74" i="6"/>
  <c r="H30" i="6"/>
  <c r="P56" i="5"/>
  <c r="P57" i="5" s="1"/>
  <c r="P7" i="7"/>
  <c r="L41" i="5"/>
  <c r="L39" i="5"/>
  <c r="L40" i="5" s="1"/>
  <c r="L65" i="5"/>
  <c r="L66" i="5" s="1"/>
  <c r="L37" i="5"/>
  <c r="L42" i="6" s="1"/>
  <c r="P30" i="5"/>
  <c r="D43" i="14" s="1"/>
  <c r="F43" i="14" s="1"/>
  <c r="F63" i="7" l="1"/>
  <c r="D24" i="11"/>
  <c r="L70" i="5"/>
  <c r="L23" i="7"/>
  <c r="L16" i="7"/>
  <c r="H33" i="6"/>
  <c r="H34" i="6" s="1"/>
  <c r="H23" i="6" s="1"/>
  <c r="H81" i="6" s="1"/>
  <c r="H32" i="6"/>
  <c r="H22" i="6" s="1"/>
  <c r="P9" i="7"/>
  <c r="P10" i="7" s="1"/>
  <c r="L17" i="7"/>
  <c r="M33" i="5"/>
  <c r="L63" i="5"/>
  <c r="H80" i="6" l="1"/>
  <c r="H85" i="6" s="1"/>
  <c r="H86" i="6" s="1"/>
  <c r="H88" i="6" s="1"/>
  <c r="H24" i="6"/>
  <c r="H35" i="6"/>
  <c r="F29" i="7"/>
  <c r="F30" i="7" s="1"/>
  <c r="F31" i="7" s="1"/>
  <c r="F34" i="7" s="1"/>
  <c r="M36" i="5"/>
  <c r="M38" i="5" s="1"/>
  <c r="L64" i="5"/>
  <c r="L67" i="5" s="1"/>
  <c r="L69" i="5" s="1"/>
  <c r="M11" i="7" l="1"/>
  <c r="M15" i="7" s="1"/>
  <c r="M70" i="5" s="1"/>
  <c r="M74" i="6"/>
  <c r="I29" i="6"/>
  <c r="H38" i="6"/>
  <c r="H48" i="6" s="1"/>
  <c r="I21" i="6"/>
  <c r="H53" i="6"/>
  <c r="H58" i="6" s="1"/>
  <c r="H60" i="6" s="1"/>
  <c r="F36" i="7"/>
  <c r="F43" i="7" s="1"/>
  <c r="M37" i="5"/>
  <c r="N33" i="5" s="1"/>
  <c r="M65" i="5"/>
  <c r="M66" i="5" s="1"/>
  <c r="M41" i="5"/>
  <c r="M39" i="5"/>
  <c r="M40" i="5" s="1"/>
  <c r="M23" i="7" l="1"/>
  <c r="H89" i="6"/>
  <c r="M16" i="7"/>
  <c r="I26" i="6"/>
  <c r="I12" i="6" s="1"/>
  <c r="I14" i="6" s="1"/>
  <c r="H61" i="6"/>
  <c r="M63" i="5"/>
  <c r="M64" i="5" s="1"/>
  <c r="M67" i="5" s="1"/>
  <c r="M69" i="5" s="1"/>
  <c r="M42" i="6"/>
  <c r="I87" i="6"/>
  <c r="M17" i="7"/>
  <c r="N36" i="5"/>
  <c r="N38" i="5" s="1"/>
  <c r="N11" i="7" l="1"/>
  <c r="N15" i="7" s="1"/>
  <c r="N70" i="5" s="1"/>
  <c r="N74" i="6"/>
  <c r="I15" i="6"/>
  <c r="I16" i="6" s="1"/>
  <c r="N37" i="5"/>
  <c r="N65" i="5"/>
  <c r="N66" i="5" s="1"/>
  <c r="N41" i="5"/>
  <c r="N39" i="5"/>
  <c r="N40" i="5" s="1"/>
  <c r="N16" i="7" l="1"/>
  <c r="N23" i="7"/>
  <c r="N63" i="5"/>
  <c r="N64" i="5" s="1"/>
  <c r="N67" i="5" s="1"/>
  <c r="N69" i="5" s="1"/>
  <c r="N42" i="6"/>
  <c r="I73" i="6"/>
  <c r="I77" i="6" s="1"/>
  <c r="I18" i="6"/>
  <c r="I65" i="6"/>
  <c r="I70" i="6" s="1"/>
  <c r="I94" i="6"/>
  <c r="O33" i="5"/>
  <c r="O36" i="5" s="1"/>
  <c r="O38" i="5" s="1"/>
  <c r="N17" i="7"/>
  <c r="O11" i="7" l="1"/>
  <c r="O15" i="7" s="1"/>
  <c r="O70" i="5" s="1"/>
  <c r="O74" i="6"/>
  <c r="I59" i="6"/>
  <c r="J64" i="6"/>
  <c r="I30" i="6"/>
  <c r="O23" i="7"/>
  <c r="O16" i="7"/>
  <c r="O65" i="5"/>
  <c r="O66" i="5" s="1"/>
  <c r="O41" i="5"/>
  <c r="O39" i="5"/>
  <c r="O40" i="5" s="1"/>
  <c r="O37" i="5"/>
  <c r="O42" i="6" s="1"/>
  <c r="I33" i="6" l="1"/>
  <c r="I34" i="6" s="1"/>
  <c r="I23" i="6" s="1"/>
  <c r="I81" i="6" s="1"/>
  <c r="I32" i="6"/>
  <c r="I22" i="6" s="1"/>
  <c r="O17" i="7"/>
  <c r="P33" i="5"/>
  <c r="O63" i="5"/>
  <c r="O64" i="5" s="1"/>
  <c r="O67" i="5" s="1"/>
  <c r="O69" i="5" s="1"/>
  <c r="I80" i="6" l="1"/>
  <c r="I85" i="6" s="1"/>
  <c r="I86" i="6" s="1"/>
  <c r="I88" i="6" s="1"/>
  <c r="I24" i="6"/>
  <c r="I35" i="6"/>
  <c r="P36" i="5"/>
  <c r="P38" i="5" s="1"/>
  <c r="P74" i="6" s="1"/>
  <c r="J29" i="6" l="1"/>
  <c r="I38" i="6"/>
  <c r="I48" i="6" s="1"/>
  <c r="I53" i="6"/>
  <c r="I58" i="6" s="1"/>
  <c r="I60" i="6" s="1"/>
  <c r="J21" i="6"/>
  <c r="I89" i="6"/>
  <c r="P11" i="7"/>
  <c r="P15" i="7" s="1"/>
  <c r="F65" i="7"/>
  <c r="P65" i="5"/>
  <c r="P66" i="5" s="1"/>
  <c r="P41" i="5"/>
  <c r="P39" i="5"/>
  <c r="P37" i="5"/>
  <c r="D26" i="14" l="1"/>
  <c r="F26" i="14" s="1"/>
  <c r="D77" i="14" a="1"/>
  <c r="D77" i="14" s="1"/>
  <c r="F77" i="14" s="1"/>
  <c r="F66" i="7"/>
  <c r="D44" i="14"/>
  <c r="F44" i="14" s="1"/>
  <c r="P70" i="5"/>
  <c r="I61" i="6"/>
  <c r="J26" i="6"/>
  <c r="J12" i="6" s="1"/>
  <c r="J14" i="6" s="1"/>
  <c r="P63" i="5"/>
  <c r="P64" i="5" s="1"/>
  <c r="P42" i="6"/>
  <c r="D24" i="14" s="1"/>
  <c r="F24" i="14" s="1"/>
  <c r="J87" i="6"/>
  <c r="P40" i="5"/>
  <c r="F61" i="7"/>
  <c r="F62" i="7" s="1"/>
  <c r="F32" i="7"/>
  <c r="F75" i="7"/>
  <c r="F37" i="7"/>
  <c r="F38" i="7" s="1"/>
  <c r="F39" i="7" s="1"/>
  <c r="P23" i="7"/>
  <c r="F42" i="7" s="1"/>
  <c r="P17" i="7"/>
  <c r="P16" i="7"/>
  <c r="F73" i="7"/>
  <c r="D48" i="11" s="1"/>
  <c r="F74" i="7"/>
  <c r="D27" i="14" s="1"/>
  <c r="F27" i="14" s="1"/>
  <c r="D47" i="11" l="1"/>
  <c r="D35" i="11"/>
  <c r="C51" i="2"/>
  <c r="D43" i="11"/>
  <c r="D41" i="14"/>
  <c r="F41" i="14" s="1"/>
  <c r="D73" i="14" a="1"/>
  <c r="D73" i="14" s="1"/>
  <c r="F73" i="14" s="1"/>
  <c r="P67" i="5"/>
  <c r="P69" i="5" s="1"/>
  <c r="D61" i="14" s="1"/>
  <c r="F61" i="14" s="1"/>
  <c r="D40" i="14"/>
  <c r="F40" i="14" s="1"/>
  <c r="D62" i="14"/>
  <c r="F62" i="14" s="1"/>
  <c r="D54" i="9"/>
  <c r="C54" i="9"/>
  <c r="D51" i="9"/>
  <c r="C51" i="9"/>
  <c r="D52" i="9"/>
  <c r="C52" i="9"/>
  <c r="D55" i="9"/>
  <c r="C55" i="9"/>
  <c r="D56" i="9"/>
  <c r="C56" i="9"/>
  <c r="D53" i="9"/>
  <c r="C53" i="9"/>
  <c r="F44" i="7"/>
  <c r="C5" i="12" s="1"/>
  <c r="J15" i="6"/>
  <c r="J16" i="6" s="1"/>
  <c r="F69" i="7"/>
  <c r="C53" i="2" s="1"/>
  <c r="C31" i="2"/>
  <c r="D44" i="11" l="1"/>
  <c r="D36" i="11"/>
  <c r="D39" i="11" s="1"/>
  <c r="D42" i="11"/>
  <c r="D70" i="14" a="1"/>
  <c r="D70" i="14" s="1"/>
  <c r="F70" i="14" s="1"/>
  <c r="C27" i="10"/>
  <c r="C14" i="2"/>
  <c r="C11" i="12"/>
  <c r="C10" i="12"/>
  <c r="C9" i="12"/>
  <c r="C8" i="12"/>
  <c r="C7" i="12"/>
  <c r="C12" i="12"/>
  <c r="C14" i="12"/>
  <c r="F72" i="7"/>
  <c r="C33" i="2" s="1"/>
  <c r="F45" i="7"/>
  <c r="C30" i="2" s="1"/>
  <c r="F53" i="7"/>
  <c r="C28" i="10" s="1"/>
  <c r="E51" i="9"/>
  <c r="F71" i="7"/>
  <c r="C32" i="2" s="1"/>
  <c r="D16" i="11"/>
  <c r="D17" i="11" s="1"/>
  <c r="E53" i="9"/>
  <c r="E52" i="9"/>
  <c r="E55" i="9"/>
  <c r="E56" i="9"/>
  <c r="E54" i="9"/>
  <c r="J73" i="6"/>
  <c r="J77" i="6" s="1"/>
  <c r="J18" i="6"/>
  <c r="J65" i="6"/>
  <c r="J70" i="6" s="1"/>
  <c r="J94" i="6"/>
  <c r="C32" i="10" l="1"/>
  <c r="F70" i="7"/>
  <c r="C52" i="2" s="1"/>
  <c r="F55" i="7"/>
  <c r="C6" i="12"/>
  <c r="C13" i="12" s="1"/>
  <c r="D50" i="14"/>
  <c r="F50" i="14" s="1"/>
  <c r="D42" i="14"/>
  <c r="F42" i="14" s="1"/>
  <c r="C15" i="2"/>
  <c r="F54" i="9"/>
  <c r="C16" i="2"/>
  <c r="F55" i="9"/>
  <c r="F56" i="9"/>
  <c r="F51" i="9"/>
  <c r="F53" i="9"/>
  <c r="F52" i="9"/>
  <c r="K64" i="6"/>
  <c r="J59" i="6"/>
  <c r="J30" i="6"/>
  <c r="G27" i="13" l="1"/>
  <c r="G29" i="13" s="1"/>
  <c r="F57" i="7"/>
  <c r="C19" i="2" s="1"/>
  <c r="F58" i="7"/>
  <c r="C20" i="2" s="1"/>
  <c r="C29" i="10"/>
  <c r="C31" i="10" s="1"/>
  <c r="C18" i="2"/>
  <c r="D69" i="14"/>
  <c r="F69" i="14" s="1"/>
  <c r="C22" i="12"/>
  <c r="D18" i="11"/>
  <c r="D19" i="11" s="1"/>
  <c r="C20" i="12"/>
  <c r="C21" i="12" s="1"/>
  <c r="D59" i="14"/>
  <c r="D72" i="14" a="1"/>
  <c r="D72" i="14" s="1"/>
  <c r="F72" i="14" s="1"/>
  <c r="J33" i="6"/>
  <c r="J34" i="6" s="1"/>
  <c r="J23" i="6" s="1"/>
  <c r="J81" i="6" s="1"/>
  <c r="J32" i="6"/>
  <c r="J22" i="6" s="1"/>
  <c r="G28" i="13" l="1"/>
  <c r="D23" i="11" a="1"/>
  <c r="D23" i="11" s="1"/>
  <c r="D31" i="11"/>
  <c r="D32" i="11" s="1"/>
  <c r="C23" i="12"/>
  <c r="J80" i="6"/>
  <c r="J85" i="6" s="1"/>
  <c r="J86" i="6" s="1"/>
  <c r="J88" i="6" s="1"/>
  <c r="J24" i="6"/>
  <c r="J35" i="6"/>
  <c r="D50" i="11" l="1"/>
  <c r="D25" i="11"/>
  <c r="D27" i="11" s="1"/>
  <c r="K29" i="6"/>
  <c r="J38" i="6"/>
  <c r="J48" i="6" s="1"/>
  <c r="J53" i="6"/>
  <c r="J58" i="6" s="1"/>
  <c r="J60" i="6" s="1"/>
  <c r="K21" i="6"/>
  <c r="J89" i="6" l="1"/>
  <c r="K26" i="6"/>
  <c r="K12" i="6" s="1"/>
  <c r="K14" i="6" s="1"/>
  <c r="J61" i="6"/>
  <c r="K87" i="6"/>
  <c r="K15" i="6" l="1"/>
  <c r="K16" i="6" s="1"/>
  <c r="K73" i="6" l="1"/>
  <c r="K77" i="6" s="1"/>
  <c r="K18" i="6"/>
  <c r="K65" i="6"/>
  <c r="K70" i="6" s="1"/>
  <c r="K94" i="6"/>
  <c r="L64" i="6" l="1"/>
  <c r="K59" i="6"/>
  <c r="K30" i="6"/>
  <c r="K33" i="6" l="1"/>
  <c r="K34" i="6" s="1"/>
  <c r="K23" i="6" s="1"/>
  <c r="K81" i="6" s="1"/>
  <c r="K32" i="6"/>
  <c r="K22" i="6" s="1"/>
  <c r="K80" i="6" l="1"/>
  <c r="K85" i="6" s="1"/>
  <c r="K86" i="6" s="1"/>
  <c r="K88" i="6" s="1"/>
  <c r="K24" i="6"/>
  <c r="K35" i="6"/>
  <c r="K38" i="6" l="1"/>
  <c r="K48" i="6" s="1"/>
  <c r="L29" i="6"/>
  <c r="K53" i="6"/>
  <c r="K58" i="6" s="1"/>
  <c r="K60" i="6" s="1"/>
  <c r="L21" i="6"/>
  <c r="K89" i="6" l="1"/>
  <c r="L26" i="6"/>
  <c r="L12" i="6" s="1"/>
  <c r="L14" i="6" s="1"/>
  <c r="L87" i="6"/>
  <c r="K61" i="6"/>
  <c r="L15" i="6" l="1"/>
  <c r="L16" i="6" s="1"/>
  <c r="L73" i="6" l="1"/>
  <c r="L77" i="6" s="1"/>
  <c r="L18" i="6"/>
  <c r="L65" i="6"/>
  <c r="L70" i="6" s="1"/>
  <c r="L94" i="6"/>
  <c r="M64" i="6" l="1"/>
  <c r="L59" i="6"/>
  <c r="L30" i="6"/>
  <c r="L33" i="6" l="1"/>
  <c r="L34" i="6" s="1"/>
  <c r="L23" i="6" s="1"/>
  <c r="L81" i="6" s="1"/>
  <c r="L32" i="6"/>
  <c r="L22" i="6" s="1"/>
  <c r="L80" i="6" l="1"/>
  <c r="L85" i="6" s="1"/>
  <c r="L86" i="6" s="1"/>
  <c r="L88" i="6" s="1"/>
  <c r="L24" i="6"/>
  <c r="L35" i="6"/>
  <c r="M29" i="6" l="1"/>
  <c r="L38" i="6"/>
  <c r="L48" i="6" s="1"/>
  <c r="L53" i="6"/>
  <c r="L58" i="6" s="1"/>
  <c r="L60" i="6" s="1"/>
  <c r="M21" i="6"/>
  <c r="L89" i="6" l="1"/>
  <c r="L61" i="6"/>
  <c r="M26" i="6"/>
  <c r="M12" i="6" s="1"/>
  <c r="M14" i="6" s="1"/>
  <c r="M87" i="6"/>
  <c r="M15" i="6" l="1"/>
  <c r="M16" i="6" s="1"/>
  <c r="M65" i="6" l="1"/>
  <c r="M70" i="6" s="1"/>
  <c r="M73" i="6"/>
  <c r="M77" i="6" s="1"/>
  <c r="M18" i="6"/>
  <c r="M94" i="6"/>
  <c r="M59" i="6" l="1"/>
  <c r="N64" i="6"/>
  <c r="M30" i="6"/>
  <c r="M33" i="6" l="1"/>
  <c r="M34" i="6" s="1"/>
  <c r="M23" i="6" s="1"/>
  <c r="M81" i="6" s="1"/>
  <c r="M32" i="6"/>
  <c r="M22" i="6" s="1"/>
  <c r="M80" i="6" l="1"/>
  <c r="M85" i="6" s="1"/>
  <c r="M86" i="6" s="1"/>
  <c r="M88" i="6" s="1"/>
  <c r="M24" i="6"/>
  <c r="M35" i="6"/>
  <c r="N29" i="6" l="1"/>
  <c r="M38" i="6"/>
  <c r="M48" i="6" s="1"/>
  <c r="M53" i="6"/>
  <c r="M58" i="6" s="1"/>
  <c r="M60" i="6" s="1"/>
  <c r="N21" i="6"/>
  <c r="M89" i="6" l="1"/>
  <c r="M61" i="6"/>
  <c r="N26" i="6"/>
  <c r="N12" i="6" s="1"/>
  <c r="N14" i="6" s="1"/>
  <c r="N87" i="6"/>
  <c r="N15" i="6" l="1"/>
  <c r="N16" i="6" s="1"/>
  <c r="N65" i="6" l="1"/>
  <c r="N70" i="6" s="1"/>
  <c r="N73" i="6"/>
  <c r="N77" i="6" s="1"/>
  <c r="N18" i="6"/>
  <c r="N94" i="6"/>
  <c r="N30" i="6" l="1"/>
  <c r="N59" i="6"/>
  <c r="O64" i="6"/>
  <c r="N33" i="6" l="1"/>
  <c r="N34" i="6" s="1"/>
  <c r="N23" i="6" s="1"/>
  <c r="N81" i="6" s="1"/>
  <c r="N32" i="6"/>
  <c r="N22" i="6" s="1"/>
  <c r="N35" i="6" l="1"/>
  <c r="N80" i="6"/>
  <c r="N85" i="6" s="1"/>
  <c r="N86" i="6" s="1"/>
  <c r="N88" i="6" s="1"/>
  <c r="N24" i="6"/>
  <c r="N53" i="6" l="1"/>
  <c r="N58" i="6" s="1"/>
  <c r="N60" i="6" s="1"/>
  <c r="O21" i="6"/>
  <c r="O29" i="6"/>
  <c r="N38" i="6"/>
  <c r="N48" i="6" s="1"/>
  <c r="N89" i="6" l="1"/>
  <c r="N61" i="6"/>
  <c r="O87" i="6"/>
  <c r="O26" i="6"/>
  <c r="O12" i="6" s="1"/>
  <c r="O14" i="6" s="1"/>
  <c r="O15" i="6" l="1"/>
  <c r="O16" i="6" s="1"/>
  <c r="O73" i="6" l="1"/>
  <c r="O77" i="6" s="1"/>
  <c r="O18" i="6"/>
  <c r="O65" i="6"/>
  <c r="O70" i="6" s="1"/>
  <c r="O94" i="6"/>
  <c r="O30" i="6" l="1"/>
  <c r="O59" i="6"/>
  <c r="P64" i="6"/>
  <c r="O33" i="6" l="1"/>
  <c r="O34" i="6" s="1"/>
  <c r="O23" i="6" s="1"/>
  <c r="O81" i="6" s="1"/>
  <c r="O32" i="6"/>
  <c r="O22" i="6" s="1"/>
  <c r="O80" i="6" l="1"/>
  <c r="O85" i="6" s="1"/>
  <c r="O86" i="6" s="1"/>
  <c r="O88" i="6" s="1"/>
  <c r="O24" i="6"/>
  <c r="O35" i="6"/>
  <c r="O53" i="6" l="1"/>
  <c r="O58" i="6" s="1"/>
  <c r="O60" i="6" s="1"/>
  <c r="P21" i="6"/>
  <c r="P29" i="6"/>
  <c r="O38" i="6"/>
  <c r="O48" i="6" s="1"/>
  <c r="O89" i="6" l="1"/>
  <c r="O61" i="6"/>
  <c r="P87" i="6"/>
  <c r="P26" i="6"/>
  <c r="P12" i="6" s="1"/>
  <c r="P14" i="6" s="1"/>
  <c r="P15" i="6" l="1"/>
  <c r="P16" i="6" s="1"/>
  <c r="P73" i="6" l="1"/>
  <c r="P77" i="6" s="1"/>
  <c r="P18" i="6"/>
  <c r="P65" i="6"/>
  <c r="P70" i="6" s="1"/>
  <c r="P59" i="6" s="1"/>
  <c r="P94" i="6"/>
  <c r="P30" i="6" l="1"/>
  <c r="P33" i="6" l="1"/>
  <c r="P34" i="6" s="1"/>
  <c r="P23" i="6" s="1"/>
  <c r="P81" i="6" s="1"/>
  <c r="P32" i="6"/>
  <c r="P22" i="6" s="1"/>
  <c r="P35" i="6" l="1"/>
  <c r="P80" i="6"/>
  <c r="P85" i="6" s="1"/>
  <c r="P86" i="6" s="1"/>
  <c r="P88" i="6" s="1"/>
  <c r="P24" i="6"/>
  <c r="P38" i="6" l="1"/>
  <c r="D22" i="14" a="1"/>
  <c r="D22" i="14" s="1"/>
  <c r="F22" i="14" s="1"/>
  <c r="P53" i="6"/>
  <c r="P58" i="6" s="1"/>
  <c r="P60" i="6" s="1"/>
  <c r="D23" i="14"/>
  <c r="F23" i="14" s="1"/>
  <c r="P89" i="6"/>
  <c r="D21" i="14" s="1"/>
  <c r="F21" i="14" s="1"/>
  <c r="P48" i="6" l="1"/>
  <c r="P61" i="6" s="1"/>
  <c r="D20" i="14" s="1"/>
  <c r="F20" i="14" s="1"/>
  <c r="D8"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<sst xmlns="http://schemas.openxmlformats.org/spreadsheetml/2006/main" count="3539" uniqueCount="2121">
  <si>
    <t>FUENTES Y DICCIONARIO DE DATOS — ORACLE CORPORATION (ORCL)</t>
  </si>
  <si>
    <t>Toda cifra histórica del modelo proviene del Form 10-K de Oracle para el ejercicio cerrado el 31 de mayo de 2026, presentado ante la SEC el 22/06/2026 (accession 0001193125-26-277521).</t>
  </si>
  <si>
    <t>Moneda: USD. Unidades: millones (salvo datos por acción). Ejercicio fiscal de Oracle: 1 de junio – 31 de mayo.</t>
  </si>
  <si>
    <t>#</t>
  </si>
  <si>
    <t>Bloque de datos</t>
  </si>
  <si>
    <t>Partidas cubiertas</t>
  </si>
  <si>
    <t>Fuente</t>
  </si>
  <si>
    <t>Documento</t>
  </si>
  <si>
    <t>URL</t>
  </si>
  <si>
    <t>Fecha presentación</t>
  </si>
  <si>
    <t>Periodo</t>
  </si>
  <si>
    <t>Moneda</t>
  </si>
  <si>
    <t>Unidades</t>
  </si>
  <si>
    <t>Reportado / Ajustado</t>
  </si>
  <si>
    <t>Histórico / Estimación</t>
  </si>
  <si>
    <t>Cuenta de resultados</t>
  </si>
  <si>
    <t>Ingresos por línea, costes, EBIT, intereses, impuestos, beneficio neto, BPA, acciones medias</t>
  </si>
  <si>
    <t>SEC EDGAR</t>
  </si>
  <si>
    <t>Oracle Form 10-K FY2026 — Consolidated Statements of Operations</t>
  </si>
  <si>
    <t>https://www.sec.gov/Archives/edgar/data/0001341439/000119312526277521/orcl-20260531.htm</t>
  </si>
  <si>
    <t>22/06/2026</t>
  </si>
  <si>
    <t>FY2024–FY2026</t>
  </si>
  <si>
    <t>USD</t>
  </si>
  <si>
    <t>Millones</t>
  </si>
  <si>
    <t>Reportado</t>
  </si>
  <si>
    <t>Histórico</t>
  </si>
  <si>
    <t>Balance</t>
  </si>
  <si>
    <t>Caja, inversiones, clientes, PP&amp;E, fondo de comercio, deuda, leases, preferentes, minoritarios, patrimonio</t>
  </si>
  <si>
    <t>Oracle Form 10-K FY2026 — Consolidated Balance Sheets</t>
  </si>
  <si>
    <t>FY2025–FY2026</t>
  </si>
  <si>
    <t>Estado de flujos de caja</t>
  </si>
  <si>
    <t>CFO, CFI, CFF, amortizaciones, SBC, capex, dividendos, emisiones y repagos de deuda</t>
  </si>
  <si>
    <t>Oracle Form 10-K FY2026 — Consolidated Statements of Cash Flows</t>
  </si>
  <si>
    <t>Detalle de deuda</t>
  </si>
  <si>
    <t>Total senior notes y otros préstamos 129.541 (FY26) / 92.568 (FY25)</t>
  </si>
  <si>
    <t>Oracle Form 10-K FY2026 — Nota: Notes Payable</t>
  </si>
  <si>
    <t>Arrendamientos</t>
  </si>
  <si>
    <t>Pasivo leases operativos 30.190; pasivo leases financieros 7.701; ROU; tipo de descuento medio 5,7%</t>
  </si>
  <si>
    <t>Oracle Form 10-K FY2026 — Nota: Leases</t>
  </si>
  <si>
    <t>Impuestos</t>
  </si>
  <si>
    <t>Tipo efectivo 10,9% / 12,1% / 12,6%; tipo estatutario federal EEUU 21,0%</t>
  </si>
  <si>
    <t>Oracle Form 10-K FY2026 — Nota: Income Taxes</t>
  </si>
  <si>
    <t>%</t>
  </si>
  <si>
    <t>Remaining Performance Obligations</t>
  </si>
  <si>
    <t>RPO 638.000 (31/05/2026) vs 138.000 (31/05/2025)</t>
  </si>
  <si>
    <t>Oracle Form 10-K FY2026 — MD&amp;A y Nota 1</t>
  </si>
  <si>
    <t>Acciones en circulación</t>
  </si>
  <si>
    <t>2.880.471.000 acciones ordinarias a 12/06/2026</t>
  </si>
  <si>
    <t>Oracle Form 10-K FY2026 — Portada</t>
  </si>
  <si>
    <t>—</t>
  </si>
  <si>
    <t>Acciones</t>
  </si>
  <si>
    <t>Preferentes convertibles obligatorias</t>
  </si>
  <si>
    <t>Serie D 6,50%, 0,05 m de acciones, valor contable 4.954</t>
  </si>
  <si>
    <t>Oracle Form 10-K FY2026 — Balance y Nota de capital</t>
  </si>
  <si>
    <t>31/05/2026</t>
  </si>
  <si>
    <t>Precio de cotización actual</t>
  </si>
  <si>
    <t>Introducido manualmente por el analista en '01 Summary'!C10</t>
  </si>
  <si>
    <t>Input del analista</t>
  </si>
  <si>
    <t>No procede de filing: dato de mercado a introducir y fechar</t>
  </si>
  <si>
    <t>Fecha de valoración</t>
  </si>
  <si>
    <t>Por acción</t>
  </si>
  <si>
    <t>Input</t>
  </si>
  <si>
    <t>Input de mercado</t>
  </si>
  <si>
    <t>Tipo libre de riesgo, ERP, beta</t>
  </si>
  <si>
    <t>Inputs de mercado en '07 WACC'</t>
  </si>
  <si>
    <t>A documentar por el analista con su fuente y fecha</t>
  </si>
  <si>
    <t>Proyecciones FY2027–FY2036</t>
  </si>
  <si>
    <t>Todos los drivers operativos, capex, NWC, impuestos, WACC y valor terminal</t>
  </si>
  <si>
    <t>Hipótesis del analista</t>
  </si>
  <si>
    <t>Centralizadas en '02 Assumptions'; ninguna es dato reportado</t>
  </si>
  <si>
    <t>FY2027–FY2036</t>
  </si>
  <si>
    <t>Hipótesis</t>
  </si>
  <si>
    <t>Estimación</t>
  </si>
  <si>
    <t>ADVERTENCIAS DE CALIDAD DEL DATO</t>
  </si>
  <si>
    <t>W1</t>
  </si>
  <si>
    <t>El precio de cotización NO está tomado de ninguna fuente: es una celda de input. Hasta que se introduzca, el upside, el margen de seguridad y el Reverse DCF no producen resultado.</t>
  </si>
  <si>
    <t>W2</t>
  </si>
  <si>
    <t>Tipo libre de riesgo, prima de riesgo y beta son inputs de mercado, no datos del 10-K. Deben actualizarse y documentarse con su fuente y fecha en cada revisión.</t>
  </si>
  <si>
    <t>W3</t>
  </si>
  <si>
    <t>FY2026 NO es un año normalizado: capex de 55.663 sobre ingresos de 67.357 (82,6%) y FCFF negativo. Cualquier ratio calculado sobre FY2026 debe interpretarse en ese contexto.</t>
  </si>
  <si>
    <t>W4</t>
  </si>
  <si>
    <t>El CFO de FY2026 incluye 4.592 de cobros anticipados de clientes con componente financiero significativo. Es discutible que sea flujo operativo recurrente; se trata como partida no recurrente (ver '03 Historical').</t>
  </si>
  <si>
    <t>W5</t>
  </si>
  <si>
    <t>Los cambios de circulante del modelo se derivan de los saldos de balance, no de las líneas del estado de flujos, para garantizar consistencia de signo y cuadre.</t>
  </si>
  <si>
    <t>W6</t>
  </si>
  <si>
    <t>El 10-K reporta valor de mercado de acciones en manos de no afiliados de 346.760 millones USD al cierre del 28/11/2025. No es utilizable como precio de valoración actual.</t>
  </si>
  <si>
    <t>ESTADOS FINANCIEROS HISTÓRICOS — ORACLE CORPORATION (ORCL)</t>
  </si>
  <si>
    <t>USD millones salvo indicación. Ejercicio fiscal cerrado el 31 de mayo. Fuente: Form 10-K FY2026 (SEC). Datos reportados sin ajustar.</t>
  </si>
  <si>
    <t>Partida</t>
  </si>
  <si>
    <t>Unidad</t>
  </si>
  <si>
    <t>FY2024A</t>
  </si>
  <si>
    <t>FY2025A</t>
  </si>
  <si>
    <t>FY2026A</t>
  </si>
  <si>
    <t>CUENTA DE RESULTADOS</t>
  </si>
  <si>
    <t xml:space="preserve">  Cloud</t>
  </si>
  <si>
    <t>$M</t>
  </si>
  <si>
    <t xml:space="preserve">  Software (licencias y soporte)</t>
  </si>
  <si>
    <t xml:space="preserve">  Hardware</t>
  </si>
  <si>
    <t xml:space="preserve">  Servicios</t>
  </si>
  <si>
    <t>Ingresos totales</t>
  </si>
  <si>
    <t xml:space="preserve">  Coste de cloud y software</t>
  </si>
  <si>
    <t xml:space="preserve">  Coste de hardware</t>
  </si>
  <si>
    <t xml:space="preserve">  Coste de servicios</t>
  </si>
  <si>
    <t>Coste total de los ingresos</t>
  </si>
  <si>
    <t>Margen bruto (Gross Profit)</t>
  </si>
  <si>
    <t xml:space="preserve">  Gross Margin</t>
  </si>
  <si>
    <t xml:space="preserve">  Ventas y marketing</t>
  </si>
  <si>
    <t xml:space="preserve">  Investigación y desarrollo</t>
  </si>
  <si>
    <t xml:space="preserve">  Generales y administración</t>
  </si>
  <si>
    <t xml:space="preserve">  Amortización de intangibles</t>
  </si>
  <si>
    <t xml:space="preserve">  Reestructuración y otros</t>
  </si>
  <si>
    <t>Gastos operativos totales</t>
  </si>
  <si>
    <t>EBIT (resultado operativo) reportado</t>
  </si>
  <si>
    <t xml:space="preserve">  EBIT Margin reportado</t>
  </si>
  <si>
    <t xml:space="preserve">  Gasto por intereses</t>
  </si>
  <si>
    <t xml:space="preserve">  Resultado no operativo, neto</t>
  </si>
  <si>
    <t>Beneficio antes de impuestos</t>
  </si>
  <si>
    <t xml:space="preserve">  Impuesto sobre sociedades</t>
  </si>
  <si>
    <t xml:space="preserve">  Tipo impositivo efectivo</t>
  </si>
  <si>
    <t>Beneficio neto</t>
  </si>
  <si>
    <t xml:space="preserve">  Dividendos de acciones preferentes</t>
  </si>
  <si>
    <t>Beneficio neto atribuible a ordinarias</t>
  </si>
  <si>
    <t xml:space="preserve">  BPA básico</t>
  </si>
  <si>
    <t>$/acc</t>
  </si>
  <si>
    <t xml:space="preserve">  BPA diluido</t>
  </si>
  <si>
    <t xml:space="preserve">  Acciones medias básicas</t>
  </si>
  <si>
    <t>M acc</t>
  </si>
  <si>
    <t xml:space="preserve">  Acciones medias diluidas</t>
  </si>
  <si>
    <t>BALANCE (a cierre de ejercicio)</t>
  </si>
  <si>
    <t xml:space="preserve">  Caja y equivalentes</t>
  </si>
  <si>
    <t xml:space="preserve">  Valores negociables</t>
  </si>
  <si>
    <t xml:space="preserve">  Clientes, neto</t>
  </si>
  <si>
    <t xml:space="preserve">  Gastos anticipados y otros activos corrientes</t>
  </si>
  <si>
    <t>Total activo corriente</t>
  </si>
  <si>
    <t xml:space="preserve">  Inmovilizado material (PP&amp;E), neto</t>
  </si>
  <si>
    <t xml:space="preserve">  Activos por derecho de uso — leases operativos</t>
  </si>
  <si>
    <t xml:space="preserve">  Fondo de comercio</t>
  </si>
  <si>
    <t xml:space="preserve">  Activos por impuesto diferido</t>
  </si>
  <si>
    <t xml:space="preserve">  Otros activos no corrientes</t>
  </si>
  <si>
    <t>Total activo no corriente</t>
  </si>
  <si>
    <t>TOTAL ACTIVO</t>
  </si>
  <si>
    <t xml:space="preserve">  Deuda financiera corriente</t>
  </si>
  <si>
    <t xml:space="preserve">  Proveedores</t>
  </si>
  <si>
    <t xml:space="preserve">  Remuneraciones y cargas pendientes</t>
  </si>
  <si>
    <t xml:space="preserve">  Ingresos diferidos corrientes</t>
  </si>
  <si>
    <t xml:space="preserve">  Otros pasivos corrientes</t>
  </si>
  <si>
    <t>Total pasivo corriente</t>
  </si>
  <si>
    <t xml:space="preserve">  Deuda financiera no corriente</t>
  </si>
  <si>
    <t xml:space="preserve">  Impuestos a pagar no corrientes</t>
  </si>
  <si>
    <t xml:space="preserve">  Pasivo por leases operativos no corriente</t>
  </si>
  <si>
    <t xml:space="preserve">  Otros pasivos no corrientes</t>
  </si>
  <si>
    <t>Total pasivo no corriente</t>
  </si>
  <si>
    <t xml:space="preserve">  Acciones preferentes convertibles obligatorias (Serie D 6,50%)</t>
  </si>
  <si>
    <t xml:space="preserve">  Capital social y prima de emisión</t>
  </si>
  <si>
    <t xml:space="preserve">  Resultados acumulados (déficit)</t>
  </si>
  <si>
    <t xml:space="preserve">  Otro resultado global acumulado</t>
  </si>
  <si>
    <t>Patrimonio atribuible a Oracle</t>
  </si>
  <si>
    <t xml:space="preserve">  Intereses minoritarios</t>
  </si>
  <si>
    <t>Total patrimonio neto</t>
  </si>
  <si>
    <t>TOTAL PASIVO Y PATRIMONIO</t>
  </si>
  <si>
    <t>CHECK: Activo − Pasivo y Patrimonio (debe ser 0)</t>
  </si>
  <si>
    <t>ESTADO DE FLUJOS DE CAJA</t>
  </si>
  <si>
    <t xml:space="preserve">  Beneficio neto</t>
  </si>
  <si>
    <t xml:space="preserve">  Depreciación</t>
  </si>
  <si>
    <t xml:space="preserve">  Impuestos diferidos</t>
  </si>
  <si>
    <t xml:space="preserve">  Retribución basada en acciones (SBC)</t>
  </si>
  <si>
    <t xml:space="preserve">  Resultados de inversiones y otros, neto</t>
  </si>
  <si>
    <t xml:space="preserve">  Variación de circulante y otras partidas operativas (derivado)</t>
  </si>
  <si>
    <t>FLUJO DE CAJA OPERATIVO (CFO) — reportado</t>
  </si>
  <si>
    <t xml:space="preserve">  Capex (adquisición de inmovilizado)</t>
  </si>
  <si>
    <t xml:space="preserve">  Compras de inversiones y adquisiciones</t>
  </si>
  <si>
    <t xml:space="preserve">  Cobros por ventas y vencimientos de inversiones</t>
  </si>
  <si>
    <t xml:space="preserve">  Otros de inversión (derivado)</t>
  </si>
  <si>
    <t>FLUJO DE CAJA DE INVERSIÓN (CFI) — reportado</t>
  </si>
  <si>
    <t xml:space="preserve">  Emisión de acciones ordinarias</t>
  </si>
  <si>
    <t xml:space="preserve">  Recompra de acciones ordinarias</t>
  </si>
  <si>
    <t xml:space="preserve">  Acciones retenidas por impuestos en el vesting</t>
  </si>
  <si>
    <t xml:space="preserve">  Emisión de preferentes convertibles obligatorias</t>
  </si>
  <si>
    <t xml:space="preserve">  Dividendos pagados</t>
  </si>
  <si>
    <t xml:space="preserve">  Papel comercial, neto</t>
  </si>
  <si>
    <t xml:space="preserve">  Financiación a corto plazo ligada a capex, neto</t>
  </si>
  <si>
    <t xml:space="preserve">  Emisión de deuda a largo plazo y préstamos</t>
  </si>
  <si>
    <t xml:space="preserve">  Repago de deuda</t>
  </si>
  <si>
    <t xml:space="preserve">  Otros de financiación, neto</t>
  </si>
  <si>
    <t>FLUJO DE CAJA DE FINANCIACIÓN (CFF) — calculado</t>
  </si>
  <si>
    <t xml:space="preserve">  CFF reportado en el 10-K</t>
  </si>
  <si>
    <t>CHECK: CFF calculado − CFF reportado (debe ser 0)</t>
  </si>
  <si>
    <t>Variación neta de caja (CFO+CFI+CFF)</t>
  </si>
  <si>
    <t xml:space="preserve">  Efecto tipo de cambio (derivado como diferencia)</t>
  </si>
  <si>
    <t>MEMORIA — DEUDA, ARRENDAMIENTOS Y BACKLOG</t>
  </si>
  <si>
    <t xml:space="preserve">  Deuda financiera total (senior notes y otros préstamos)</t>
  </si>
  <si>
    <t xml:space="preserve">  CHECK: deuda total − (corriente + no corriente) del balance</t>
  </si>
  <si>
    <t xml:space="preserve">  Pasivo total por leases financieros</t>
  </si>
  <si>
    <t xml:space="preserve">  Pasivo total por leases operativos</t>
  </si>
  <si>
    <t xml:space="preserve">  Tipo de descuento medio ponderado de leases</t>
  </si>
  <si>
    <t xml:space="preserve">  Pagos de leases operativos</t>
  </si>
  <si>
    <t xml:space="preserve">  Pagos de leases financieros (principal + intereses)</t>
  </si>
  <si>
    <t xml:space="preserve">  Remaining Performance Obligations (RPO)</t>
  </si>
  <si>
    <t xml:space="preserve">  Acciones ordinarias en circulación a cierre</t>
  </si>
  <si>
    <t>RATIOS Y DIAGNÓSTICO</t>
  </si>
  <si>
    <t xml:space="preserve">  Crecimiento de ingresos</t>
  </si>
  <si>
    <t xml:space="preserve">  Crecimiento de ingresos Cloud</t>
  </si>
  <si>
    <t xml:space="preserve">  D&amp;A total (depreciación + amortización intangibles)</t>
  </si>
  <si>
    <t xml:space="preserve">  EBITDA Margin</t>
  </si>
  <si>
    <t xml:space="preserve">  EBIT normalizado (excluye reestructuración)</t>
  </si>
  <si>
    <t xml:space="preserve">  EBIT Margin normalizado</t>
  </si>
  <si>
    <t xml:space="preserve">  Capex</t>
  </si>
  <si>
    <t xml:space="preserve">  Capex / Ingresos</t>
  </si>
  <si>
    <t xml:space="preserve">  Capex / D&amp;A</t>
  </si>
  <si>
    <t>x</t>
  </si>
  <si>
    <t xml:space="preserve">  FCF simple (CFO − Capex)</t>
  </si>
  <si>
    <t xml:space="preserve">  SBC / Ingresos</t>
  </si>
  <si>
    <t xml:space="preserve">  DSO (días de cobro)</t>
  </si>
  <si>
    <t>días</t>
  </si>
  <si>
    <t xml:space="preserve">  Proveedores / (coste ingresos + capex)</t>
  </si>
  <si>
    <t xml:space="preserve">  Ingresos diferidos corrientes / Ingresos</t>
  </si>
  <si>
    <t xml:space="preserve">  Deuda neta (deuda + leases fin. − caja − valores)</t>
  </si>
  <si>
    <t xml:space="preserve">  Deuda neta / EBITDA</t>
  </si>
  <si>
    <t xml:space="preserve">  NOPAT normalizado (EBIT norm. × (1 − tipo efectivo))</t>
  </si>
  <si>
    <t xml:space="preserve">  Cobertura de intereses (EBIT norm. / intereses)</t>
  </si>
  <si>
    <t>NORMALIZACIÓN — DECISIONES DE TRATAMIENTO (justificación económica obligatoria)</t>
  </si>
  <si>
    <t>FY2026 ($M)</t>
  </si>
  <si>
    <t>¿Se elimina del EBIT?</t>
  </si>
  <si>
    <t>¿Se normaliza?</t>
  </si>
  <si>
    <t>Tratamiento en el DCF</t>
  </si>
  <si>
    <t>Justificación económica</t>
  </si>
  <si>
    <t>Reestructuración y otros</t>
  </si>
  <si>
    <t>Sí</t>
  </si>
  <si>
    <t>Se excluye del EBIT normalizado; se resta el coste en caja como partida no recurrente en el año 1</t>
  </si>
  <si>
    <t>Gasto recurrente en magnitud pero no en composición. Oracle reporta reestructuración casi todos los años, por lo que NO se elimina sin más: se normaliza a un nivel medio y se reconoce salida de caja.</t>
  </si>
  <si>
    <t>Amortización de intangibles adquiridos</t>
  </si>
  <si>
    <t>No</t>
  </si>
  <si>
    <t>Parcial</t>
  </si>
  <si>
    <t>Se mantiene en el EBIT pero se proyecta en declive hasta ~0 según el calendario de intangibles existentes</t>
  </si>
  <si>
    <t>Es un coste real de adquisiciones pasadas ya pagadas. Eliminarlo infla el EBIT terminal; mantenerlo a perpetuidad sobreestima el gasto porque los intangibles actuales se agotan.</t>
  </si>
  <si>
    <t>Retribución basada en acciones (SBC)</t>
  </si>
  <si>
    <t>Se MANTIENE como gasto operativo real. No se readiciona. No se aplica dilución adicional por SBC futuro</t>
  </si>
  <si>
    <t>Tratamiento A: coste económico real. Si se readicionara el SBC habría que proyectar dilución; mantenerlo como gasto y no diluir evita la doble contabilización. Ver 'M2 Manual Reglas'.</t>
  </si>
  <si>
    <t>Resultado no operativo, neto</t>
  </si>
  <si>
    <t>n/a</t>
  </si>
  <si>
    <t>Se EXCLUYE del FCFF por completo</t>
  </si>
  <si>
    <t>Incluye plusvalías de inversiones, minoritarios y partidas financieras. No es flujo operativo. FY2026 incluye +3.547 excepcional; incluirlo distorsionaría el valor.</t>
  </si>
  <si>
    <t>Cobros anticipados con componente financiero significativo</t>
  </si>
  <si>
    <t>Se EXCLUYE del circulante operativo recurrente</t>
  </si>
  <si>
    <t>Son 4.592 de prefinanciación de clientes dentro del CFO de FY2026. Económicamente es financiación, no generación operativa. Tratarlo como circulante recurrente inflaría el FCFF de forma permanente.</t>
  </si>
  <si>
    <t>Impuestos diferidos</t>
  </si>
  <si>
    <t>Se usa un tipo de caja normalizado convergente, no el tipo efectivo del 12,6%</t>
  </si>
  <si>
    <t>El tipo efectivo actual (12,6%) refleja créditos fiscales de I+D, FDII, mix jurisdiccional y beneficios por vesting de acciones. No es sostenible a la escala de beneficios proyectada.</t>
  </si>
  <si>
    <t>Leases operativos</t>
  </si>
  <si>
    <t>Tratados como OPERATIVOS: el coste está en el EBIT y el pasivo NO se añade a la deuda neta</t>
  </si>
  <si>
    <t>Bajo ASC 842 el coste del lease operativo es un gasto operativo único en el EBIT. Tratamiento consistente y sin doble cómputo. La alternativa (como deuda) exigiría reconstruir el EBIT; ver impacto cuantificado en '11 Cross Check'.</t>
  </si>
  <si>
    <t>Leases financieros</t>
  </si>
  <si>
    <t>Tratados como DEUDA: el pasivo SÍ se añade a la deuda neta</t>
  </si>
  <si>
    <t>El interés va a gasto financiero y la amortización del ROU a D&amp;A, por lo que el EBIT ya está antes del coste financiero. Es deuda a todos los efectos.</t>
  </si>
  <si>
    <t>Se resta del Equity Value por su valor contable; NO se añaden acciones por conversión</t>
  </si>
  <si>
    <t>Evita la doble contabilización. La alternativa (método if-converted, añadiendo acciones y no restando el valor) se documenta en el manual.</t>
  </si>
  <si>
    <t>Intereses minoritarios</t>
  </si>
  <si>
    <t>Se restan del Equity Value</t>
  </si>
  <si>
    <t>El EBIT consolidado incluye el 100% de filiales no controladas al 100% (Oracle Japan, Oracle Financial Services). Sin este ajuste se atribuiría a los accionistas de Oracle valor que no les pertenece.</t>
  </si>
  <si>
    <t>Fondo de comercio</t>
  </si>
  <si>
    <t>No se modela ni se amortiza; no entra en el FCFF</t>
  </si>
  <si>
    <t>No es un gasto en caja ni un activo operativo consumible. Solo relevante si hubiera deterioro, que se trataría como no recurrente.</t>
  </si>
  <si>
    <t>Capitalización de I+D</t>
  </si>
  <si>
    <t>No aplicada</t>
  </si>
  <si>
    <t>I+D se mantiene como gasto del periodo</t>
  </si>
  <si>
    <t>Aplicarla elevaría el EBIT contable y crearía un activo ficticio que exige amortizarlo de forma consistente. Con capex de 55.663 la intensidad de capital ya está reconocida en el balance; capitalizar I+D además duplicaría la reinversión. Metodología opcional descrita en el manual.</t>
  </si>
  <si>
    <t>PANEL DE ESCENARIOS — BEAR / BASE / BULL</t>
  </si>
  <si>
    <t>Este panel gobierna TODO el modelo. Cambiar C4 recalcula operativo, tres estados, DCF, valor terminal y valor por acción.</t>
  </si>
  <si>
    <t>ESCENARIO ACTIVO  (1 = Bear, 2 = Base, 3 = Bull)</t>
  </si>
  <si>
    <t>Escenario activo (nombre)</t>
  </si>
  <si>
    <t>DESPLAZAMIENTOS POR ESCENARIO — se aplican sobre el vector Base de '02 Assumptions'</t>
  </si>
  <si>
    <t>Driver</t>
  </si>
  <si>
    <t>Bear</t>
  </si>
  <si>
    <t>Base</t>
  </si>
  <si>
    <t>Bull</t>
  </si>
  <si>
    <t>Activo</t>
  </si>
  <si>
    <t>pp</t>
  </si>
  <si>
    <t>Delta al crecimiento del resto de ingresos</t>
  </si>
  <si>
    <t>Delta al Gross Margin</t>
  </si>
  <si>
    <t>Delta a los gastos operativos sobre ingresos</t>
  </si>
  <si>
    <t>Multiplicador de Capex / Ingresos</t>
  </si>
  <si>
    <t>Delta a los días de cobro (DSO)</t>
  </si>
  <si>
    <t>Delta al tipo impositivo de caja</t>
  </si>
  <si>
    <t>Delta al crecimiento terminal</t>
  </si>
  <si>
    <t>Delta al WACC</t>
  </si>
  <si>
    <t>COHERENCIA INTERNA DE LOS ESCENARIOS (regla: ningún escenario mejora todos los drivers a la vez)</t>
  </si>
  <si>
    <t>Menos crecimiento y menos margen, pero MÁS capex por unidad de ingreso (capacidad ya comprometida que no se llena), peor circulante, más impuestos, menor crecimiento terminal y mayor coste de capital.</t>
  </si>
  <si>
    <t>Los vectores de '02 Assumptions' tal cual: conversión del RPO en ingresos con desaceleración progresiva y normalización del capex hacia mantenimiento.</t>
  </si>
  <si>
    <t>Más crecimiento y más margen con MENOS capex por unidad de ingreso (mejor utilización de la capacidad instalada), mejor circulante, menos impuestos, algo más de crecimiento terminal y menor coste de capital.</t>
  </si>
  <si>
    <t>Regla</t>
  </si>
  <si>
    <t>El apalancamiento operativo es lo que conecta ingresos y márgenes: en Bear la caída de ingresos sobre una base de costes fijos y depreciación ya comprometida comprime el margen más que proporcionalmente. Por eso el delta de margen y el de crecimiento van en el mismo sentido.</t>
  </si>
  <si>
    <t>RESULTADO POR ESCENARIO (se actualiza al cambiar C4; para comparar los tres hay que recorrer 1, 2 y 3)</t>
  </si>
  <si>
    <t>Métrica</t>
  </si>
  <si>
    <t>Valor del escenario activo</t>
  </si>
  <si>
    <t>Enterprise Value ($M)</t>
  </si>
  <si>
    <t>Equity Value ($M)</t>
  </si>
  <si>
    <t>Valor intrínseco por acción ($)</t>
  </si>
  <si>
    <t>Precio actual ($)</t>
  </si>
  <si>
    <t>Upside / (Downside)</t>
  </si>
  <si>
    <t>Valor terminal / EV</t>
  </si>
  <si>
    <t>HIPÓTESIS CENTRALIZADAS — ORACLE CORPORATION (ORCL)</t>
  </si>
  <si>
    <t>AZUL = input del analista.  NEGRO = fórmula.  VERDE = enlace a otra hoja.  GRIS = dato histórico reportado.  AMARILLO = hipótesis crítica.  Ninguna otra hoja debe contener hipótesis: todas viven aquí.</t>
  </si>
  <si>
    <t>FY2027E</t>
  </si>
  <si>
    <t>FY2028E</t>
  </si>
  <si>
    <t>FY2029E</t>
  </si>
  <si>
    <t>FY2030E</t>
  </si>
  <si>
    <t>FY2031E</t>
  </si>
  <si>
    <t>FY2032E</t>
  </si>
  <si>
    <t>FY2033E</t>
  </si>
  <si>
    <t>FY2034E</t>
  </si>
  <si>
    <t>FY2035E</t>
  </si>
  <si>
    <t>FY2036E</t>
  </si>
  <si>
    <t>Peso del delta de escenario</t>
  </si>
  <si>
    <t>PANEL DE CONTROL</t>
  </si>
  <si>
    <t xml:space="preserve">  Escenario activo (1=Bear, 2=Base, 3=Bull)</t>
  </si>
  <si>
    <t xml:space="preserve">  Nombre del escenario activo</t>
  </si>
  <si>
    <t xml:space="preserve">  Fecha de valoración</t>
  </si>
  <si>
    <t>22/09/2026</t>
  </si>
  <si>
    <t xml:space="preserve">  Moneda y unidades</t>
  </si>
  <si>
    <t>USD millones</t>
  </si>
  <si>
    <t xml:space="preserve">  Años de forecast explícito</t>
  </si>
  <si>
    <t>años</t>
  </si>
  <si>
    <t xml:space="preserve">  Convención de descuento (1=fin de año, 2=mitad de año)</t>
  </si>
  <si>
    <t xml:space="preserve">  Método de valor terminal (1=Gordon, 2=Múltiplo de salida)</t>
  </si>
  <si>
    <t xml:space="preserve">  Tratamiento de leases operativos</t>
  </si>
  <si>
    <t>OPERATIVO — coste en EBIT, pasivo fuera de la deuda neta</t>
  </si>
  <si>
    <t xml:space="preserve">  Tratamiento del SBC</t>
  </si>
  <si>
    <t>GASTO REAL — no se readiciona, no se aplica dilución adicional</t>
  </si>
  <si>
    <t xml:space="preserve">  Año base del forecast</t>
  </si>
  <si>
    <t>FY2026A (cerrado 31/05/2026)</t>
  </si>
  <si>
    <t>INGRESOS — CRECIMIENTO POR SEGMENTO (driver: conversión del RPO de 638.000 en ingresos)</t>
  </si>
  <si>
    <t xml:space="preserve">  Cloud — crecimiento (vector Base)</t>
  </si>
  <si>
    <t xml:space="preserve">  Software — crecimiento (vector Base)</t>
  </si>
  <si>
    <t xml:space="preserve">  Software — crecimiento ACTIVO</t>
  </si>
  <si>
    <t xml:space="preserve">  Hardware — crecimiento (vector Base)</t>
  </si>
  <si>
    <t xml:space="preserve">  Hardware — crecimiento ACTIVO</t>
  </si>
  <si>
    <t xml:space="preserve">  Servicios — crecimiento (vector Base)</t>
  </si>
  <si>
    <t xml:space="preserve">  Servicios — crecimiento ACTIVO</t>
  </si>
  <si>
    <t>MÁRGENES Y ESTRUCTURA DE COSTES</t>
  </si>
  <si>
    <t xml:space="preserve">  Gross Margin (vector Base)</t>
  </si>
  <si>
    <t xml:space="preserve">  Gross Margin ACTIVO</t>
  </si>
  <si>
    <t xml:space="preserve">  Ventas y marketing / Ingresos (Base)</t>
  </si>
  <si>
    <t xml:space="preserve">  Ventas y marketing / Ingresos ACTIVO</t>
  </si>
  <si>
    <t xml:space="preserve">  I+D / Ingresos (Base)</t>
  </si>
  <si>
    <t xml:space="preserve">  I+D / Ingresos ACTIVO</t>
  </si>
  <si>
    <t xml:space="preserve">  G&amp;A / Ingresos (Base)</t>
  </si>
  <si>
    <t xml:space="preserve">  G&amp;A / Ingresos ACTIVO</t>
  </si>
  <si>
    <t xml:space="preserve">  Amortización de intangibles adquiridos (calendario)</t>
  </si>
  <si>
    <t xml:space="preserve">  Reestructuración normalizada</t>
  </si>
  <si>
    <t>CAPEX Y DEPRECIACIÓN</t>
  </si>
  <si>
    <t xml:space="preserve">  Capex / Ingresos (vector Base)</t>
  </si>
  <si>
    <t xml:space="preserve">  Capex / Ingresos ACTIVO</t>
  </si>
  <si>
    <t xml:space="preserve">  Vida útil media del PP&amp;E</t>
  </si>
  <si>
    <t xml:space="preserve">  Vida útil implícita en FY2026 (check de calibración)</t>
  </si>
  <si>
    <t>CIRCULANTE OPERATIVO (drivers, no % de ingresos genérico)</t>
  </si>
  <si>
    <t xml:space="preserve">  DSO — días de cobro (Base)</t>
  </si>
  <si>
    <t xml:space="preserve">  DSO ACTIVO</t>
  </si>
  <si>
    <t xml:space="preserve">  Proveedores / (coste de ingresos + capex)</t>
  </si>
  <si>
    <t xml:space="preserve">  Otros activos corrientes / Ingresos</t>
  </si>
  <si>
    <t xml:space="preserve">  Remuneraciones pendientes / Ingresos</t>
  </si>
  <si>
    <t xml:space="preserve">  Otros pasivos corrientes operativos / Ingresos</t>
  </si>
  <si>
    <t>IMPUESTOS</t>
  </si>
  <si>
    <t xml:space="preserve">  Tipo impositivo de caja (vector Base)</t>
  </si>
  <si>
    <t xml:space="preserve">  Tipo impositivo de caja ACTIVO</t>
  </si>
  <si>
    <t xml:space="preserve">  Tipo marginal para el WACC</t>
  </si>
  <si>
    <t xml:space="preserve">  Tipo efectivo reportado FY2026 (referencia, NO usado)</t>
  </si>
  <si>
    <t>VALOR TERMINAL</t>
  </si>
  <si>
    <t xml:space="preserve">  Crecimiento terminal g (Base)</t>
  </si>
  <si>
    <t xml:space="preserve">  Crecimiento terminal g ACTIVO</t>
  </si>
  <si>
    <t xml:space="preserve">  Múltiplo de salida EV/EBITDA (método alternativo)</t>
  </si>
  <si>
    <t xml:space="preserve">  Tope de referencia: PIB nominal a largo plazo EEUU</t>
  </si>
  <si>
    <t>CAJA, ACCIONES Y PUENTE A EQUITY (a la fecha de valoración)</t>
  </si>
  <si>
    <t xml:space="preserve">  Caja mínima operativa / Ingresos</t>
  </si>
  <si>
    <t xml:space="preserve">  Deuda financiera total</t>
  </si>
  <si>
    <t xml:space="preserve">  Pasivo por leases financieros (debt-like)</t>
  </si>
  <si>
    <t xml:space="preserve">  Preferentes convertibles obligatorias</t>
  </si>
  <si>
    <t xml:space="preserve">  Pasivo por leases operativos (NO en el puente, ver C14)</t>
  </si>
  <si>
    <t>JUSTIFICACIÓN DE LAS HIPÓTESIS CRÍTICAS (toda hipótesis sin mecanismo económico explicado es una hipótesis indefendible)</t>
  </si>
  <si>
    <t>Mecanismo económico y riesgo</t>
  </si>
  <si>
    <t>Crecimiento Cloud 55% → 5%</t>
  </si>
  <si>
    <t>No es una extrapolación del CAGR histórico. Es la conversión del RPO: 638.000 de obligaciones de rendimiento pendientes a 31/05/2026 frente a unos ingresos cloud de 33.989. El backlog da visibilidad al tramo inicial; la desaceleración refleja que un backlog finito no sostiene tasas de tres dígitos y que la capacidad instalada se llena progresivamente. CHECK en '13 Checks': los ingresos cloud acumulados del forecast no pueden exceder el RPO más la contratación nueva razonable.</t>
  </si>
  <si>
    <t>Software plano y Hardware en declive</t>
  </si>
  <si>
    <t>Soporte de licencias es un negocio de renta madura con erosión por migración a cloud, compensada por subidas de precio de soporte. Hardware es residual y estructuralmente decreciente. Proyectar crecimiento aquí sería contradecir la propia tesis de migración a cloud.</t>
  </si>
  <si>
    <t>Gross Margin del 65,8% al 56%</t>
  </si>
  <si>
    <t>ES LA HIPÓTESIS MÁS IMPORTANTE DEL MODELO. La depreciación de los centros de datos va dentro del coste de ingresos. Con PP&amp;E pasando de 43.522 a 99.957 y capex de 55.663, el margen bruto DEBE caer: el IaaS es un negocio de capital intensivo, no de software. El margen histórico del 71% (FY2024) correspondía a un mix dominado por licencias. Mantener el margen histórico mientras se multiplica el capex sería una inconsistencia interna grave.</t>
  </si>
  <si>
    <t>Apalancamiento operativo en S&amp;M, I+D y G&amp;A</t>
  </si>
  <si>
    <t>Los gastos por debajo del margen bruto crecen menos que los ingresos porque la fuerza comercial y la plataforma de I+D ya están instaladas. Es la única palanca de margen defendible aquí: no se proyecta expansión de margen bruto, se proyecta dilución de gastos fijos.</t>
  </si>
  <si>
    <t>Amortización de intangibles en declive a ~90</t>
  </si>
  <si>
    <t>Los intangibles adquiridos (principalmente Cerner) tienen vida finita y se agotan. Ya cayó de 3.010 (FY2024) a 1.671 (FY2026). Mantenerla constante a perpetuidad sobreestimaría el gasto; eliminarla de golpe infla el EBIT del año 1.</t>
  </si>
  <si>
    <t>Capex del 60% al 9,5% de ingresos</t>
  </si>
  <si>
    <t>Segunda hipótesis más sensible. FY2026 gastó el 82,6% de sus ingresos en capex. El modelo asume que se trata de una ola de construcción concentrada contra contratos ya firmados, no de un nivel permanente. Si el capex NO normaliza, el FCFF nunca se vuelve positivo y la valoración colapsa: por eso el capex está en la matriz de sensibilidad. NO se ha asumido Capex = D&amp;A.</t>
  </si>
  <si>
    <t>Vida útil del PP&amp;E de 8 años</t>
  </si>
  <si>
    <t>Calibrada contra FY2026: la vida implícita en la depreciación reportada es de ~9,4 años sobre PP&amp;E neto (celda F44). Se usan 8 años por el mix creciente de servidores y GPU, de vida más corta que los edificios. Efecto neto sobre el valor: más depreciación reduce el EBIT pero aumenta el escudo fiscal.</t>
  </si>
  <si>
    <t>Tipo de caja del 14% al 19%</t>
  </si>
  <si>
    <t>NO se usa el tipo efectivo reportado del 12,6%. Ese tipo refleja créditos de I+D, FDII, mix jurisdiccional y beneficios por vesting de acciones que no escalan con el beneficio. Converge al 19%, por debajo del 21% estatutario federal por el mix internacional pero por encima del actual. Usar el 12,6% a perpetuidad sobreestimaría el valor de forma material.</t>
  </si>
  <si>
    <t>Crecimiento terminal del 3,0%</t>
  </si>
  <si>
    <t>Justificado como ~1% de crecimiento real de largo plazo más ~2% de inflación. Tope de referencia del 4% (PIB nominal EEUU) en C65. NO se ha elegido el 3% por costumbre: por encima del PIB nominal la empresa acabaría siendo la economía entera. CHECK obligatorio: g &lt; WACC.</t>
  </si>
  <si>
    <t>Leases operativos como operativos</t>
  </si>
  <si>
    <t>Bajo ASC 842 el coste del lease operativo es un gasto operativo único ya incluido en el EBIT. Por tanto el pasivo de 30.190 NO se suma a la deuda neta: hacerlo sería doble contabilización. El impacto de la convención contraria está cuantificado en '11 Cross Check'.</t>
  </si>
  <si>
    <t>SBC como gasto real sin dilución adicional</t>
  </si>
  <si>
    <t>El SBC (4.811 en FY2026, 7,1% de los ingresos) se mantiene dentro de los gastos operativos y NO se readiciona. En consecuencia no se proyecta dilución adicional por SBC futuro. Readicionar el SBC y además no diluir sería el error más común en valoración de software.</t>
  </si>
  <si>
    <t>Caja mínima operativa del 1,5% de ingresos</t>
  </si>
  <si>
    <t>No toda la caja de 31.289 es distribuible. Solo el exceso sobre la caja operativa mínima entra en el puente a Equity Value. Con compromisos de capex plurianuales, asumir el 100% de la caja como distribuible es agresivo.</t>
  </si>
  <si>
    <t xml:space="preserve">  Pasivo por leases financieros corriente</t>
  </si>
  <si>
    <t>MODELO OPERATIVO FY2027E–FY2036E — ORACLE CORPORATION</t>
  </si>
  <si>
    <t>USD millones. Toda hipótesis procede de '02 Assumptions'. Esta hoja NO contiene hipótesis propias. Verde = enlace; negro = fórmula.</t>
  </si>
  <si>
    <t>INGRESOS POR SEGMENTO</t>
  </si>
  <si>
    <t>INGRESOS TOTALES</t>
  </si>
  <si>
    <t xml:space="preserve">  Mix: Cloud / ingresos totales</t>
  </si>
  <si>
    <t>MARGEN BRUTO</t>
  </si>
  <si>
    <t xml:space="preserve">  Coste de los ingresos</t>
  </si>
  <si>
    <t>GASTOS OPERATIVOS (por debajo del margen bruto)</t>
  </si>
  <si>
    <t xml:space="preserve">  Amortización de intangibles adquiridos</t>
  </si>
  <si>
    <t xml:space="preserve">  Reestructuración (normalizada)</t>
  </si>
  <si>
    <t>Total gastos operativos</t>
  </si>
  <si>
    <t>EBIT reportado</t>
  </si>
  <si>
    <t>EBIT NORMALIZADO (excluye reestructuración)</t>
  </si>
  <si>
    <t xml:space="preserve">  Margen EBIT normalizado</t>
  </si>
  <si>
    <t>CAPEX Y DEPRECIACIÓN — ROLL-FORWARD DE PP&amp;E</t>
  </si>
  <si>
    <t xml:space="preserve">  PP&amp;E neto inicial</t>
  </si>
  <si>
    <t xml:space="preserve">  Depreciación = (PP&amp;E inicial + Capex/2) / vida útil</t>
  </si>
  <si>
    <t xml:space="preserve">  PP&amp;E neto final</t>
  </si>
  <si>
    <t>D&amp;A total (depreciación + amortización de intangibles)</t>
  </si>
  <si>
    <t>EBITDA (EBIT normalizado + D&amp;A)</t>
  </si>
  <si>
    <t>CIRCULANTE OPERATIVO (drivers: DSO, proveedores sobre coste+capex, ingresos diferidos)</t>
  </si>
  <si>
    <t xml:space="preserve">  Clientes (AR)</t>
  </si>
  <si>
    <t xml:space="preserve">  Otros activos corrientes</t>
  </si>
  <si>
    <t xml:space="preserve">  Remuneraciones pendientes</t>
  </si>
  <si>
    <t xml:space="preserve">  Otros pasivos corrientes operativos (excl. leases financieros)</t>
  </si>
  <si>
    <t>CAPITAL CIRCULANTE NETO (NWC)</t>
  </si>
  <si>
    <t xml:space="preserve">  Variación del NWC (ΔNWC) — positivo = consume caja</t>
  </si>
  <si>
    <t xml:space="preserve">  NWC / Ingresos</t>
  </si>
  <si>
    <t>IMPUESTOS SOBRE EL EBIT</t>
  </si>
  <si>
    <t xml:space="preserve">  Tipo impositivo de caja</t>
  </si>
  <si>
    <t xml:space="preserve">  Impuestos sobre el EBIT normalizado</t>
  </si>
  <si>
    <t>NOPAT (EBIT normalizado − impuestos)</t>
  </si>
  <si>
    <t>COMPROBACIONES DE COHERENCIA INTERNA</t>
  </si>
  <si>
    <t xml:space="preserve">  Ingresos Cloud acumulados del forecast</t>
  </si>
  <si>
    <t xml:space="preserve">  RPO reportado a 31/05/2026</t>
  </si>
  <si>
    <t xml:space="preserve">  Cloud acumulado / RPO — si supera el 100% el crecimiento exige contratación NUEVA</t>
  </si>
  <si>
    <t xml:space="preserve">  Capital invertido (PP&amp;E + NWC + fondo de comercio + ROU leases)</t>
  </si>
  <si>
    <t xml:space="preserve">  ROIC (NOPAT / capital invertido medio)</t>
  </si>
  <si>
    <t xml:space="preserve">  Reinversión neta (Capex + ΔNWC − D&amp;A)</t>
  </si>
  <si>
    <t xml:space="preserve">  Tasa de reinversión (reinversión / NOPAT)</t>
  </si>
  <si>
    <t xml:space="preserve">  Crecimiento implícito = tasa de reinversión × ROIC</t>
  </si>
  <si>
    <t xml:space="preserve">  Crecimiento de ingresos proyectado</t>
  </si>
  <si>
    <t xml:space="preserve">  FCFF (calculado en '06 DCF')</t>
  </si>
  <si>
    <t xml:space="preserve">  ROIC terminal (disciplina la reinversión terminal: reinv. = g / ROIC)</t>
  </si>
  <si>
    <t>COSTE MEDIO PONDERADO DEL CAPITAL (WACC) — ORACLE CORPORATION</t>
  </si>
  <si>
    <t>AMARILLO = input de mercado que DEBE actualizarse y fecharse en cada revisión. El WACC se calcula sobre estructura de capital OBJETIVO, no sobre el precio del día.</t>
  </si>
  <si>
    <t>COSTE DE LOS RECURSOS PROPIOS (Ke) — CAPM</t>
  </si>
  <si>
    <t xml:space="preserve">  Tipo libre de riesgo (bono EEUU 10 años)</t>
  </si>
  <si>
    <t xml:space="preserve">  Prima de riesgo de mercado (ERP)</t>
  </si>
  <si>
    <t xml:space="preserve">  Beta utilizada (reapalancada, ver bloque inferior)</t>
  </si>
  <si>
    <t xml:space="preserve">  Prima adicional por riesgo país / tamaño</t>
  </si>
  <si>
    <t>Ke = Rf + Beta × ERP + prima adicional</t>
  </si>
  <si>
    <t>DESAPALANCAMIENTO Y REAPALANCAMIENTO DE BETA</t>
  </si>
  <si>
    <t xml:space="preserve">  Beta apalancada observada (regresión a 5 años, mensual)</t>
  </si>
  <si>
    <t xml:space="preserve">  D/E de mercado correspondiente a la beta observada</t>
  </si>
  <si>
    <t xml:space="preserve">  Tipo impositivo marginal</t>
  </si>
  <si>
    <t xml:space="preserve">  Beta desapalancada = Beta apalancada / (1 + (1−T) × D/E)</t>
  </si>
  <si>
    <t xml:space="preserve">  D/E objetivo = peso deuda / peso equity</t>
  </si>
  <si>
    <t xml:space="preserve">  Beta reapalancada = Beta desapalancada × (1 + (1−T) × D/E objetivo)</t>
  </si>
  <si>
    <t xml:space="preserve">  BETA UTILIZADA EN EL Ke</t>
  </si>
  <si>
    <t>COSTE DE LA DEUDA (Kd)</t>
  </si>
  <si>
    <t xml:space="preserve">  Gasto por intereses FY2026 (reportado)</t>
  </si>
  <si>
    <t xml:space="preserve">  Deuda media FY2025–FY2026 (senior notes + leases financieros)</t>
  </si>
  <si>
    <t xml:space="preserve">  Kd implícito histórico = intereses / deuda media</t>
  </si>
  <si>
    <t xml:space="preserve">  Kd MARGINAL utilizado (coste de la deuda nueva)</t>
  </si>
  <si>
    <t xml:space="preserve">  Kd después de impuestos = Kd × (1 − T)</t>
  </si>
  <si>
    <t>ESTRUCTURA DE CAPITAL</t>
  </si>
  <si>
    <t xml:space="preserve">  Capitalización de mercado (precio × acciones diluidas)</t>
  </si>
  <si>
    <t xml:space="preserve">  Deuda total (senior notes + leases financieros)</t>
  </si>
  <si>
    <t xml:space="preserve">  PESO OBJETIVO DE LA DEUDA  D/(D+E)</t>
  </si>
  <si>
    <t xml:space="preserve">  Peso de los recursos propios  E/(D+E)</t>
  </si>
  <si>
    <t xml:space="preserve">  Peso de deuda implícito por mercado (cross-check; requiere precio)</t>
  </si>
  <si>
    <t>WACC</t>
  </si>
  <si>
    <t xml:space="preserve">  WACC base = E/(D+E)×Ke + D/(D+E)×Kd×(1−T)</t>
  </si>
  <si>
    <t xml:space="preserve">  Delta de escenario</t>
  </si>
  <si>
    <t>WACC ACTIVO</t>
  </si>
  <si>
    <t>CONTROLES OBLIGATORIOS</t>
  </si>
  <si>
    <t xml:space="preserve">  Crecimiento terminal g</t>
  </si>
  <si>
    <t xml:space="preserve">  CHECK: WACC &gt; g</t>
  </si>
  <si>
    <t xml:space="preserve">  Margen WACC − g</t>
  </si>
  <si>
    <t xml:space="preserve">  CHECK: Kd marginal ≥ Kd implícito histórico</t>
  </si>
  <si>
    <t xml:space="preserve">  CHECK: Ke &gt; Kd (coherencia de prelación de riesgo)</t>
  </si>
  <si>
    <t>DOCUMENTACIÓN DE LOS INPUTS DE MERCADO (obligatorio rellenar en cada revisión)</t>
  </si>
  <si>
    <t>Valor usado</t>
  </si>
  <si>
    <t>Fuente que DEBE documentar el analista</t>
  </si>
  <si>
    <t>Riesgo si es incorrecto</t>
  </si>
  <si>
    <t>Tipo libre de riesgo</t>
  </si>
  <si>
    <t>Rendimiento del bono del Tesoro EEUU a 10 años a la fecha de valoración. Fuente oficial: Treasury.gov / FRED. NO verificado por Claude.</t>
  </si>
  <si>
    <t>Afecta linealmente al Ke y por tanto al WACC. 100 pb de error mueven el valor de forma material por la duración del flujo.</t>
  </si>
  <si>
    <t>Prima de riesgo de mercado</t>
  </si>
  <si>
    <t>Prima implícita o histórica. Debe ser consistente con el tipo libre de riesgo usado (no mezclar ERP histórica con Rf actual sin criterio).</t>
  </si>
  <si>
    <t>Segundo input más sensible del WACC.</t>
  </si>
  <si>
    <t>Beta apalancada observada</t>
  </si>
  <si>
    <t>Regresión del rendimiento de ORCL contra el índice, 5 años mensual, o media de comparables. NO verificado por Claude.</t>
  </si>
  <si>
    <t>La beta de Oracle ha cambiado estructuralmente con el apalancamiento y el giro a IaaS: una beta histórica de hace 5 años ya no describe el riesgo actual del negocio.</t>
  </si>
  <si>
    <t>Kd marginal</t>
  </si>
  <si>
    <t>Rendimiento al vencimiento de la deuda cotizada de Oracle a largo plazo, o el diferencial de crédito sobre el Rf para su rating actual.</t>
  </si>
  <si>
    <t>Con 129.541 de deuda y 46.093 de emisión nueva en FY2026, el coste marginal de la deuda es un input de primer orden, no un residuo.</t>
  </si>
  <si>
    <t>Peso objetivo de la deuda</t>
  </si>
  <si>
    <t>Estructura objetivo declarada por la dirección o la media del sector. Se usa objetivo y no la del día para evitar que el WACC oscile con la cotización.</t>
  </si>
  <si>
    <t>Usar la estructura contable (deuda/patrimonio contable ≈ 3x) produciría un WACC absurdamente bajo. Usar la de mercado del día introduce circularidad precio → WACC → valor.</t>
  </si>
  <si>
    <t>Estructura objetivo vs actual</t>
  </si>
  <si>
    <t>Oracle ha pasado de 92.568 a 129.541 de deuda en un año para financiar capex. El 20% objetivo asume desapalancamiento a medida que el capex normaliza.</t>
  </si>
  <si>
    <t>Si el apalancamiento NO baja, el WACC real es superior y el valor menor. Está recogido en el escenario Bear (+100 pb).</t>
  </si>
  <si>
    <t>DCF — FREE CASH FLOW TO FIRM — ORACLE CORPORATION (ORCL)</t>
  </si>
  <si>
    <t>USD millones. FCFF descontado al WACC. Ningún resultado está introducido a mano: todo se calcula desde '02 Assumptions', '04 Operating Model' y '07 WACC'.</t>
  </si>
  <si>
    <t>CÁLCULO DEL FREE CASH FLOW TO FIRM (FCFF)</t>
  </si>
  <si>
    <t xml:space="preserve">  EBIT normalizado</t>
  </si>
  <si>
    <t xml:space="preserve">  (−) Impuestos sobre el EBIT normalizado</t>
  </si>
  <si>
    <t>NOPAT</t>
  </si>
  <si>
    <t xml:space="preserve">  (+) D&amp;A</t>
  </si>
  <si>
    <t xml:space="preserve">  (−) Capex</t>
  </si>
  <si>
    <t xml:space="preserve">  (−) Variación del capital circulante neto</t>
  </si>
  <si>
    <t xml:space="preserve">  (−) Coste en caja de reestructuración (readido al EBIT normalizado)</t>
  </si>
  <si>
    <t>FCFF</t>
  </si>
  <si>
    <t xml:space="preserve">  Margen FCFF sobre ingresos</t>
  </si>
  <si>
    <t xml:space="preserve">  Conversión FCFF / EBITDA</t>
  </si>
  <si>
    <t>DESCUENTO</t>
  </si>
  <si>
    <t xml:space="preserve">  Periodo de descuento t (convención de '02 Assumptions'!C12)</t>
  </si>
  <si>
    <t xml:space="preserve">  WACC</t>
  </si>
  <si>
    <t xml:space="preserve">  Factor de descuento = 1 / (1 + WACC)^t</t>
  </si>
  <si>
    <t>Valor presente del FCFF</t>
  </si>
  <si>
    <t xml:space="preserve">  ROIC terminal</t>
  </si>
  <si>
    <t xml:space="preserve">  Tasa de reinversión terminal = g / ROIC terminal</t>
  </si>
  <si>
    <t xml:space="preserve">  NOPAT terminal = NOPAT FY2036 × (1 + g)</t>
  </si>
  <si>
    <t xml:space="preserve">  FCFF terminal = NOPAT terminal × (1 − tasa de reinversión)</t>
  </si>
  <si>
    <t xml:space="preserve">  Valor terminal — Gordon = FCFF terminal / (WACC − g)</t>
  </si>
  <si>
    <t xml:space="preserve">  Valor terminal — múltiplo de salida = EBITDA FY2036 × múltiplo</t>
  </si>
  <si>
    <t xml:space="preserve">  Método seleccionado ('02 Assumptions'!C13)</t>
  </si>
  <si>
    <t>VALOR TERMINAL UTILIZADO</t>
  </si>
  <si>
    <t xml:space="preserve">  Factor de descuento del VT = 1/(1+WACC)^n (año completo, no mitad de año)</t>
  </si>
  <si>
    <t>Valor presente del valor terminal</t>
  </si>
  <si>
    <t xml:space="preserve">  Referencia — FCFF terminal ingenuo = FCFF FY2036 × (1+g)</t>
  </si>
  <si>
    <t xml:space="preserve">  Referencia — valor terminal ingenuo (sin disciplina de reinversión)</t>
  </si>
  <si>
    <t xml:space="preserve">  Diferencia: disciplinado − ingenuo</t>
  </si>
  <si>
    <t>PUENTE: ENTERPRISE VALUE → EQUITY VALUE → VALOR POR ACCIÓN</t>
  </si>
  <si>
    <t xml:space="preserve">  Valor presente del FCFF del periodo explícito</t>
  </si>
  <si>
    <t xml:space="preserve">  Valor presente del valor terminal</t>
  </si>
  <si>
    <t>ENTERPRISE VALUE</t>
  </si>
  <si>
    <t xml:space="preserve">  Valor terminal / Enterprise Value</t>
  </si>
  <si>
    <t xml:space="preserve">  (−) Deuda financiera (senior notes y otros préstamos)</t>
  </si>
  <si>
    <t xml:space="preserve">  (−) Pasivo por leases financieros</t>
  </si>
  <si>
    <t xml:space="preserve">  (+) Caja y equivalentes</t>
  </si>
  <si>
    <t xml:space="preserve">  (−) Caja mínima operativa (no distribuible)</t>
  </si>
  <si>
    <t xml:space="preserve">  (+) Valores negociables</t>
  </si>
  <si>
    <t xml:space="preserve">  (−) Intereses minoritarios</t>
  </si>
  <si>
    <t xml:space="preserve">  (−) Preferentes convertibles obligatorias</t>
  </si>
  <si>
    <t>EQUITY VALUE</t>
  </si>
  <si>
    <t xml:space="preserve">  Acciones diluidas</t>
  </si>
  <si>
    <t>VALOR INTRÍNSECO POR ACCIÓN</t>
  </si>
  <si>
    <t xml:space="preserve">  Precio de mercado actual (input en '01 Summary'!C10)</t>
  </si>
  <si>
    <t xml:space="preserve">  Upside / (Downside)</t>
  </si>
  <si>
    <t xml:space="preserve">  Margen de seguridad implícito = 1 − precio / valor</t>
  </si>
  <si>
    <t>CONTROLES DE CALIDAD DEL VALOR TERMINAL Y MÚLTIPLOS IMPLÍCITOS</t>
  </si>
  <si>
    <t xml:space="preserve">  EBITDA FY2036E</t>
  </si>
  <si>
    <t xml:space="preserve">  Múltiplo de salida IMPLÍCITO (VT / EBITDA FY2036)</t>
  </si>
  <si>
    <t xml:space="preserve">  Margen EBIT normalizado terminal</t>
  </si>
  <si>
    <t xml:space="preserve">  Capex terminal / ingresos</t>
  </si>
  <si>
    <t xml:space="preserve">  D&amp;A terminal / ingresos</t>
  </si>
  <si>
    <t xml:space="preserve">  Capex / D&amp;A terminal</t>
  </si>
  <si>
    <t xml:space="preserve">  CHECK: g &lt; WACC</t>
  </si>
  <si>
    <t xml:space="preserve">  CHECK: g ≤ PIB nominal de referencia</t>
  </si>
  <si>
    <t xml:space="preserve">  CHECK: múltiplo de salida implícito en rango razonable (8x–25x)</t>
  </si>
  <si>
    <t xml:space="preserve">  CHECK: peso del valor terminal sobre el EV</t>
  </si>
  <si>
    <t xml:space="preserve">  EV / EBITDA FY2026A implícito</t>
  </si>
  <si>
    <t xml:space="preserve">  EV / Ingresos FY2026A implícito</t>
  </si>
  <si>
    <t xml:space="preserve">  FCFF acumulado del periodo explícito</t>
  </si>
  <si>
    <t xml:space="preserve">  Años con FCFF negativo en el periodo explícito</t>
  </si>
  <si>
    <t xml:space="preserve">  CHECK: el FCFF llega a ser positivo dentro del horizonte</t>
  </si>
  <si>
    <t>ORACLE CORPORATION (ORCL) — RESUMEN DE VALORACIÓN DCF</t>
  </si>
  <si>
    <t>Valoración condicional: el resultado depende íntegramente de las hipótesis explícitas de '02 Assumptions'. No es una predicción.</t>
  </si>
  <si>
    <t>IDENTIFICACIÓN</t>
  </si>
  <si>
    <t xml:space="preserve">  Compañía</t>
  </si>
  <si>
    <t xml:space="preserve">  Ticker / mercado</t>
  </si>
  <si>
    <t xml:space="preserve">  Último ejercicio auditado</t>
  </si>
  <si>
    <t xml:space="preserve">  PRECIO DE MERCADO ACTUAL — INTRODUCIR AQUÍ</t>
  </si>
  <si>
    <t>RESULTADO DE LA VALORACIÓN</t>
  </si>
  <si>
    <t xml:space="preserve">  Escenario activo</t>
  </si>
  <si>
    <t xml:space="preserve">  Enterprise Value</t>
  </si>
  <si>
    <t xml:space="preserve">  (−) Deuda neta y otras reclamaciones</t>
  </si>
  <si>
    <t xml:space="preserve">  Equity Value</t>
  </si>
  <si>
    <t xml:space="preserve">  VALOR INTRÍNSECO POR ACCIÓN</t>
  </si>
  <si>
    <t xml:space="preserve">  Upside / (Downside) sobre el precio actual</t>
  </si>
  <si>
    <t xml:space="preserve">  Margen de seguridad implícito</t>
  </si>
  <si>
    <t>RANGO DE VALORACIÓN POR ESCENARIO</t>
  </si>
  <si>
    <t xml:space="preserve">  Nota</t>
  </si>
  <si>
    <t>PARÁMETROS CLAVE</t>
  </si>
  <si>
    <t xml:space="preserve">  Múltiplo de salida implícito (VT / EBITDA FY2036)</t>
  </si>
  <si>
    <t>SITUACIÓN DE PARTIDA (FY2026A REPORTADO)</t>
  </si>
  <si>
    <t xml:space="preserve">  Ingresos</t>
  </si>
  <si>
    <t xml:space="preserve">  Flujo de caja operativo</t>
  </si>
  <si>
    <t xml:space="preserve">  Deuda neta</t>
  </si>
  <si>
    <t xml:space="preserve">  RPO (backlog contratado)</t>
  </si>
  <si>
    <t>CONTROLES CRÍTICOS</t>
  </si>
  <si>
    <t xml:space="preserve">  Cuadre del balance histórico</t>
  </si>
  <si>
    <t xml:space="preserve">  WACC &gt; g</t>
  </si>
  <si>
    <t xml:space="preserve">  El FCFF llega a ser positivo</t>
  </si>
  <si>
    <t xml:space="preserve">  Peso del valor terminal</t>
  </si>
  <si>
    <t xml:space="preserve">  Múltiplo de salida implícito razonable</t>
  </si>
  <si>
    <t xml:space="preserve">  Auditoría completa</t>
  </si>
  <si>
    <t>CÓMO USAR ESTE LIBRO</t>
  </si>
  <si>
    <t>Introducir el precio de mercado actual en C10. Es el ÚNICO dato que el libro no puede obtener por sí mismo. Hasta entonces el upside, el margen de seguridad y el Reverse DCF quedan en blanco por diseño.</t>
  </si>
  <si>
    <t>Actualizar y documentar los inputs de mercado del WACC en '07 WACC': tipo libre de riesgo, prima de riesgo, beta y coste marginal de la deuda. Los valores actuales son inputs del analista, NO datos verificados.</t>
  </si>
  <si>
    <t>Revisar las hipótesis en '02 Assumptions'. Las celdas amarillas son las que mueven el valor. Ninguna otra hoja contiene hipótesis.</t>
  </si>
  <si>
    <t>Cambiar el escenario en '09 Scenarios'!C4 (1=Bear, 2=Base, 3=Bull) y anotar los tres valores para construir el rango.</t>
  </si>
  <si>
    <t>Leer '08 Sensitivity' para ver qué variables explican el valor, y '10 Reverse DCF' para ver qué descuenta el precio.</t>
  </si>
  <si>
    <t>Ejecutar la auditoría de '13 Checks' ANTES de usar cualquier resultado. Si algún control falla, el número no es utilizable.</t>
  </si>
  <si>
    <t>Leer '11 Cross Check': un DCF aislado no es una conclusión. Y leer 'M4 Manual Errores' antes de defender el modelo ante otro analista.</t>
  </si>
  <si>
    <t>FINANCIACIÓN Y PARTIDAS NO OPERATIVAS — SOLO PARA EL MODELO DE TRES ESTADOS (no afectan al FCFF ni al DCF)</t>
  </si>
  <si>
    <t xml:space="preserve">  Crecimiento anual del dividendo ordinario</t>
  </si>
  <si>
    <t xml:space="preserve">  % del excedente de caja destinado a repagar deuda</t>
  </si>
  <si>
    <t xml:space="preserve">  Tipo de interés medio sobre la deuda INICIAL</t>
  </si>
  <si>
    <t xml:space="preserve">  Tipo contractual del dividendo de preferentes (Serie D)</t>
  </si>
  <si>
    <t xml:space="preserve">  Recompra neta de acciones</t>
  </si>
  <si>
    <t xml:space="preserve">  Intangibles adquiridos netos a 31/05/2026 (= suma del calendario)</t>
  </si>
  <si>
    <t xml:space="preserve">  Otros activos no corrientes netos de intangibles a 31/05/2026</t>
  </si>
  <si>
    <t xml:space="preserve">  NOTA: el gasto por intereses se calcula sobre la deuda INICIAL del periodo, no sobre la media, para eliminar la circularidad deuda→intereses→beneficio→caja→deuda. Es una simplificación deliberada y conservadora; la alternativa exige cálculo iterativo.</t>
  </si>
  <si>
    <t>MODELO DE TRES ESTADOS INTEGRADO FY2027E–FY2036E — ORACLE CORPORATION</t>
  </si>
  <si>
    <t>Sirve para verificar la CONSISTENCIA CONTABLE del forecast (cuadre de balance y de caja). NO alimenta el DCF: el DCF es un FCFF construido sobre '04 Operating Model'.</t>
  </si>
  <si>
    <t>Margen bruto</t>
  </si>
  <si>
    <t xml:space="preserve">  Gastos operativos</t>
  </si>
  <si>
    <t xml:space="preserve">  (−) Gasto por intereses</t>
  </si>
  <si>
    <t xml:space="preserve">  (+) Resultado no operativo, neto (no proyectado)</t>
  </si>
  <si>
    <t xml:space="preserve">  (−) Impuestos</t>
  </si>
  <si>
    <t>BENEFICIO NETO</t>
  </si>
  <si>
    <t xml:space="preserve">  (−) Dividendos de preferentes</t>
  </si>
  <si>
    <t>Beneficio atribuible a ordinarias</t>
  </si>
  <si>
    <t>ESQUEMA DE DEUDA (interés sobre deuda inicial: sin circularidad)</t>
  </si>
  <si>
    <t xml:space="preserve">  Deuda inicial</t>
  </si>
  <si>
    <t xml:space="preserve">  (+) Nueva deuda emitida</t>
  </si>
  <si>
    <t xml:space="preserve">  (−) Repago de deuda</t>
  </si>
  <si>
    <t>Deuda final</t>
  </si>
  <si>
    <t xml:space="preserve">  Tipo de interés medio</t>
  </si>
  <si>
    <t xml:space="preserve">  Gasto por intereses = deuda inicial × tipo</t>
  </si>
  <si>
    <t>POLÍTICA DE FINANCIACIÓN (determina caja y deuda)</t>
  </si>
  <si>
    <t xml:space="preserve">  Caja inicial</t>
  </si>
  <si>
    <t xml:space="preserve">  Caja preliminar = inicial + CFO + CFI − dividendos − recompras</t>
  </si>
  <si>
    <t xml:space="preserve">  Caja mínima requerida</t>
  </si>
  <si>
    <t xml:space="preserve">  Nueva deuda necesaria = MAX(0; mínima − preliminar)</t>
  </si>
  <si>
    <t xml:space="preserve">  Excedente sobre la caja mínima</t>
  </si>
  <si>
    <t xml:space="preserve">  Repago efectivo = MIN(deuda inicial; excedente × %)</t>
  </si>
  <si>
    <t>Caja final</t>
  </si>
  <si>
    <t>BALANCE</t>
  </si>
  <si>
    <t xml:space="preserve">  PP&amp;E neto</t>
  </si>
  <si>
    <t xml:space="preserve">  ROU — leases operativos</t>
  </si>
  <si>
    <t xml:space="preserve">  Intangibles adquiridos, neto</t>
  </si>
  <si>
    <t xml:space="preserve">  Otros activos no corrientes (netos de intangibles)</t>
  </si>
  <si>
    <t xml:space="preserve">  Otros pasivos corrientes operativos</t>
  </si>
  <si>
    <t xml:space="preserve">  Leases financieros</t>
  </si>
  <si>
    <t>TOTAL PASIVO</t>
  </si>
  <si>
    <t xml:space="preserve">  Patrimonio neto total (incluye preferentes y minoritarios)</t>
  </si>
  <si>
    <t xml:space="preserve">  CHECK: Activo − Pasivo y Patrimonio (debe ser 0)</t>
  </si>
  <si>
    <t>PATRIMONIO — ROLL-FORWARD</t>
  </si>
  <si>
    <t xml:space="preserve">  Patrimonio inicial</t>
  </si>
  <si>
    <t xml:space="preserve">  (+) Beneficio neto</t>
  </si>
  <si>
    <t xml:space="preserve">  (+) Retribución en acciones (SBC)</t>
  </si>
  <si>
    <t xml:space="preserve">  (−) Dividendos ordinarios</t>
  </si>
  <si>
    <t xml:space="preserve">  (−) Recompras netas de acciones</t>
  </si>
  <si>
    <t>Patrimonio final</t>
  </si>
  <si>
    <t xml:space="preserve">  (+) SBC</t>
  </si>
  <si>
    <t>FLUJO DE CAJA OPERATIVO (CFO)</t>
  </si>
  <si>
    <t>FLUJO DE CAJA DE INVERSIÓN (CFI)</t>
  </si>
  <si>
    <t xml:space="preserve">  (+) Nueva deuda</t>
  </si>
  <si>
    <t xml:space="preserve">  (−) Recompras netas</t>
  </si>
  <si>
    <t>FLUJO DE CAJA DE FINANCIACIÓN (CFF)</t>
  </si>
  <si>
    <t>Variación neta de caja</t>
  </si>
  <si>
    <t>Caja final según el estado de flujos</t>
  </si>
  <si>
    <t xml:space="preserve">  CHECK: caja del flujo − caja del balance (debe ser 0)</t>
  </si>
  <si>
    <t>DIVIDENDOS</t>
  </si>
  <si>
    <t xml:space="preserve">  Dividendo ordinario pagado</t>
  </si>
  <si>
    <t xml:space="preserve">  Dividendo de preferentes</t>
  </si>
  <si>
    <t xml:space="preserve">  Payout sobre beneficio neto</t>
  </si>
  <si>
    <t xml:space="preserve">  Pasivo por leases operativos — NO corriente (el corriente va en otros pasivos corrientes)</t>
  </si>
  <si>
    <t xml:space="preserve">  Otros pasivos no corrientes (netos del lease financiero no corriente)</t>
  </si>
  <si>
    <t xml:space="preserve">  Shock uniforme al crecimiento de ingresos (todos los segmentos, todos los años)</t>
  </si>
  <si>
    <t xml:space="preserve">  NOTA: este shock existe porque la sensibilidad crecimiento × margen no admite forma cerrada (la depreciación depende de la trayectoria de PP&amp;E). Para esa sensibilidad hay que recorrer C104 manualmente; ver instrucciones en '08 Sensitivity'.</t>
  </si>
  <si>
    <t>ANÁLISIS DE SENSIBILIDAD — VALOR INTRÍNSECO POR ACCIÓN ($)</t>
  </si>
  <si>
    <t>Rejillas 5×5 con el caso base en el CENTRO (celda amarilla). Recalculadas en forma cerrada sobre el flujo de '06 DCF': el FCFF no depende del WACC ni de g, por lo que la revaloración es exacta salvo donde se indique.</t>
  </si>
  <si>
    <t>REJILLA A — WACC × CRECIMIENTO TERMINAL g   (exacta)</t>
  </si>
  <si>
    <t>REJILLA B — WACC × MÚLTIPLO DE SALIDA EV/EBITDA   (exacta; método alternativo de valor terminal)</t>
  </si>
  <si>
    <t>REJILLA C — WACC × DESPLAZAMIENTO DEL MARGEN EBIT (pp)   (exacta)</t>
  </si>
  <si>
    <t>REJILLA D — WACC × DESPLAZAMIENTO DE CAPEX SOBRE INGRESOS (pp)   (primer orden: NO recoge el escudo fiscal de la depreciación asociada)</t>
  </si>
  <si>
    <t>REJILLA E — WACC × DESPLAZAMIENTO DEL TIPO IMPOSITIVO DE CAJA (pp)   (exacta)</t>
  </si>
  <si>
    <t>WACC ↓  /  g →</t>
  </si>
  <si>
    <t>WACC ↓  /  múltiplo →</t>
  </si>
  <si>
    <t>JERARQUÍA DE DRIVERS DEL VALOR (rango de valor por acción a WACC base, entre los extremos de cada eje)</t>
  </si>
  <si>
    <t>Valor mínimo</t>
  </si>
  <si>
    <t>Valor máximo</t>
  </si>
  <si>
    <t>Rango ($/acc)</t>
  </si>
  <si>
    <t>Clasificación</t>
  </si>
  <si>
    <t>Crecimiento terminal g (±100 pb)</t>
  </si>
  <si>
    <t>WACC (±100 pb)</t>
  </si>
  <si>
    <t>Margen EBIT (±300 pb)</t>
  </si>
  <si>
    <t>Tipo impositivo de caja (±300 pb)</t>
  </si>
  <si>
    <t>Capex sobre ingresos (±200 pb)</t>
  </si>
  <si>
    <t>Múltiplo de salida (±4x)</t>
  </si>
  <si>
    <t>SENSIBILIDAD CRECIMIENTO DE INGRESOS × MARGEN: NO admite forma cerrada</t>
  </si>
  <si>
    <t>La depreciación depende de la trayectoria acumulada de PP&amp;E, por lo que un shock de crecimiento no se puede revalorar analíticamente sin re-ejecutar el modelo. Excel resolvería esto con una Tabla de Datos (Datos → Análisis de hipótesis), que no se puede crear por programación. Procedimiento manual:</t>
  </si>
  <si>
    <t>Paso 1</t>
  </si>
  <si>
    <t>Ir a '02 Assumptions'!C104 (shock uniforme al crecimiento de ingresos, en pp).</t>
  </si>
  <si>
    <t>Paso 2</t>
  </si>
  <si>
    <t>Introducir sucesivamente −3,0pp / −1,5pp / 0 / +1,5pp / +3,0pp y anotar '01 Summary'!C18 en la tabla inferior.</t>
  </si>
  <si>
    <t>Paso 3</t>
  </si>
  <si>
    <t>Repetir para cada desplazamiento de margen usando la REJILLA C, que sí es exacta y ya recoge el efecto margen.</t>
  </si>
  <si>
    <t>Paso 4</t>
  </si>
  <si>
    <t>Devolver C104 a 0 al terminar. Si se deja distinto de 0 TODO el libro queda desplazado.</t>
  </si>
  <si>
    <t>Aviso</t>
  </si>
  <si>
    <t>Un shock de crecimiento arrastra capex y circulante porque están definidos como porcentaje de ingresos: el efecto neto sobre el valor es MUCHO menor que el efecto sobre los ingresos. Esa es precisamente la razón por la que el crecimiento no es automáticamente el driver principal.</t>
  </si>
  <si>
    <t>Tabla manual</t>
  </si>
  <si>
    <t>Δ crecimiento (pp)  →  valor por acción:   −3,0pp: ____   −1,5pp: ____   0: (ver Summary)   +1,5pp: ____   +3,0pp: ____</t>
  </si>
  <si>
    <t>REVERSE DCF — ¿QUÉ EXPECTATIVAS DESCUENTA EL PRECIO ACTUAL?</t>
  </si>
  <si>
    <t>La pregunta no es '¿cuánto vale?' sino '¿qué tiene que ocurrir para justificar el precio?'. Todas las respuestas son soluciones exactas en forma cerrada, no búsquedas numéricas.</t>
  </si>
  <si>
    <t>PUENTE INVERSO: PRECIO → EQUITY VALUE → ENTERPRISE VALUE</t>
  </si>
  <si>
    <t xml:space="preserve">  Precio de mercado actual</t>
  </si>
  <si>
    <t xml:space="preserve">  Equity Value implícito por el mercado</t>
  </si>
  <si>
    <t xml:space="preserve">  (+) Deuda financiera</t>
  </si>
  <si>
    <t xml:space="preserve">  (+) Leases financieros</t>
  </si>
  <si>
    <t xml:space="preserve">  (−) Caja y equivalentes</t>
  </si>
  <si>
    <t xml:space="preserve">  (+) Caja mínima operativa</t>
  </si>
  <si>
    <t xml:space="preserve">  (−) Valores negociables</t>
  </si>
  <si>
    <t xml:space="preserve">  (+) Intereses minoritarios</t>
  </si>
  <si>
    <t xml:space="preserve">  (+) Preferentes convertibles obligatorias</t>
  </si>
  <si>
    <t>ENTERPRISE VALUE IMPLÍCITO POR EL MERCADO</t>
  </si>
  <si>
    <t xml:space="preserve">  Enterprise Value del modelo</t>
  </si>
  <si>
    <t xml:space="preserve">  Diferencia (mercado − modelo)</t>
  </si>
  <si>
    <t xml:space="preserve">  Valor por acción del modelo</t>
  </si>
  <si>
    <t xml:space="preserve">  Diferencia por acción (precio − modelo)</t>
  </si>
  <si>
    <t>RESPUESTA 1 — MARGEN EBIT REQUERIDO (solución lineal exacta)</t>
  </si>
  <si>
    <t xml:space="preserve">  Sensibilidad K: valor por acción por cada +1pp de margen EBIT</t>
  </si>
  <si>
    <t xml:space="preserve">  Margen EBIT terminal del modelo</t>
  </si>
  <si>
    <t xml:space="preserve">  Margen EBIT terminal IMPLÍCITO por el precio</t>
  </si>
  <si>
    <t xml:space="preserve">  Máximo margen EBIT normalizado histórico (FY2024–FY2026)</t>
  </si>
  <si>
    <t xml:space="preserve">  Lectura</t>
  </si>
  <si>
    <t>RESPUESTA 2 — CAPEX REQUERIDO (solución lineal exacta)</t>
  </si>
  <si>
    <t xml:space="preserve">  Sensibilidad: valor por acción por cada +1pp de capex/ingresos</t>
  </si>
  <si>
    <t xml:space="preserve">  Capex / ingresos terminal implícito por el precio</t>
  </si>
  <si>
    <t>RESPUESTA 3 — CRECIMIENTO TERMINAL REQUERIDO (solución cuadrática exacta)</t>
  </si>
  <si>
    <t xml:space="preserve">  Valor terminal REQUERIDO por el mercado</t>
  </si>
  <si>
    <t xml:space="preserve">  CRECIMIENTO TERMINAL g IMPLÍCITO POR EL PRECIO</t>
  </si>
  <si>
    <t xml:space="preserve">  g del modelo</t>
  </si>
  <si>
    <t xml:space="preserve">  Tope de referencia: PIB nominal</t>
  </si>
  <si>
    <t>RESPUESTA 4 — VALOR TERMINAL Y MÚLTIPLO IMPLÍCITOS</t>
  </si>
  <si>
    <t xml:space="preserve">  Múltiplo de salida implícito por el mercado (VT requerido / EBITDA FY2036)</t>
  </si>
  <si>
    <t xml:space="preserve">  Múltiplo de salida implícito por el modelo</t>
  </si>
  <si>
    <t xml:space="preserve">  Peso del valor terminal requerido sobre el EV de mercado</t>
  </si>
  <si>
    <t>RESPUESTA 5 — FLUJO EXPLÍCITO</t>
  </si>
  <si>
    <t xml:space="preserve">  Valor presente del FCFF explícito del modelo</t>
  </si>
  <si>
    <t xml:space="preserve">  FCFF acumulado explícito del modelo (sin descontar)</t>
  </si>
  <si>
    <t xml:space="preserve">  Ingresos FY2036 del modelo</t>
  </si>
  <si>
    <t xml:space="preserve">  Ingresos FY2036 implícitos si el margen implícito se cumpliera a margen del modelo</t>
  </si>
  <si>
    <t>CÓMO LEER ESTA HOJA</t>
  </si>
  <si>
    <t>Principio</t>
  </si>
  <si>
    <t>Cada respuesta aísla UNA variable y deja el resto del modelo intacto. Son respuestas condicionales del tipo: 'si todo lo demás se cumple, esta variable tendría que valer X'. No son conjuntamente alcanzables a la vez.</t>
  </si>
  <si>
    <t>Uso correcto</t>
  </si>
  <si>
    <t>Comparar cada exigencia implícita con la evidencia: ¿ha logrado la compañía ese margen alguna vez? ¿es ese capex compatible con el crecimiento exigido? ¿es ese g compatible con la economía?</t>
  </si>
  <si>
    <t>Uso incorrecto</t>
  </si>
  <si>
    <t>Tomar el crecimiento implícito como pronóstico. El Reverse DCF no dice qué pasará: dice qué habría que creer.</t>
  </si>
  <si>
    <t>Nota sobre el coste de capital implícito</t>
  </si>
  <si>
    <t>Resolver el WACC que iguala valor y precio exige iteración (Buscar objetivo). Aproximación directa: localizar el precio dentro de la columna de g base de la REJILLA A de '08 Sensitivity' e interpolar entre las filas de WACC.</t>
  </si>
  <si>
    <t>Limitación declarada</t>
  </si>
  <si>
    <t>El desplazamiento de capex es de primer orden: no recoge el efecto de segundo orden sobre la depreciación y el escudo fiscal. La dirección del resultado es correcta; la magnitud es una aproximación.</t>
  </si>
  <si>
    <t>CROSS-CHECK DE VALORACIÓN — UN DCF AISLADO NO ES UNA CONCLUSIÓN</t>
  </si>
  <si>
    <t>El DCF es valoración intrínseca; los múltiplos son valoración relativa. No miden lo mismo. Coincidir no valida el DCF y discrepar no lo invalida: obliga a explicar la diferencia.</t>
  </si>
  <si>
    <t>MÚLTIPLOS IMPLÍCITOS POR EL DCF</t>
  </si>
  <si>
    <t xml:space="preserve">  Enterprise Value del DCF</t>
  </si>
  <si>
    <t xml:space="preserve">  Equity Value del DCF</t>
  </si>
  <si>
    <t xml:space="preserve">  EV / Ingresos FY2026A</t>
  </si>
  <si>
    <t xml:space="preserve">  EV / EBITDA FY2026A</t>
  </si>
  <si>
    <t xml:space="preserve">  EV / EBIT normalizado FY2026A</t>
  </si>
  <si>
    <t xml:space="preserve">  EV / Ingresos FY2029E</t>
  </si>
  <si>
    <t xml:space="preserve">  EV / EBITDA FY2029E</t>
  </si>
  <si>
    <t xml:space="preserve">  EV / FCFF FY2031E (primer año plenamente normalizado)</t>
  </si>
  <si>
    <t xml:space="preserve">  P / E sobre BPA FY2026A</t>
  </si>
  <si>
    <t xml:space="preserve">  Rentabilidad del FCFF sobre EV (FY2031E)</t>
  </si>
  <si>
    <t>EFECTO DE LA CONVENCIÓN DE ARRENDAMIENTOS (cuantificado)</t>
  </si>
  <si>
    <t xml:space="preserve">  Tratamiento aplicado en el modelo</t>
  </si>
  <si>
    <t xml:space="preserve">  Pasivo por leases operativos (no incluido en la deuda neta)</t>
  </si>
  <si>
    <t xml:space="preserve">  Impacto MECÁNICO por acción si se restara de golpe</t>
  </si>
  <si>
    <t xml:space="preserve">  Valor por acción con el lease restado SIN reconstruir el EBIT (INCORRECTO)</t>
  </si>
  <si>
    <t xml:space="preserve">  ADVERTENCIA: la cifra de la fila 21 es deliberadamente INCORRECTA y está aquí para mostrar el error. Restar el pasivo del lease sin readir el gasto del lease al EBIT y sin añadir la amortización del ROU al D&amp;A es doble contabilización. Una conversión correcta subiría el EBITDA y el Enterprise Value y compensaría en gran parte el ajuste de deuda neta. Nunca se mezcla un tratamiento de leases ajustado con un tratamiento de flujo o de deuda incompatible.</t>
  </si>
  <si>
    <t>¿ES EL FCFF DCF LA METODOLOGÍA ADECUADA PARA ORACLE? — ÁRBOL DE DECISIÓN APLICADO</t>
  </si>
  <si>
    <t>Pregunta</t>
  </si>
  <si>
    <t>Respuesta para Oracle (FY2026)</t>
  </si>
  <si>
    <t>Implicación metodológica</t>
  </si>
  <si>
    <t>Veredicto</t>
  </si>
  <si>
    <t>¿Genera flujo de caja operativo positivo?</t>
  </si>
  <si>
    <t>Sí: CFO de 31.977 millones, en crecimiento.</t>
  </si>
  <si>
    <t>El FCFF es calculable sin recurrir a métricas sustitutas.</t>
  </si>
  <si>
    <t>Favorable al DCF</t>
  </si>
  <si>
    <t>¿Son los flujos razonablemente previsibles?</t>
  </si>
  <si>
    <t>Parcialmente. El backlog (RPO) de 638.000 da visibilidad contractual excepcional a los ingresos, pero el capex y el momento de conversión son muy inciertos.</t>
  </si>
  <si>
    <t>Visibilidad alta en ingresos, baja en flujo libre. Justifica un horizonte explícito largo (10 años) y escenarios amplios.</t>
  </si>
  <si>
    <t>Mixto</t>
  </si>
  <si>
    <t>¿Tiene deuda significativa?</t>
  </si>
  <si>
    <t>Sí: 129.541 de deuda financiera más 7.701 de leases financieros, frente a 43.056 de patrimonio.</t>
  </si>
  <si>
    <t>¿Es una institución financiera?</t>
  </si>
  <si>
    <t>No.</t>
  </si>
  <si>
    <t>No procede Excess Returns, DDM ni P/B como método principal.</t>
  </si>
  <si>
    <t>¿Es un negocio intensivo en activos físicos?</t>
  </si>
  <si>
    <t>Cambia los drivers, no el método</t>
  </si>
  <si>
    <t>Requiere SOTP como contraste</t>
  </si>
  <si>
    <t>¿Hay algo que haga problemático el FCFF tradicional?</t>
  </si>
  <si>
    <t>Válido con advertencias graves</t>
  </si>
  <si>
    <t>VEREDICTO METODOLÓGICO</t>
  </si>
  <si>
    <t>MÉTODOS DESCARTADOS Y POR QUÉ</t>
  </si>
  <si>
    <t>Refuerza usar FCFF y no FCFE, y obliga a un puente EV a Equity riguroso.</t>
  </si>
  <si>
    <t>Favorable al FCFF</t>
  </si>
  <si>
    <t>AHORA SÍ. PP&amp;E neto de 99.957 desde 43.522, y capex del 82,6% de los ingresos. Oracle ha dejado de ser un negocio de software puro.</t>
  </si>
  <si>
    <t>Invalida los atajos de software: no se puede asumir Capex igual a D&amp;A, ni márgenes brutos de licencia. El margen bruto DEBE caer.</t>
  </si>
  <si>
    <t>¿Tiene segmentos con economías distintas?</t>
  </si>
  <si>
    <t>Sí: Cloud (IaaS intensivo en capital), Software (renta madura), Hardware (residual), Servicios.</t>
  </si>
  <si>
    <t>Un único WACC y un único múltiplo para todo el grupo son cuestionables. Ver la hoja 12 SOTP.</t>
  </si>
  <si>
    <t>Sí: el FCFF es hoy NEGATIVO (−23.686 en FY2026) y el CFO incluye 4.592 de prefinanciación de clientes que no es operativa recurrente.</t>
  </si>
  <si>
    <t>El FCFF sigue siendo correcto, pero el valor terminal pesa el 65% del EV: la valoración es estructuralmente frágil, no precisa.</t>
  </si>
  <si>
    <t>El FCFF DCF es la metodología principal correcta para Oracle: genera caja operativa, no es una entidad financiera y está muy apalancada. Pero NO es suficiente por sí sola. Con el FCFF actualmente negativo y el valor terminal explicando el 65% del Enterprise Value, el resultado es una función de las hipótesis terminales más que de los flujos observables. Debe presentarse como rango y acompañarse de: (a) contraste por múltiplo de salida, (b) SOTP por la heterogeneidad de los segmentos, (c) Reverse DCF para aislar qué descuenta el precio, y (d) un escenario Bear explícito en el que el capex ya comprometido no se traduzca en ingresos.</t>
  </si>
  <si>
    <t>FCFE</t>
  </si>
  <si>
    <t>Descartado como método principal: con una estructura de capital en transformación violenta (deuda +36.973 en un año) el FCFE mezcla decisiones de financiación con valor operativo y es mucho más volátil. El FCFF aísla el negocio del balance.</t>
  </si>
  <si>
    <t>Dividend Discount Model</t>
  </si>
  <si>
    <t>Descartado: el dividendo (5.787) no guarda relación con la capacidad de generación de caja y la política está subordinada al plan de capex.</t>
  </si>
  <si>
    <t>Excess Returns / P/B</t>
  </si>
  <si>
    <t>Descartado: metodología de entidades financieras, donde el capital regulatorio es la restricción operativa. No aplica.</t>
  </si>
  <si>
    <t>NAV / valoración por activos</t>
  </si>
  <si>
    <t>Descartado como método principal, pero útil como contraste de suelo: los 99.957 de PP&amp;E y los 62.261 de fondo de comercio no capturan el valor del backlog ni de la base instalada.</t>
  </si>
  <si>
    <t>rNPV / probabilidad ponderada</t>
  </si>
  <si>
    <t>No aplica: no hay hitos binarios regulatorios como en biotecnología.</t>
  </si>
  <si>
    <t>EV/EBITDA como método principal</t>
  </si>
  <si>
    <t>Descartado: el EBITDA de Oracle ha dejado de aproximar el flujo libre. Con capex del 82,6% de los ingresos, EBITDA y FCF divergen radicalmente. Usarlo aquí sería el error clásico de tratar el EBITDA como flujo de caja.</t>
  </si>
  <si>
    <t>SUM-OF-THE-PARTS — CONTRASTE POR SEGMENTOS</t>
  </si>
  <si>
    <t>Contraste al DCF consolidado. Razón de ser: los cuatro segmentos de Oracle tienen márgenes, crecimiento e intensidad de capital radicalmente distintos, por lo que un único WACC y un único múltiplo para el grupo son cuestionables.</t>
  </si>
  <si>
    <t>AVISO DE CALIDAD DEL DATO: los márgenes operativos POR SEGMENTO de las filas 9-12 son HIPÓTESIS DEL ANALISTA (azul), no datos reportados. El 10-K de Oracle publica márgenes por segmento en su nota de información segmentada; deben sustituirse por los reportados antes de usar este SOTP para decidir. Los ingresos por segmento sí son reportados.</t>
  </si>
  <si>
    <t>Segmento</t>
  </si>
  <si>
    <t>Ingresos FY2029E</t>
  </si>
  <si>
    <t>Margen EBIT (hipótesis)</t>
  </si>
  <si>
    <t>EBIT FY2029E</t>
  </si>
  <si>
    <t>Múltiplo EV/EBIT (hipótesis)</t>
  </si>
  <si>
    <t>Enterprise Value</t>
  </si>
  <si>
    <t>% del EV total</t>
  </si>
  <si>
    <t>Cloud (IaaS + SaaS)</t>
  </si>
  <si>
    <t>Software (licencias y soporte)</t>
  </si>
  <si>
    <t>Hardware</t>
  </si>
  <si>
    <t>Servicios</t>
  </si>
  <si>
    <t>SUMA DE LOS SEGMENTOS</t>
  </si>
  <si>
    <t>ENTERPRISE VALUE POR SOTP</t>
  </si>
  <si>
    <t xml:space="preserve">  (−) Deuda financiera</t>
  </si>
  <si>
    <t xml:space="preserve">  (−) Leases financieros</t>
  </si>
  <si>
    <t xml:space="preserve">  (−) Caja mínima operativa</t>
  </si>
  <si>
    <t>EQUITY VALUE POR SOTP</t>
  </si>
  <si>
    <t>VALOR POR ACCIÓN POR SOTP</t>
  </si>
  <si>
    <t xml:space="preserve">  Valor por acción por DCF consolidado</t>
  </si>
  <si>
    <t xml:space="preserve">  Diferencia SOTP − DCF</t>
  </si>
  <si>
    <t xml:space="preserve">  Diferencia en %</t>
  </si>
  <si>
    <t>CUÁNDO USAR SOTP Y CUÁNDO NO</t>
  </si>
  <si>
    <t>Usar SOTP cuando</t>
  </si>
  <si>
    <t>Los segmentos tienen márgenes muy distintos, perfiles de crecimiento distintos, intensidad de capital distinta, o merecerían múltiplos distintos si cotizaran por separado. Oracle cumple los cuatro criterios.</t>
  </si>
  <si>
    <t>No usar SOTP cuando</t>
  </si>
  <si>
    <t>Los segmentos comparten infraestructura, clientes y costes de forma inseparable, de modo que asignar márgenes es arbitrario. En Oracle hay un riesgo real de esto: la misma plataforma técnica y la misma fuerza comercial sirven a Cloud y a Software.</t>
  </si>
  <si>
    <t>Limitación principal aquí</t>
  </si>
  <si>
    <t>Los múltiplos EV/EBIT por segmento son hipótesis. Cambiar el múltiplo de Cloud de 22x a 18x mueve el SOTP más que cualquier hipótesis operativa. Un SOTP con múltiplos inventados no es más riguroso que un DCF: solo esconde las hipótesis en otro sitio.</t>
  </si>
  <si>
    <t>Doble contabilización a evitar</t>
  </si>
  <si>
    <t>Si los márgenes por segmento ya soportan su I+D y su fuerza comercial, NO se pueden restar otra vez como coste corporativo. En la fila 14 se deja explícitamente a cero por esa razón.</t>
  </si>
  <si>
    <t>Riesgo de interpretación</t>
  </si>
  <si>
    <t>Una diferencia grande entre SOTP y DCF NO significa que uno esté mal. Significa que el mercado implícito de múltiplos y el flujo descontado discrepan, y eso es información: normalmente indica que los múltiplos aplicados descuentan un crecimiento distinto del que proyecta el DCF.</t>
  </si>
  <si>
    <t>Si alguna fila está en FALLO, el resultado del modelo NO es utilizable. AVISO significa que el control pasa pero la hipótesis exige justificación explícita.</t>
  </si>
  <si>
    <t>RESUMEN</t>
  </si>
  <si>
    <t xml:space="preserve">  Controles en FALLO</t>
  </si>
  <si>
    <t xml:space="preserve">  Controles en AVISO</t>
  </si>
  <si>
    <t xml:space="preserve">  Controles en OK</t>
  </si>
  <si>
    <t xml:space="preserve">  VEREDICTO</t>
  </si>
  <si>
    <t>Control</t>
  </si>
  <si>
    <t>Resultado esperado</t>
  </si>
  <si>
    <t>Valor obtenido</t>
  </si>
  <si>
    <t>Estado</t>
  </si>
  <si>
    <t>Modo de fallo</t>
  </si>
  <si>
    <t>Impacto si falla</t>
  </si>
  <si>
    <t>Corrección</t>
  </si>
  <si>
    <t>Activo = Pasivo + Patrimonio (FY2025A)</t>
  </si>
  <si>
    <t>Histórico mal transcrito</t>
  </si>
  <si>
    <t>Todo el modelo parte de datos falsos</t>
  </si>
  <si>
    <t>Revisar la transcripción del balance en 03 Historical</t>
  </si>
  <si>
    <t>Activo = Pasivo + Patrimonio (FY2026A)</t>
  </si>
  <si>
    <t>Suma de ingresos por segmento = ingresos totales FY2026</t>
  </si>
  <si>
    <t>Falta un segmento o hay doble cómputo</t>
  </si>
  <si>
    <t>Base de ingresos incorrecta</t>
  </si>
  <si>
    <t>Contrastar con la cuenta de resultados del 10-K</t>
  </si>
  <si>
    <t>CFF calculado = CFF reportado (FY2026)</t>
  </si>
  <si>
    <t>Partida de financiación omitida o con signo erróneo</t>
  </si>
  <si>
    <t>Deuda y caja históricas mal entendidas</t>
  </si>
  <si>
    <t>Revisar las líneas 93-102 de 03 Historical</t>
  </si>
  <si>
    <t>CFF calculado = CFF reportado (FY2025)</t>
  </si>
  <si>
    <t>Partida de financiación omitida</t>
  </si>
  <si>
    <t>Deuda histórica mal entendida</t>
  </si>
  <si>
    <t>Deuda total del detalle = corriente + no corriente del balance (FY2026)</t>
  </si>
  <si>
    <t>Leases confundidos con deuda financiera</t>
  </si>
  <si>
    <t>Deuda neta y puente a equity erróneos</t>
  </si>
  <si>
    <t>Separar leases financieros de senior notes</t>
  </si>
  <si>
    <t>Deuda total del detalle = balance (FY2025)</t>
  </si>
  <si>
    <t>Leases confundidos con deuda</t>
  </si>
  <si>
    <t>Deuda neta errónea</t>
  </si>
  <si>
    <t>Separar leases de senior notes</t>
  </si>
  <si>
    <t>Patrimonio de Oracle = preferentes + capital + reservas + AOCI (FY2026)</t>
  </si>
  <si>
    <t>Preferentes tratadas fuera del patrimonio</t>
  </si>
  <si>
    <t>Doble resta de las preferentes en el puente</t>
  </si>
  <si>
    <t>Verificar dónde están las preferentes en el balance reportado</t>
  </si>
  <si>
    <t>El modelo no usa el tipo efectivo reportado del 12,6% a perpetuidad</t>
  </si>
  <si>
    <t>VERDADERO</t>
  </si>
  <si>
    <t>Tipo fiscal no normalizado</t>
  </si>
  <si>
    <t>Sobreestimación material y permanente del valor</t>
  </si>
  <si>
    <t>Usar tipo de caja convergente, no el efectivo actual</t>
  </si>
  <si>
    <t>Reestructuración excluida del EBIT normalizado pero restada en caja</t>
  </si>
  <si>
    <t>Normalizar el gasto y olvidar la salida de caja</t>
  </si>
  <si>
    <t>Sobreestimación del FCFF</t>
  </si>
  <si>
    <t>Mantener la línea de coste en caja de reestructuración en el FCFF</t>
  </si>
  <si>
    <t>Balance del forecast cuadra los 10 años</t>
  </si>
  <si>
    <t>Partida de balance sin contrapartida en el flujo</t>
  </si>
  <si>
    <t>El modelo es internamente inconsistente</t>
  </si>
  <si>
    <t>Revisar que cada activo/pasivo que varía tenga su línea en el estado de flujos</t>
  </si>
  <si>
    <t>Caja del estado de flujos = caja del balance los 10 años</t>
  </si>
  <si>
    <t>Plug de caja mal construido</t>
  </si>
  <si>
    <t>Flujo de caja no auditable</t>
  </si>
  <si>
    <t>Revisar la política de financiación (filas 29-35)</t>
  </si>
  <si>
    <t>Caja final nunca inferior a la caja mínima operativa</t>
  </si>
  <si>
    <t>≥ 0</t>
  </si>
  <si>
    <t>La política de financiación no cubre el déficit</t>
  </si>
  <si>
    <t>Empresa insolvente en el modelo</t>
  </si>
  <si>
    <t>Aumentar la nueva deuda o reducir dividendos/capex</t>
  </si>
  <si>
    <t>El repago de deuda nunca excede la deuda existente</t>
  </si>
  <si>
    <t>Deuda negativa</t>
  </si>
  <si>
    <t>Intereses negativos y valor inflado</t>
  </si>
  <si>
    <t>Limitar el repago con MIN(deuda inicial; excedente)</t>
  </si>
  <si>
    <t>PP&amp;E final = inicial + capex − depreciación</t>
  </si>
  <si>
    <t>Roll-forward roto</t>
  </si>
  <si>
    <t>Depreciación y capex incoherentes</t>
  </si>
  <si>
    <t>Revisar las filas 33-37 de 04 Operating Model</t>
  </si>
  <si>
    <t>Los intangibles adquiridos se amortizan hasta cero</t>
  </si>
  <si>
    <t>≈ 0</t>
  </si>
  <si>
    <t>Amortización perpetua de intangibles ya agotados</t>
  </si>
  <si>
    <t>Sobreestimación del gasto terminal</t>
  </si>
  <si>
    <t>Ajustar el calendario de la fila 37 de 02 Assumptions</t>
  </si>
  <si>
    <t>FCFF llega a ser positivo dentro del horizonte</t>
  </si>
  <si>
    <t>&gt; 0</t>
  </si>
  <si>
    <t>El capex nunca normaliza</t>
  </si>
  <si>
    <t>El FCFF DCF no es una metodología válida</t>
  </si>
  <si>
    <t>Revisar el vector de capex o cambiar de metodología</t>
  </si>
  <si>
    <t>Años con FCFF negativo</t>
  </si>
  <si>
    <t>≤ 3</t>
  </si>
  <si>
    <t>Demasiados años de flujo negativo</t>
  </si>
  <si>
    <t>Casi todo el valor queda en el valor terminal</t>
  </si>
  <si>
    <t>Ampliar el horizonte y ensanchar los escenarios</t>
  </si>
  <si>
    <t>FCFF del año 1 refleja el capex aún elevado (no maquillado)</t>
  </si>
  <si>
    <t>&lt; 0 en el caso base</t>
  </si>
  <si>
    <t>Capex del año 1 demasiado optimista</t>
  </si>
  <si>
    <t>Se esconde la fase de inversión</t>
  </si>
  <si>
    <t>Contrastar el capex FY2027 con la guía de la compañía</t>
  </si>
  <si>
    <t>Deuda neta actual coherente con el balance reportado</t>
  </si>
  <si>
    <t>Deuda neta calculada de dos formas distintas</t>
  </si>
  <si>
    <t>Puente a equity erróneo</t>
  </si>
  <si>
    <t>Unificar la definición de deuda neta</t>
  </si>
  <si>
    <t>WACC &gt; crecimiento terminal</t>
  </si>
  <si>
    <t>g mayor o igual que el WACC</t>
  </si>
  <si>
    <t>Valor terminal infinito o negativo: sin sentido</t>
  </si>
  <si>
    <t>Bajar g o subir el WACC con justificación</t>
  </si>
  <si>
    <t>Margen WACC − g suficiente (&gt; 200 pb)</t>
  </si>
  <si>
    <t>&gt; 2,0pp</t>
  </si>
  <si>
    <t>Denominador del valor terminal casi cero</t>
  </si>
  <si>
    <t>Valor terminal hipersensible a g</t>
  </si>
  <si>
    <t>Ampliar el margen o usar múltiplo de salida</t>
  </si>
  <si>
    <t>Ke &gt; Kd (coherencia de prelación de riesgo)</t>
  </si>
  <si>
    <t>Coste de equity por debajo del de deuda</t>
  </si>
  <si>
    <t>CAPM mal parametrizado</t>
  </si>
  <si>
    <t>Revisar beta, ERP y tipo libre de riesgo</t>
  </si>
  <si>
    <t>Kd marginal ≥ Kd implícito histórico</t>
  </si>
  <si>
    <t>Deuda nueva más barata que la antigua sin justificación</t>
  </si>
  <si>
    <t>Subestimación del coste de capital</t>
  </si>
  <si>
    <t>Contrastar con el YTM de los bonos de Oracle</t>
  </si>
  <si>
    <t>Beta reapalancada coherente con la estructura objetivo</t>
  </si>
  <si>
    <t>Beta reapalancada menor que la desapalancada</t>
  </si>
  <si>
    <t>Riesgo del apalancamiento no recogido</t>
  </si>
  <si>
    <t>Revisar la fórmula de Hamada</t>
  </si>
  <si>
    <t>Estructura de capital objetivo entre 5% y 45% de deuda</t>
  </si>
  <si>
    <t>5%–45%</t>
  </si>
  <si>
    <t>Peso de deuda irreal</t>
  </si>
  <si>
    <t>WACC sesgado</t>
  </si>
  <si>
    <t>Justificar con la estructura objetivo declarada</t>
  </si>
  <si>
    <t>El WACC no se usa como cajón de sastre del riesgo</t>
  </si>
  <si>
    <t>Revisión cualitativa</t>
  </si>
  <si>
    <t>Documentado</t>
  </si>
  <si>
    <t>Meter todo el riesgo en el WACC</t>
  </si>
  <si>
    <t>Doble contabilización del riesgo</t>
  </si>
  <si>
    <t>Riesgo de negocio a los flujos y escenarios; riesgo sistemático al WACC</t>
  </si>
  <si>
    <t>Crecimiento terminal ≤ PIB nominal de referencia</t>
  </si>
  <si>
    <t>g superior al crecimiento nominal de la economía</t>
  </si>
  <si>
    <t>La empresa acabaría siendo la economía entera</t>
  </si>
  <si>
    <t>Bajar g por debajo del PIB nominal</t>
  </si>
  <si>
    <t>Crecimiento terminal justificado (no elegido por costumbre)</t>
  </si>
  <si>
    <t>Ver 02 Assumptions fila 89</t>
  </si>
  <si>
    <t>Justificado</t>
  </si>
  <si>
    <t>Usar 3% o 4% por inercia</t>
  </si>
  <si>
    <t>Hipótesis indefendible ante otro analista</t>
  </si>
  <si>
    <t>Descomponer g en inflación más crecimiento real</t>
  </si>
  <si>
    <t>Reinversión terminal coherente con g y ROIC</t>
  </si>
  <si>
    <t>Crecimiento perpetuo sin reinvertir</t>
  </si>
  <si>
    <t>Valor terminal inflado (crecimiento gratis)</t>
  </si>
  <si>
    <t>Usar reinversión = g / ROIC terminal</t>
  </si>
  <si>
    <t>ROIC terminal no superior al ROIC del último año explícito</t>
  </si>
  <si>
    <t>ROIC terminal inventado por encima de la trayectoria</t>
  </si>
  <si>
    <t>Valor terminal inflado</t>
  </si>
  <si>
    <t>Fijar el ROIC terminal por debajo o igual al del año 10</t>
  </si>
  <si>
    <t>Múltiplo de salida implícito en rango razonable (8x–25x)</t>
  </si>
  <si>
    <t>8x–25x</t>
  </si>
  <si>
    <t>Gordon produce un múltiplo absurdo</t>
  </si>
  <si>
    <t>Señal de que g, ROIC o WACC son incoherentes</t>
  </si>
  <si>
    <t>Revisar los tres a la vez, no uno solo</t>
  </si>
  <si>
    <t>Peso del valor terminal sobre el EV</t>
  </si>
  <si>
    <t>&lt; 75%</t>
  </si>
  <si>
    <t>Casi todo el valor en el año 11 y siguientes</t>
  </si>
  <si>
    <t>El resultado no depende de datos observables</t>
  </si>
  <si>
    <t>Ampliar el horizonte explícito y presentar rango, no punto</t>
  </si>
  <si>
    <t>Margen EBIT terminal no superior al máximo histórico sin justificación</t>
  </si>
  <si>
    <t>Margen terminal por encima del mejor año de la historia</t>
  </si>
  <si>
    <t>Expansión de margen sin mecanismo económico</t>
  </si>
  <si>
    <t>Explicar competencia, precios y apalancamiento operativo o rebajarlo</t>
  </si>
  <si>
    <t>Capex terminal ≈ D&amp;A terminal (no se asume gratuitamente)</t>
  </si>
  <si>
    <t>0,8x–1,3x</t>
  </si>
  <si>
    <t>Capex terminal muy por debajo de la depreciación</t>
  </si>
  <si>
    <t>Se financia crecimiento sin invertir</t>
  </si>
  <si>
    <t>Elevar el capex terminal o reducir g</t>
  </si>
  <si>
    <t>Capex NO se ha igualado a D&amp;A por defecto</t>
  </si>
  <si>
    <t>≠ 1,0x en el año 1</t>
  </si>
  <si>
    <t>Regla Capex = D&amp;A aplicada mecánicamente</t>
  </si>
  <si>
    <t>Ignora la fase de inversión real</t>
  </si>
  <si>
    <t>Modelar capex con su propio driver</t>
  </si>
  <si>
    <t>Margen bruto terminal coherente con la intensidad de capital</t>
  </si>
  <si>
    <t>&lt; 0</t>
  </si>
  <si>
    <t>Margen bruto terminal por encima del actual pese al giro a IaaS</t>
  </si>
  <si>
    <t>Inconsistencia grave: más capital y más margen</t>
  </si>
  <si>
    <t>Bajar el margen bruto terminal</t>
  </si>
  <si>
    <t>Circulante modelado con drivers, no como % genérico de ingresos</t>
  </si>
  <si>
    <t>Ver 02 Assumptions filas 47-53</t>
  </si>
  <si>
    <t>DSO / proveedores</t>
  </si>
  <si>
    <t>NWC = % de ingresos sin driver operativo</t>
  </si>
  <si>
    <t>Se pierde la señal de gestión del circulante</t>
  </si>
  <si>
    <t>Usar DSO, DIO y DPO</t>
  </si>
  <si>
    <t>Circulante negativo reconocido (no forzado a positivo)</t>
  </si>
  <si>
    <t>Forzar NWC positivo en un negocio de cobro anticipado</t>
  </si>
  <si>
    <t>Se destruye una fuente real de caja</t>
  </si>
  <si>
    <t>Permitir NWC negativo cuando los ingresos diferidos lo justifican</t>
  </si>
  <si>
    <t>DSO proyectado coherente con el histórico</t>
  </si>
  <si>
    <t>±10 días</t>
  </si>
  <si>
    <t>Salto injustificado en los días de cobro</t>
  </si>
  <si>
    <t>Variación de circulante irreal</t>
  </si>
  <si>
    <t>Anclar el DSO en el histórico</t>
  </si>
  <si>
    <t>Puente EV → Equity completo: EV + ajustes = Equity</t>
  </si>
  <si>
    <t>Falta una reclamación</t>
  </si>
  <si>
    <t>Valor por acción erróneo</t>
  </si>
  <si>
    <t>Revisar las filas 46-52 de 06 DCF</t>
  </si>
  <si>
    <t>Deuda financiera restada una sola vez</t>
  </si>
  <si>
    <t>Deuda restada dos veces</t>
  </si>
  <si>
    <t>Infravaloración grave del equity</t>
  </si>
  <si>
    <t>Eliminar la línea duplicada</t>
  </si>
  <si>
    <t>Leases financieros restados (son deuda)</t>
  </si>
  <si>
    <t>Leases financieros ignorados</t>
  </si>
  <si>
    <t>Sobrevaloración del equity</t>
  </si>
  <si>
    <t>Añadir el pasivo por leases financieros al puente</t>
  </si>
  <si>
    <t>Doble contabilización del lease</t>
  </si>
  <si>
    <t>Elegir UNA convención y aplicarla de forma completa</t>
  </si>
  <si>
    <t>Minoritarios restados</t>
  </si>
  <si>
    <t>Minoritarios ignorados</t>
  </si>
  <si>
    <t>Se atribuye a Oracle valor de terceros</t>
  </si>
  <si>
    <t>Restar los intereses minoritarios</t>
  </si>
  <si>
    <t>Preferentes restadas una sola vez y sin añadir acciones</t>
  </si>
  <si>
    <t>Preferentes restadas Y convertidas en acciones</t>
  </si>
  <si>
    <t>Doble contabilización de la dilución</t>
  </si>
  <si>
    <t>Elegir: restar el valor O añadir acciones, nunca las dos</t>
  </si>
  <si>
    <t>No se asume toda la caja como distribuible</t>
  </si>
  <si>
    <t>Caja mínima operativa ignorada</t>
  </si>
  <si>
    <t>Restar la caja operativa mínima</t>
  </si>
  <si>
    <t>Se usan acciones DILUIDAS, no básicas</t>
  </si>
  <si>
    <t>Uso de acciones básicas con dilución material</t>
  </si>
  <si>
    <t>Sobreestimación del valor por acción</t>
  </si>
  <si>
    <t>Usar acciones diluidas</t>
  </si>
  <si>
    <t>SBC tratado como gasto y sin dilución adicional (sin doble cómputo)</t>
  </si>
  <si>
    <t>Ver 02 Assumptions fila 15</t>
  </si>
  <si>
    <t>Coherente</t>
  </si>
  <si>
    <t>Readir SBC al flujo y no diluir</t>
  </si>
  <si>
    <t>Sobrevaloración sistemática en software</t>
  </si>
  <si>
    <t>Mantener el SBC como gasto y no aplicar dilución extra</t>
  </si>
  <si>
    <t>Ningún output está introducido a mano</t>
  </si>
  <si>
    <t>Fórmula</t>
  </si>
  <si>
    <t>Valor por acción escrito a mano</t>
  </si>
  <si>
    <t>El modelo no es auditable ni dinámico</t>
  </si>
  <si>
    <t>Recalcular desde EV → Equity → acciones</t>
  </si>
  <si>
    <t>Ingresos Cloud acumulados vs RPO contratado</t>
  </si>
  <si>
    <t>&lt; 250%</t>
  </si>
  <si>
    <t>El crecimiento exige contratación muy superior al backlog actual</t>
  </si>
  <si>
    <t>Crecimiento no respaldado por contratos</t>
  </si>
  <si>
    <t>Moderar el vector de crecimiento Cloud o justificar la contratación nueva</t>
  </si>
  <si>
    <t>Crecimiento implícito (reinversión × ROIC) vs proyectado, año 10</t>
  </si>
  <si>
    <t>±5pp</t>
  </si>
  <si>
    <t>Crece sin reinvertir o reinvierte sin crecer</t>
  </si>
  <si>
    <t>Inconsistencia de la identidad crecimiento-reinversión-ROIC</t>
  </si>
  <si>
    <t>Ajustar capex, circulante o crecimiento hasta cerrar la brecha</t>
  </si>
  <si>
    <t>ROIC del año 10 &gt; WACC (creación de valor coherente con el crecimiento)</t>
  </si>
  <si>
    <t>Se proyecta crecimiento destruyendo valor</t>
  </si>
  <si>
    <t>Crecer empeora el valor y el modelo no lo refleja</t>
  </si>
  <si>
    <t>Si ROIC &lt; WACC, el crecimiento no debe añadir valor terminal</t>
  </si>
  <si>
    <t>Los escenarios no mejoran todos los drivers a la vez</t>
  </si>
  <si>
    <t>Ver 09 Scenarios filas 20-23</t>
  </si>
  <si>
    <t>Coherentes</t>
  </si>
  <si>
    <t>Bull con más crecimiento y menos capex y menos WACC sin contrapartida</t>
  </si>
  <si>
    <t>Escenario internamente contradictorio</t>
  </si>
  <si>
    <t>El capex por unidad de ingreso debe moverse en sentido coherente</t>
  </si>
  <si>
    <t>Bear más severo que Base y Bull mejor que Base</t>
  </si>
  <si>
    <t>Ordenación</t>
  </si>
  <si>
    <t>Monótona</t>
  </si>
  <si>
    <t>Deltas mal signados</t>
  </si>
  <si>
    <t>Los escenarios no acotan nada</t>
  </si>
  <si>
    <t>Revisar los signos de la matriz de escenarios</t>
  </si>
  <si>
    <t>Shock de sensibilidad devuelto a cero</t>
  </si>
  <si>
    <t>Shock manual olvidado distinto de cero</t>
  </si>
  <si>
    <t>TODO el modelo queda sesgado</t>
  </si>
  <si>
    <t>Devolver 02 Assumptions!C104 a 0</t>
  </si>
  <si>
    <t>Moneda de los flujos y del WACC coherentes</t>
  </si>
  <si>
    <t>USD / USD</t>
  </si>
  <si>
    <t>Flujos en una moneda y WACC en otra</t>
  </si>
  <si>
    <t>Error de valoración de primer orden</t>
  </si>
  <si>
    <t>Usar el tipo libre de riesgo de la moneda de los flujos</t>
  </si>
  <si>
    <t>Flujos nominales con WACC nominal (no mezclar real y nominal)</t>
  </si>
  <si>
    <t>Nominal / nominal</t>
  </si>
  <si>
    <t>Flujos reales descontados a WACC nominal</t>
  </si>
  <si>
    <t>Infravaloración sistemática</t>
  </si>
  <si>
    <t>Mantener ambos en términos nominales</t>
  </si>
  <si>
    <t>Sin referencias circulares (interés sobre deuda inicial)</t>
  </si>
  <si>
    <t>Ver 02 Assumptions fila 103</t>
  </si>
  <si>
    <t>Sin circularidad</t>
  </si>
  <si>
    <t>Interés sobre deuda media sin cálculo iterativo</t>
  </si>
  <si>
    <t>Excel no converge o da valores falsos</t>
  </si>
  <si>
    <t>Usar deuda inicial o activar el cálculo iterativo de forma consciente</t>
  </si>
  <si>
    <t>Centro de las rejillas de sensibilidad = caso base</t>
  </si>
  <si>
    <t>Rejilla descentrada</t>
  </si>
  <si>
    <t>Se lee mal la sensibilidad</t>
  </si>
  <si>
    <t>Usar un número impar de filas y columnas con la base en el centro</t>
  </si>
  <si>
    <t>Sin errores de fórmula en el modelo operativo</t>
  </si>
  <si>
    <t>El modelo no calcula</t>
  </si>
  <si>
    <t>Localizar y corregir la celda con error</t>
  </si>
  <si>
    <t>Sin errores de fórmula en los tres estados</t>
  </si>
  <si>
    <t>Errores de fórmula</t>
  </si>
  <si>
    <t>Localizar y corregir</t>
  </si>
  <si>
    <t>Sin errores de fórmula en el DCF</t>
  </si>
  <si>
    <t>No hay valoración</t>
  </si>
  <si>
    <t>Sin errores de fórmula en las sensibilidades</t>
  </si>
  <si>
    <t>Sensibilidades ilegibles</t>
  </si>
  <si>
    <t>Revisar las fórmulas cerradas de revaloración</t>
  </si>
  <si>
    <t>Precio de mercado introducido</t>
  </si>
  <si>
    <t>Celda de precio vacía</t>
  </si>
  <si>
    <t>No se puede concluir nada sobre la acción</t>
  </si>
  <si>
    <t>Introducir el precio en 01 Summary!C10 y fecharlo</t>
  </si>
  <si>
    <t>MANUAL I — FUNDAMENTOS, ARQUITECTURA Y CONSTRUCCIÓN DEL DCF</t>
  </si>
  <si>
    <t>PARTE I — EL DCF NO ES UNA FÓRMULA UNIVERSAL</t>
  </si>
  <si>
    <t>Un DCF no es aplicar mecánicamente una fórmula. La metodología debe adaptarse al sector, al modelo de negocio, a la estructura de capital, a la intensidad de capital, a la regulación, al ciclo, a la madurez, a la estabilidad de los flujos, al tratamiento contable, a la existencia de activos no operativos, a la exposición a materias primas, a la naturaleza de los ingresos, a la estructura de deuda y a las necesidades de reinversión.</t>
  </si>
  <si>
    <t>Árbol de decisión (7 preguntas)</t>
  </si>
  <si>
    <t>1) ¿Genera flujo de caja operativo positivo?  2) ¿Son los flujos razonablemente previsibles?  3) ¿Tiene deuda significativa?  4) ¿Es una institución financiera?  5) ¿Es intensiva en activos físicos?  6) ¿Tiene segmentos con economías distintas?  7) ¿Hay algo en su contabilidad o estructura que haga problemático el FCFF? — La aplicación de este árbol a Oracle está resuelta y documentada en la hoja '11 Cross Check'.</t>
  </si>
  <si>
    <t>Salidas posibles del árbol</t>
  </si>
  <si>
    <t>FCFF DCF · FCFE DCF · Dividend Discount Model · Excess Returns · Sum-of-the-Parts · NAV · rNPV · EV/EBITDA · EV/Revenue · P/E · P/B. Regla: no forzar un FCFF DCF cuando otra metodología es estructuralmente superior.</t>
  </si>
  <si>
    <t>PARTE II — ARQUITECTURA DEL LIBRO</t>
  </si>
  <si>
    <t>Diseño</t>
  </si>
  <si>
    <t>14 hojas de modelo (01 a 14) más 4 de manual (M1 a M4). Cada hoja tiene una función única. Las hipótesis viven SOLO en '02 Assumptions'; las demás hojas contienen fórmulas y enlaces. Ninguna hoja de cálculo contiene hipótesis propias: si aparece un número azul fuera de 02 Assumptions o 07 WACC, es un defecto.</t>
  </si>
  <si>
    <t>Columnas</t>
  </si>
  <si>
    <t>Convención uniforme en todas las hojas de modelo: columna B etiqueta, C unidad, D/E/F históricos FY2024A–FY2026A, G a P proyección FY2027E–FY2036E. Esto permite arrastrar fórmulas y comparar hojas fila a fila.</t>
  </si>
  <si>
    <t>Las cinco categorías de dato</t>
  </si>
  <si>
    <t>HARD-CODED INPUT (introducido a mano) · HISTORICAL DATA (reportado por la compañía) · ASSUMPTION (hipótesis del analista) · FORMULA (calculado) · EXTERNAL ESTIMATE (consenso o terceros) · MANAGEMENT GUIDANCE (guía de la dirección). Nunca se mezclan: dato observado ≠ supuesto ≠ estimación ≠ resultado.</t>
  </si>
  <si>
    <t>Código de color</t>
  </si>
  <si>
    <t>AZUL = input del analista. NEGRO = fórmula. VERDE = enlace a otra hoja del mismo libro. GRIS = dato histórico reportado. AMARILLO = hipótesis crítica que mueve el valor. ROJO = advertencia o enlace externo.</t>
  </si>
  <si>
    <t>PARTE III — OBTENCIÓN Y NORMALIZACIÓN DE DATOS</t>
  </si>
  <si>
    <t>Fuentes admisibles</t>
  </si>
  <si>
    <t>10-K, 10-Q, Annual Report, Earnings Release, Investor Presentation, filings en SEC EDGAR y notas de la memoria. NO: blogs financieros, agregadores no oficiales, foros, prensa que reinterpreta cifras. Todo dato de este libro procede del Form 10-K FY2026 de Oracle; la trazabilidad está en '14 Sources'.</t>
  </si>
  <si>
    <t>Qué extraer</t>
  </si>
  <si>
    <t>Cuenta de resultados completa; balance completo con desglose de deuda, leases y patrimonio; flujo de caja con D&amp;A, SBC, circulante, capex y financiación. Además: nota de impuestos, nota de arrendamientos, nota de deuda, backlog (RPO) y acciones en circulación.</t>
  </si>
  <si>
    <t>Normalización</t>
  </si>
  <si>
    <t>Cada partida no recurrente exige una decisión explícita: ¿se elimina, se mantiene, se normaliza, se amortiza o se modela aparte? La tabla de decisiones aplicada a Oracle está en '03 Historical' filas 144-157, con justificación económica por partida.</t>
  </si>
  <si>
    <t>Regla de normalización</t>
  </si>
  <si>
    <t>NO se elimina una partida solo porque reduzca el beneficio. La normalización exige justificación económica. Oracle reporta reestructuración casi todos los años: por eso en este modelo NO se elimina, se normaliza a un nivel medio y se mantiene su salida de caja en el FCFF.</t>
  </si>
  <si>
    <t>PARTE IV — STOCK-BASED COMPENSATION: EL CASO ESPECIAL</t>
  </si>
  <si>
    <t>Por qué importa</t>
  </si>
  <si>
    <t>El SBC de Oracle fue de 4.811 millones en FY2026, el 7,1% de los ingresos. Aparece como gasto en la cuenta de resultados y se readiciona en el flujo de caja operativo porque no es una salida de caja. Ignorarlo es el error más extendido en valoración de software.</t>
  </si>
  <si>
    <t>Tratamiento A — gasto económico real</t>
  </si>
  <si>
    <t>Se mantiene en los gastos operativos y NO se readiciona. No se proyecta dilución adicional. Defendible porque el SBC es retribución: si se pagara en efectivo estaría en el EBIT sin discusión. ES EL TRATAMIENTO APLICADO EN ESTE MODELO.</t>
  </si>
  <si>
    <t>Tratamiento B — readición con dilución</t>
  </si>
  <si>
    <t>Se readiciona al flujo (no es caja) pero se proyecta explícitamente el aumento de acciones y se divide el Equity Value por un número creciente de acciones. Coherente, pero exige modelar el share count y las recompras de neutralización.</t>
  </si>
  <si>
    <t>Tratamiento C — modelización explícita</t>
  </si>
  <si>
    <t>Se modelan las concesiones, el vesting, las cancelaciones y las recompras destinadas a neutralizar la dilución. Es el más riguroso y el más costoso. Necesario cuando el SBC supera el 10% de los ingresos.</t>
  </si>
  <si>
    <t>EL ERROR PROHIBIDO</t>
  </si>
  <si>
    <t>Readicionar el SBC al flujo de caja Y ADEMÁS no diluir el número de acciones. Eso regala al accionista una retribución que alguien paga. Sobrevaloración sistemática.</t>
  </si>
  <si>
    <t>PARTE V — FORECAST OPERATIVO</t>
  </si>
  <si>
    <t>Métodos de proyección de ingresos</t>
  </si>
  <si>
    <t>1) Crecimiento histórico  2) TAM × cuota de mercado  3) Clientes × ARPU  4) Unidades × precio  5) Tiendas × ingreso por tienda  6) Por segmento  7) Suscripción (ARR, NRR, churn)  8) Volumen × precio. El método correcto depende del sector: ver 'M3 Manual Sectorial'.</t>
  </si>
  <si>
    <t>Lo que NO se hace</t>
  </si>
  <si>
    <t>Proyectar Ingresos = Ingresos anteriores × 1,10 sin justificación. Tampoco extrapolar el CAGR de los últimos 3 años: puede estar distorsionado por efectos base, adquisiciones, COVID, desinversiones, divisa, subidas de precio o el ciclo.</t>
  </si>
  <si>
    <t>Método aplicado a Oracle</t>
  </si>
  <si>
    <t>Proyección por segmento con el RPO (638.000 millones de obligaciones contratadas) como driver del tramo inicial de Cloud, y desaceleración progresiva por agotamiento del backlog y llenado de la capacidad. El control de la fila 62 de '04 Operating Model' compara los ingresos Cloud acumulados con el RPO y avisa cuando el crecimiento exige contratación nueva.</t>
  </si>
  <si>
    <t>Márgenes</t>
  </si>
  <si>
    <t>Se proyectan Gross Margin, EBITDA Margin y EBIT Margin usando tendencia histórica, apalancamiento operativo, márgenes de comparables, guía de la dirección, unit economics, precios y estructura de costes. NUNCA se supone expansión de margen sin explicar el mecanismo económico que la produce.</t>
  </si>
  <si>
    <t>Apalancamiento operativo</t>
  </si>
  <si>
    <t>Es la conexión entre crecimiento y margen: ingresos crecientes sobre una base de costes fijos diluyen el gasto y expanden el margen; ingresos decrecientes lo comprimen más que proporcionalmente. En este modelo es la ÚNICA palanca de margen utilizada: el margen bruto se proyecta a la BAJA y la expansión viene de la dilución de S&amp;M, I+D y G&amp;A.</t>
  </si>
  <si>
    <t>Distinguir tipo estatutario, tipo efectivo, tipo de caja, impuestos diferidos, NOLs, créditos fiscales y estructuras internacionales. NO usar automáticamente Impuestos / BAI si hay anomalías. Oracle reporta un tipo efectivo del 12,6% que NO es sostenible: el modelo converge al 19%.</t>
  </si>
  <si>
    <t>Depreciación</t>
  </si>
  <si>
    <t>Cuatro métodos: A) D&amp;A / Ingresos  B) D&amp;A / Capex  C) Roll-forward de PP&amp;E  D) Modelo de vida de activos. Este modelo usa el C, calibrado contra la depreciación reportada de FY2026, porque con capex del 82,6% de los ingresos los métodos A y B producen resultados absurdos.</t>
  </si>
  <si>
    <t>Capex</t>
  </si>
  <si>
    <t>Distinguir mantenimiento, crecimiento, expansión, reposición y regulatorio. Comparar Capex/Ingresos, Capex/D&amp;A, capex por unidad, por tienda, por cliente y el requerido para ampliar capacidad. NUNCA asumir Capex = D&amp;A sin analizar antes la economía del negocio.</t>
  </si>
  <si>
    <t>Circulante</t>
  </si>
  <si>
    <t>Modelar clientes, existencias, proveedores y otras partidas operativas con DSO, DIO y DPO, no con un porcentaje genérico de ingresos. Excepción importante: el circulante NEGATIVO es real en negocios de cobro anticipado (marketplaces, suscripción, retail con poder sobre proveedores). Oracle tiene NWC negativo por ingresos diferidos: el crecimiento GENERA caja por circulante y no se debe forzar a positivo.</t>
  </si>
  <si>
    <t>PARTE VI — DEL FCFF AL VALOR POR ACCIÓN</t>
  </si>
  <si>
    <t>EBIT × (1 − t) + D&amp;A − Capex − Variación del NWC. Se parte del EBIT y no del beneficio neto porque el FCFF es el flujo ANTES de decisiones de financiación: pertenece a todos los proveedores de capital y se descuenta al WACC. Excepciones a valorar caso a caso: costes en caja de reestructuración, aportaciones a pensiones, SBC, pagos de leases, adquisiciones, I+D capitalizado, capital regulatorio y gasto de exploración.</t>
  </si>
  <si>
    <t>WACC = E/(D+E) × Ke + D/(D+E) × Kd × (1 − t). Con Ke = Rf + Beta × ERP. Beta desapalancada = Beta apalancada / [1 + (1−t) × D/E]; Beta reapalancada = Beta desapalancada × [1 + (1−t) × D/E objetivo]. Construcción completa y documentada en '07 WACC'.</t>
  </si>
  <si>
    <t>Valor terminal</t>
  </si>
  <si>
    <t>Gordon: VT = FCFF terminal × (1+g) / (WACC − g). Múltiplo de salida: VT = EBITDA × múltiplo. Este modelo usa Gordon pero con la reinversión DISCIPLINADA por la identidad g = tasa de reinversión × ROIC, de modo que el crecimiento perpetuo se paga con reinversión perpetua. La comparación con el método ingenuo está en '06 DCF' filas 37-39.</t>
  </si>
  <si>
    <t>Puente a Equity</t>
  </si>
  <si>
    <t>EV − deuda financiera − leases financieros + caja − caja mínima operativa + valores negociables − minoritarios − preferentes − otras reclamaciones + activos no operativos = Equity Value. Dividido entre acciones DILUIDAS = valor por acción.</t>
  </si>
  <si>
    <t>Convención de descuento</t>
  </si>
  <si>
    <t>Fin de año: factor = 1/(1+WACC)^n. Mitad de año: se usa n−0,5 porque los flujos se generan a lo largo del ejercicio, no el último día. Este modelo usa mitad de año para los flujos explícitos pero descuenta el valor terminal al año COMPLETO, porque el valor terminal es un stock medido al cierre del año 10, no un flujo del año 10.</t>
  </si>
  <si>
    <t>Horizonte explícito</t>
  </si>
  <si>
    <t>5 años para negocios maduros y estables. 7-10 años cuando la empresa no está en estado estacionario. 10-15 solo con justificación extraordinaria. Regla: cuanto más largo el horizonte, mayor la exigencia de justificación. NO se alarga el horizonte para hacer converger artificialmente la empresa hacia un margen deseado. Aquí se usan 10 años porque FY2026 no es un año normalizado: el capex del 82,6% de los ingresos y el FCFF negativo exigen un horizonte que llegue al estado estacionario.</t>
  </si>
  <si>
    <t>MANUAL II — REGLAS CRÍTICAS EN FORMATO AUDITABLE</t>
  </si>
  <si>
    <t>Formato: REGLA / POR QUÉ / CUÁNDO APLICAR / CUÁNDO NO APLICAR / RIESGO / CHECK EN EXCEL</t>
  </si>
  <si>
    <t>REGLA</t>
  </si>
  <si>
    <t>POR QUÉ</t>
  </si>
  <si>
    <t>CUÁNDO APLICAR</t>
  </si>
  <si>
    <t>CUÁNDO NO APLICAR</t>
  </si>
  <si>
    <t>RIESGO</t>
  </si>
  <si>
    <t>CHECK EN ESTE LIBRO</t>
  </si>
  <si>
    <t>El WACC debe ser mayor que el crecimiento terminal</t>
  </si>
  <si>
    <t>Si g ≥ WACC el denominador (WACC − g) es cero o negativo y el valor terminal se vuelve infinito o negativo. No es un problema numérico: significa que se está afirmando que la empresa crecerá para siempre más rápido de lo que el mercado exige por su riesgo.</t>
  </si>
  <si>
    <t>Siempre, sin excepción, en cualquier modelo de Gordon.</t>
  </si>
  <si>
    <t>Nunca hay excepción. Si el margen es inferior a 200 pb el valor terminal es tan sensible a g que conviene cambiar al método de múltiplo de salida.</t>
  </si>
  <si>
    <t>Valoración sin sentido económico, normalmente enorme.</t>
  </si>
  <si>
    <t>Controles 21 y 22 de '13 Checks'; celda C42 de '07 WACC'.</t>
  </si>
  <si>
    <t>El crecimiento terminal no puede exceder el PIB nominal de largo plazo</t>
  </si>
  <si>
    <t>Una empresa que crece indefinidamente más que la economía acabaría siendo la economía entera. Es matemáticamente imposible a perpetuidad.</t>
  </si>
  <si>
    <t>Siempre. g debe descomponerse en inflación esperada más crecimiento real sostenible.</t>
  </si>
  <si>
    <t>Puede superarlo brevemente en el periodo EXPLÍCITO, nunca en la perpetuidad.</t>
  </si>
  <si>
    <t>Sobrevaloración estructural que además es indefendible ante otro analista.</t>
  </si>
  <si>
    <t>Control 28; celda C65 de '02 Assumptions' como tope de referencia.</t>
  </si>
  <si>
    <t>El crecimiento perpetuo debe pagarse con reinversión perpetua</t>
  </si>
  <si>
    <t>La identidad g = tasa de reinversión × ROIC no es una curiosidad académica: es la restricción de recursos. Crecer exige capital. Un valor terminal construido sobre el FCFF del último año más un g positivo asume implícitamente crecimiento gratis.</t>
  </si>
  <si>
    <t>Siempre que se use Gordon. Se fija un ROIC terminal explícito y la reinversión terminal se deriva como g / ROIC.</t>
  </si>
  <si>
    <t>Si se usa múltiplo de salida, la disciplina la impone el múltiplo (aunque entonces hay que justificar el múltiplo).</t>
  </si>
  <si>
    <t>Inflación del valor terminal. En este modelo la diferencia entre el método disciplinado y el ingenuo se cuantifica en '06 DCF' fila 39.</t>
  </si>
  <si>
    <t>Controles 30 y 31; filas 26-30 y 37-39 de '06 DCF'.</t>
  </si>
  <si>
    <t>No usar el tipo impositivo efectivo actual a perpetuidad si es anómalo</t>
  </si>
  <si>
    <t>Un tipo efectivo bajo suele venir de créditos fiscales de I+D, FDII, mix jurisdiccional y beneficios por vesting de acciones. Ninguno de esos escala proporcionalmente con el beneficio.</t>
  </si>
  <si>
    <t>Cuando el tipo efectivo se desvía materialmente del estatutario ajustado por mix geográfico. Oracle: 12,6% reportado frente al 21% estatutario federal.</t>
  </si>
  <si>
    <t>Si el tipo bajo proviene de una estructura estable y verificable (jurisdicción, régimen permanente), puede mantenerse con justificación documentada.</t>
  </si>
  <si>
    <t>Sobreestimación material y PERMANENTE del valor, porque afecta a todos los años y al valor terminal.</t>
  </si>
  <si>
    <t>Control 9; vector G57:P57 de '02 Assumptions'.</t>
  </si>
  <si>
    <t>No asumir Capex = D&amp;A</t>
  </si>
  <si>
    <t>Es una regla de estado estacionario. Aplicada a una empresa en fase de inversión subestima brutalmente la reinversión; aplicada a una empresa en declive la sobreestima.</t>
  </si>
  <si>
    <t>Solo en el año terminal, y solo si se ha comprobado que el negocio está realmente en estado estacionario.</t>
  </si>
  <si>
    <t>Nunca en el periodo explícito de una empresa que está construyendo capacidad. Oracle gastó el 82,6% de sus ingresos en capex en FY2026.</t>
  </si>
  <si>
    <t>Si se aplica a Oracle el FCFF pasaría de negativo a muy positivo de un plumazo: error de decenas de miles de millones.</t>
  </si>
  <si>
    <t>Controles 35 y 36; filas 34-41 de '04 Operating Model'.</t>
  </si>
  <si>
    <t>Elegir UNA convención de arrendamientos y aplicarla completa</t>
  </si>
  <si>
    <t>Bajo ASC 842 / IFRS 16 el lease operativo puede tratarse como gasto operativo (pasivo fuera de la deuda neta) o como deuda (readiendo el gasto al EBIT y añadiendo amortización del ROU al D&amp;A). Ambas son válidas; mezclarlas no.</t>
  </si>
  <si>
    <t>Declarar la convención en la hoja de hipótesis antes de construir nada. Aquí: operativo, declarado en '02 Assumptions'!C14.</t>
  </si>
  <si>
    <t>Nunca se resta el pasivo del lease del Equity Value manteniendo el gasto del lease dentro del EBIT.</t>
  </si>
  <si>
    <t>Doble contabilización. Con 30.190 millones de pasivo por leases en Oracle son unos 10,4 dólares por acción de error.</t>
  </si>
  <si>
    <t>Control 44; demostración cuantificada del error en '11 Cross Check' filas 16-22.</t>
  </si>
  <si>
    <t>No asumir que toda la caja es distribuible</t>
  </si>
  <si>
    <t>Hay caja restringida, caja atrapada en jurisdicciones con coste de repatriación, caja operativa mínima, fondos de clientes y caja exigida por regulación.</t>
  </si>
  <si>
    <t>Siempre. Se estima una caja operativa mínima y solo el exceso entra en el puente a Equity.</t>
  </si>
  <si>
    <t>Si la memoria acredita que la caja es libre y repatriable sin coste, puede usarse íntegra.</t>
  </si>
  <si>
    <t>Sobrevaloración del equity. Oracle tiene 31.289 millones de caja con compromisos de capex plurianuales.</t>
  </si>
  <si>
    <t>Control 47; fila 49 de '06 DCF'.</t>
  </si>
  <si>
    <t>Usar acciones diluidas cuando la dilución es material</t>
  </si>
  <si>
    <t>Opciones, RSUs, acciones restringidas, convertibles y warrants representan derechos reales sobre el beneficio futuro. El método del treasury stock recoge las opciones dentro del dinero.</t>
  </si>
  <si>
    <t>Siempre que la diferencia entre básicas y diluidas sea material. Oracle: 2.860 básicas frente a 2.914 diluidas.</t>
  </si>
  <si>
    <t>Si la dilución es inmaterial y no hay instrumentos pendientes.</t>
  </si>
  <si>
    <t>Sobreestimación directa del valor por acción.</t>
  </si>
  <si>
    <t>Control 48; fila 54 de '06 DCF'.</t>
  </si>
  <si>
    <t>Preferentes: restar el valor O añadir las acciones, nunca las dos</t>
  </si>
  <si>
    <t>Las preferentes convertibles obligatorias de Oracle (4.954 millones, Serie D 6,50%) acabarán siendo acciones. Restar su valor del Equity Value y ADEMÁS añadir las acciones de conversión cuenta el mismo derecho dos veces.</t>
  </si>
  <si>
    <t>Elegir un método y documentarlo. Aquí: se resta el valor contable y NO se añaden acciones.</t>
  </si>
  <si>
    <t>Si se opta por el método if-converted, entonces NO se resta el valor y sí se añaden las acciones.</t>
  </si>
  <si>
    <t>Doble contabilización de la dilución.</t>
  </si>
  <si>
    <t>Control 46; fila 52 de '06 DCF' y '02 Assumptions'!C75.</t>
  </si>
  <si>
    <t>El SBC no puede readicionarse y además no diluir</t>
  </si>
  <si>
    <t>Es retribución real a empleados. O es gasto (y reduce el flujo) o es dilución (y aumenta las acciones). Las dos cosas a la vez sería gratis.</t>
  </si>
  <si>
    <t>Siempre en empresas de software. Oracle: 4.811 millones, el 7,1% de los ingresos.</t>
  </si>
  <si>
    <t>Si el SBC es inmaterial.</t>
  </si>
  <si>
    <t>Sobrevaloración sistemática, el error más frecuente en valoración de software.</t>
  </si>
  <si>
    <t>Control 49; '02 Assumptions'!C15 declara el tratamiento.</t>
  </si>
  <si>
    <t>No proyectar el margen máximo histórico como margen terminal</t>
  </si>
  <si>
    <t>El mejor año de la historia normalmente coincide con un mix favorable, un ciclo favorable o una competencia débil. Extrapolarlo asume que esas condiciones son permanentes.</t>
  </si>
  <si>
    <t>Comprobar siempre el margen terminal contra el máximo histórico y exigir mecanismo económico si lo supera.</t>
  </si>
  <si>
    <t>Si hay un cambio estructural demostrable (mix, apalancamiento operativo, poder de precios) documentado.</t>
  </si>
  <si>
    <t>Expansión de margen sin causa: la forma más elegante de inflar un DCF.</t>
  </si>
  <si>
    <t>Control 34 (actualmente en AVISO, con justificación documentada en '02 Assumptions' fila 84).</t>
  </si>
  <si>
    <t>El margen bruto no puede subir mientras se multiplica la intensidad de capital</t>
  </si>
  <si>
    <t>Si la depreciación va dentro del coste de los ingresos, multiplicar el PP&amp;E multiplica el coste de los ingresos. Proyectar más capex y más margen bruto a la vez es una contradicción interna.</t>
  </si>
  <si>
    <t>Siempre que el capex crezca más que los ingresos. Oracle: PP&amp;E de 43.522 a 99.957 en un año.</t>
  </si>
  <si>
    <t>Si la depreciación se presenta por debajo del margen bruto en la cuenta de resultados de la compañía.</t>
  </si>
  <si>
    <t>Inconsistencia detectable de inmediato por cualquier auditor del modelo.</t>
  </si>
  <si>
    <t>Control 37; vector G30:P30 de '02 Assumptions'.</t>
  </si>
  <si>
    <t>El circulante negativo es real y no debe forzarse a positivo</t>
  </si>
  <si>
    <t>En negocios de cobro anticipado (suscripción, marketplaces, retail con poder sobre proveedores) los ingresos diferidos y los proveedores exceden a los clientes: el crecimiento GENERA caja.</t>
  </si>
  <si>
    <t>Cuando los ingresos diferidos o los proveedores dominan el circulante. Oracle: NWC de −19.272 millones.</t>
  </si>
  <si>
    <t>Si el negocio cobra después de producir (industriales con obra en curso, distribución).</t>
  </si>
  <si>
    <t>Se destruye una fuente real de caja y se subestima el valor.</t>
  </si>
  <si>
    <t>Control 39; fila 52 de '04 Operating Model'.</t>
  </si>
  <si>
    <t>El WACC no es un cajón de sastre para todos los riesgos</t>
  </si>
  <si>
    <t>El WACC recoge el riesgo SISTEMÁTICO. El riesgo específico (ejecución, cliente concentrado, regulación, materia prima) se recoge en los flujos y en los escenarios. Meterlo todo en el WACC lo cuenta dos veces.</t>
  </si>
  <si>
    <t>Separar explícitamente: riesgo al flujo, riesgo al escenario, riesgo sistemático al descuento.</t>
  </si>
  <si>
    <t>Nunca se sube el WACC arbitrariamente para 'castigar' una empresa incierta.</t>
  </si>
  <si>
    <t>Doble contabilización del riesgo y, peor, ocultación del riesgo: un WACC alto esconde qué se teme exactamente.</t>
  </si>
  <si>
    <t>Control 27; escenarios en '09 Scenarios' con delta de WACC separado de los deltas operativos.</t>
  </si>
  <si>
    <t>No mezclar FCFF con coste de los recursos propios ni FCFE con WACC</t>
  </si>
  <si>
    <t>El FCFF pertenece a todos los proveedores de capital y se descuenta al WACC. El FCFE pertenece solo al accionista y se descuenta al Ke. Cruzarlos es un error de definición, no de estimación.</t>
  </si>
  <si>
    <t>Siempre.</t>
  </si>
  <si>
    <t>Nunca.</t>
  </si>
  <si>
    <t>Error de valoración de primer orden, del orden de decenas de puntos porcentuales.</t>
  </si>
  <si>
    <t>Estructura del modelo: '06 DCF' fila 21 enlaza exclusivamente al WACC de '07 WACC'!C38.</t>
  </si>
  <si>
    <t>Flujos y tasa de descuento en la misma moneda y en la misma base</t>
  </si>
  <si>
    <t>Flujos nominales exigen WACC nominal; flujos reales exigen WACC real. Flujos en dólares exigen un tipo libre de riesgo en dólares.</t>
  </si>
  <si>
    <t>Siempre. Declarar la moneda y la base en la hoja de hipótesis.</t>
  </si>
  <si>
    <t>Si se descuentan flujos nominales a un WACC real, se infravalora sistemáticamente (y al contrario).</t>
  </si>
  <si>
    <t>Controles 25 y 26; '02 Assumptions'!C10 declara moneda y unidades.</t>
  </si>
  <si>
    <t>Ningún output puede estar introducido a mano</t>
  </si>
  <si>
    <t>Un valor por acción escrito a mano rompe la cadena de auditoría: no se puede trazar, no responde a las hipótesis y no se puede falsar.</t>
  </si>
  <si>
    <t>Siempre. Todo resultado debe ser una fórmula que llegue hasta el dato de origen.</t>
  </si>
  <si>
    <t>El modelo deja de ser un modelo y pasa a ser una opinión con formato de tabla.</t>
  </si>
  <si>
    <t>Control 50: comprueba con ISFORMULA que '06 DCF'!F55 es una fórmula.</t>
  </si>
  <si>
    <t>Los escenarios no pueden mejorar todos los drivers a la vez</t>
  </si>
  <si>
    <t>Los supuestos están correlacionados. Más crecimiento exige más capex, más circulante y más gasto comercial. Un Bull con más ingresos, más margen, menos capex y menos WACC sin contrapartida no es un escenario: es una ilusión.</t>
  </si>
  <si>
    <t>Siempre que se construyan escenarios. Cada escenario debe mover varias variables de forma coherente.</t>
  </si>
  <si>
    <t>El rango de valoración deja de acotar nada porque el extremo alto es inalcanzable.</t>
  </si>
  <si>
    <t>Controles 23 y 24; matriz de coherencia documentada en '09 Scenarios' filas 19-23.</t>
  </si>
  <si>
    <t>LAS 30 REGLAS QUE NO SE ROMPEN</t>
  </si>
  <si>
    <t>1. No mezclar FCFF con coste de los recursos propios.</t>
  </si>
  <si>
    <t>2. No mezclar FCFE con WACC.</t>
  </si>
  <si>
    <t>3. No usar un WACC inferior o igual al crecimiento terminal.</t>
  </si>
  <si>
    <t>4. No contar la deuda dos veces.</t>
  </si>
  <si>
    <t>5. No contar los arrendamientos dos veces.</t>
  </si>
  <si>
    <t>6. No ignorar una dilución material.</t>
  </si>
  <si>
    <t>7. No tratar el EBITDA como flujo de caja libre.</t>
  </si>
  <si>
    <t>8. No asumir Capex = D&amp;A de forma automática.</t>
  </si>
  <si>
    <t>9. No asumir que toda la caja es distribuible.</t>
  </si>
  <si>
    <t>10. No extrapolar máximos históricos indefinidamente.</t>
  </si>
  <si>
    <t>11. No usar un WACC idéntico para todos los sectores.</t>
  </si>
  <si>
    <t>12. No aplicar un único múltiplo a segmentos con economías distintas.</t>
  </si>
  <si>
    <t>13. No ignorar el capital circulante.</t>
  </si>
  <si>
    <t>14. No normalizar todos los gastos extraordinarios sin evidencia.</t>
  </si>
  <si>
    <t>15. No usar un crecimiento terminal superior al PIB nominal.</t>
  </si>
  <si>
    <t>16. No esconder el riesgo detrás de un WACC arbitrariamente alto.</t>
  </si>
  <si>
    <t>17. No introducir outputs a mano.</t>
  </si>
  <si>
    <t>18. No combinar datos históricos incompatibles entre sí.</t>
  </si>
  <si>
    <t>19. No ignorar el efecto divisa cuando es material.</t>
  </si>
  <si>
    <t>20. No ignorar los arrendamientos cuando son económicamente relevantes.</t>
  </si>
  <si>
    <t>21. No ignorar un SBC material.</t>
  </si>
  <si>
    <t>22. No mezclar magnitudes nominales y reales.</t>
  </si>
  <si>
    <t>23. No mezclar monedas entre flujo y descuento.</t>
  </si>
  <si>
    <t>24. No usar acciones básicas si la dilución es material.</t>
  </si>
  <si>
    <t>25. No tratar el GMV como ingreso.</t>
  </si>
  <si>
    <t>26. No tratar las reservas mineras como flujo perpetuo.</t>
  </si>
  <si>
    <t>27. No valorar bancos como industriales por defecto.</t>
  </si>
  <si>
    <t>28. No ignorar el capital regulatorio en entidades financieras.</t>
  </si>
  <si>
    <t>29. No asumir que el crecimiento crea valor por sí mismo: solo lo crea si el ROIC supera el coste de capital.</t>
  </si>
  <si>
    <t>30. No confundir precisión matemática con precisión económica.</t>
  </si>
  <si>
    <t>MANUAL III — MARCO SECTORIAL Y MATRIZ DE DECISIÓN</t>
  </si>
  <si>
    <t>Estas reglas son HEURÍSTICAS, no leyes universales. Identifican el punto de partida correcto, no el resultado.</t>
  </si>
  <si>
    <t>Sector</t>
  </si>
  <si>
    <t>Drivers de ingresos correctos</t>
  </si>
  <si>
    <t>Qué cambia respecto al DCF estándar</t>
  </si>
  <si>
    <t>Metodología principal / secundaria</t>
  </si>
  <si>
    <t>Riesgo principal</t>
  </si>
  <si>
    <t>Software / SaaS</t>
  </si>
  <si>
    <t>ARR, MRR, NRR, churn, CAC, LTV, clientes × ARPU. Distinguir ingreso por suscripción de ingreso por consumo.</t>
  </si>
  <si>
    <t>Los ingresos no bastan como driver único. El SBC es material y la dilución real. El I+D es el motor del producto. Los ingresos diferidos son fuente de caja. El EBITDA es poco representativo en fase de crecimiento.</t>
  </si>
  <si>
    <t>DCF por drivers / EV/Revenue, Rule of 40</t>
  </si>
  <si>
    <t>SBC y crecimiento: el valor está casi todo en el terminal</t>
  </si>
  <si>
    <t>Semiconductores</t>
  </si>
  <si>
    <t>Unidades × ASP, utilización, capacidad de obleas, economía de foundry, ciclo de inventarios.</t>
  </si>
  <si>
    <t>Ciclicidad extrema e intensidad de capital y de I+D muy altas. NUNCA extrapolar el margen máximo del ciclo indefinidamente.</t>
  </si>
  <si>
    <t>DCF con volumen × ASP y escenario de ciclo / EV/EBITDA mid-cycle</t>
  </si>
  <si>
    <t>Normalización del ciclo</t>
  </si>
  <si>
    <t>Industriales</t>
  </si>
  <si>
    <t>Volumen, precio, cartera de pedidos (backlog), capacidad, utilización, costes fijos, materias primas.</t>
  </si>
  <si>
    <t>Separar capex de mantenimiento de capex de crecimiento. El backlog da visibilidad. Los costes fijos generan apalancamiento operativo en ambos sentidos.</t>
  </si>
  <si>
    <t>FCFF DCF / EV/EBITDA</t>
  </si>
  <si>
    <t>Ciclo y precio de materias primas</t>
  </si>
  <si>
    <t>Consumo / Retail</t>
  </si>
  <si>
    <t>Tiendas × ingreso por tienda, ventas comparables (same-store sales), tráfico, ticket medio, unidades.</t>
  </si>
  <si>
    <t>Circulante NEGATIVO habitual por poder sobre proveedores. Existencias críticas. Capex por apertura.</t>
  </si>
  <si>
    <t>FCFF DCF / EV/EBITDA, EV/Ventas</t>
  </si>
  <si>
    <t>Ventas comparables y márgenes</t>
  </si>
  <si>
    <t>Marketplaces</t>
  </si>
  <si>
    <t>GMV × take rate = ingresos. Transacciones, usuarios activos, monetización.</t>
  </si>
  <si>
    <t>NO confundir GMV con ingresos: es el error definitorio del sector. Circulante negativo por fondos de clientes, que NO son caja libre.</t>
  </si>
  <si>
    <t>DCF sobre ingresos netos / EV/GMV</t>
  </si>
  <si>
    <t>Confundir GMV con ingresos</t>
  </si>
  <si>
    <t>Bancos</t>
  </si>
  <si>
    <t>Crecimiento del crédito, margen de intereses (NIM), comisiones, provisiones, coste del riesgo, ratio de eficiencia.</t>
  </si>
  <si>
    <t>El FCFF DCF es INAPROPIADO: la deuda (depósitos) es materia prima operativa, no financiación. El capital regulatorio (CET1) es la restricción real. El capex y el circulante no significan lo mismo.</t>
  </si>
  <si>
    <t>Excess Returns, FCFE o DDM / P/B contra ROTE</t>
  </si>
  <si>
    <t>Hipótesis de capital regulatorio</t>
  </si>
  <si>
    <t>Seguros</t>
  </si>
  <si>
    <t>Primas, margen técnico, ratio combinado, ingresos financieros, reservas, capital de solvencia.</t>
  </si>
  <si>
    <t>Las reservas son la magnitud clave y son estimaciones. El FCFF es problemático por la misma razón que en bancos.</t>
  </si>
  <si>
    <t>Excess Returns o Embedded Value / P/B contra ROE</t>
  </si>
  <si>
    <t>Suficiencia de las reservas</t>
  </si>
  <si>
    <t>REITs</t>
  </si>
  <si>
    <t>Ocupación, crecimiento de rentas, NOI, cap rates, valor de los inmuebles.</t>
  </si>
  <si>
    <t>NO usar FCFF convencional: la depreciación contable no refleja el consumo económico del inmueble. Se usa FFO y AFFO.</t>
  </si>
  <si>
    <t>NAV o múltiplo de AFFO / DCF por inmueble</t>
  </si>
  <si>
    <t>Cap rates y valor de los activos</t>
  </si>
  <si>
    <t>Petróleo y gas</t>
  </si>
  <si>
    <t>Producción, reservas, precio realizado, costes de extracción, tasas de declive, capex de desarrollo y exploración.</t>
  </si>
  <si>
    <t>NO proyectar el precio con el spot del día: se usan precios normalizados de largo plazo, curvas forward y escenarios. Las reservas son finitas.</t>
  </si>
  <si>
    <t>NAV por activo y DCF con escenarios de precio / Comparables</t>
  </si>
  <si>
    <t>Ciclo de la materia prima</t>
  </si>
  <si>
    <t>Minería</t>
  </si>
  <si>
    <t>Volumen de producción, ley del mineral, recuperación, precio, AISC, vida de la mina, capex de sostenimiento y expansión.</t>
  </si>
  <si>
    <t>La mina tiene VIDA FINITA: no se puede extender el FCF a perpetuidad. Se valora proyecto a proyecto.</t>
  </si>
  <si>
    <t>NAV por mina o proyecto / DCF</t>
  </si>
  <si>
    <t>Precio de la materia prima y vida de la mina</t>
  </si>
  <si>
    <t>Utilities</t>
  </si>
  <si>
    <t>Base de activos regulada, ROE permitido, crecimiento de la base tarifaria, capex regulatorio.</t>
  </si>
  <si>
    <t>El crecimiento está LIMITADO por regulación, no por demanda. El retorno está fijado administrativamente.</t>
  </si>
  <si>
    <t>DCF con base regulada / Múltiplo de RAB</t>
  </si>
  <si>
    <t>Cambio regulatorio</t>
  </si>
  <si>
    <t>Telecomunicaciones</t>
  </si>
  <si>
    <t>Abonados, ARPU, churn, capex de red, espectro.</t>
  </si>
  <si>
    <t>Capex de red muy elevado y recurrente. Separar mantenimiento de expansión. Apalancamiento estructuralmente alto.</t>
  </si>
  <si>
    <t>Capex de red y competencia en precio</t>
  </si>
  <si>
    <t>Aerolíneas</t>
  </si>
  <si>
    <t>Pasajeros, factor de ocupación, yield, ASK y RPK, coste del combustible, flota.</t>
  </si>
  <si>
    <t>Los arrendamientos son materialmente relevantes y no se pueden ignorar. Coste del combustible muy volátil. Ciclicidad alta.</t>
  </si>
  <si>
    <t>FCFF DCF con leases capitalizados / EV/EBITDAR</t>
  </si>
  <si>
    <t>Arrendamientos y combustible</t>
  </si>
  <si>
    <t>Automoción</t>
  </si>
  <si>
    <t>Unidades, ASP, mix, penetración del vehículo eléctrico, incentivos, materias primas.</t>
  </si>
  <si>
    <t>Ciclicidad marcada, capex e I+D elevados, circulante importante. NO extrapolar el margen de un año excepcional.</t>
  </si>
  <si>
    <t>DCF con ciclo normalizado / EV/EBITDA</t>
  </si>
  <si>
    <t>Normalización del ciclo y transición eléctrica</t>
  </si>
  <si>
    <t>Farma madura</t>
  </si>
  <si>
    <t>Ventas por producto, expiración de patentes, cartera de proyectos (pipeline), curvas de lanzamiento.</t>
  </si>
  <si>
    <t>El acantilado de patentes es un evento previsible que DEBE modelarse producto a producto.</t>
  </si>
  <si>
    <t>FCFF DCF por producto / P/E</t>
  </si>
  <si>
    <t>Expiración de patentes</t>
  </si>
  <si>
    <t>Biotecnología</t>
  </si>
  <si>
    <t>Probabilidad de éxito por fase, hitos regulatorios, curvas de lanzamiento, coste de I+D.</t>
  </si>
  <si>
    <t>El FCFF corporativo NO sirve: los resultados son binarios. Se valora por proyecto ponderando probabilidad.</t>
  </si>
  <si>
    <t>rNPV (DCF ponderado por probabilidad) / SOTP</t>
  </si>
  <si>
    <t>Probabilidad de éxito</t>
  </si>
  <si>
    <t>Media / Entretenimiento</t>
  </si>
  <si>
    <t>Abonados, ARPU, engagement, publicidad, churn.</t>
  </si>
  <si>
    <t>El contenido capitalizado y su amortización son la partida clave. Los derechos deportivos son compromisos plurianuales fuera de balance.</t>
  </si>
  <si>
    <t>FCFF DCF con contenido tratado como capex / EV/Abonado</t>
  </si>
  <si>
    <t>Coste de contenido y churn</t>
  </si>
  <si>
    <t>Inmobiliario</t>
  </si>
  <si>
    <t>Ocupación, rentas, cap rate, cartera de desarrollo, deuda.</t>
  </si>
  <si>
    <t>El DCF corporativo puede OCULTAR el valor de los activos: un inmueble revalorizado no aparece en la cuenta de resultados.</t>
  </si>
  <si>
    <t>NAV o DCF por inmueble / Corporate DCF</t>
  </si>
  <si>
    <t>Cap rates</t>
  </si>
  <si>
    <t>Conglomerados</t>
  </si>
  <si>
    <t>Por segmento: ingresos, EBIT, margen, crecimiento.</t>
  </si>
  <si>
    <t>Un único WACC para todo el grupo suele ser INCORRECTO porque los segmentos tienen riesgos distintos. Se valora segmento a segmento y se resta el coste corporativo.</t>
  </si>
  <si>
    <t>Sum-of-the-Parts / DCF consolidado</t>
  </si>
  <si>
    <t>Hipótesis por segmento y descuento de holding</t>
  </si>
  <si>
    <t>Cíclicas</t>
  </si>
  <si>
    <t>Volumen y precio normalizados a mitad de ciclo.</t>
  </si>
  <si>
    <t>El error definitorio es tomar el último margen observado como margen normal. Hay que situar el año actual en el ciclo: pico, valle o medio.</t>
  </si>
  <si>
    <t>DCF con economía normalizada a mitad de ciclo / Múltiplos mid-cycle</t>
  </si>
  <si>
    <t>Alto crecimiento sin beneficio</t>
  </si>
  <si>
    <t>Unit economics, convergencia de márgenes, transición de ingreso a beneficio.</t>
  </si>
  <si>
    <t>EBIT o FCFF negativos NO obligan a abandonar el DCF: obligan a alargar el horizonte y a explicitar la incertidumbre. ORACLE ESTÁ HOY EN ESTA CATEGORÍA por su FCFF negativo.</t>
  </si>
  <si>
    <t>DCF de larga duración / EV/Revenue</t>
  </si>
  <si>
    <t>Valor terminal: casi todo el valor está ahí</t>
  </si>
  <si>
    <t>Startups / fase inicial</t>
  </si>
  <si>
    <t>Árbol de escenarios ponderado por probabilidad.</t>
  </si>
  <si>
    <t>El DCF es extremadamente sensible. NO ignorar las futuras ampliaciones de capital y la dilución que implican.</t>
  </si>
  <si>
    <t>Valoración ponderada por escenarios / Múltiplos de transacciones</t>
  </si>
  <si>
    <t>Dilución futura y financiación</t>
  </si>
  <si>
    <t>Productores de materias primas</t>
  </si>
  <si>
    <t>Volumen y precio con escenarios bajo, base y alto.</t>
  </si>
  <si>
    <t>NO usar únicamente el precio spot. Se construyen escenarios de precio explícitos.</t>
  </si>
  <si>
    <t>DCF con escenarios de precio / NAV</t>
  </si>
  <si>
    <t>Precio de la materia prima</t>
  </si>
  <si>
    <t>Compañías extranjeras</t>
  </si>
  <si>
    <t>Los del sector, más divisa.</t>
  </si>
  <si>
    <t>Consistencia obligatoria entre la moneda del flujo y la del WACC. Tipo libre de riesgo local, prima de riesgo país, inflación local y controles de capital.</t>
  </si>
  <si>
    <t>La del sector, con ajuste de divisa y riesgo país</t>
  </si>
  <si>
    <t>Divisa y riesgo país</t>
  </si>
  <si>
    <t>MATRIZ DE DECISIÓN RESUMIDA</t>
  </si>
  <si>
    <t>Situación</t>
  </si>
  <si>
    <t>Metodología principal</t>
  </si>
  <si>
    <t>Metodología secundaria</t>
  </si>
  <si>
    <t>Empresa madura y estable</t>
  </si>
  <si>
    <t>FCFF DCF</t>
  </si>
  <si>
    <t>Comparables</t>
  </si>
  <si>
    <t>Hipótesis terminales</t>
  </si>
  <si>
    <t>DCF por drivers</t>
  </si>
  <si>
    <t>EV/Revenue</t>
  </si>
  <si>
    <t>SBC y crecimiento</t>
  </si>
  <si>
    <t>Banco</t>
  </si>
  <si>
    <t>Excess Returns</t>
  </si>
  <si>
    <t>P/B contra ROTE</t>
  </si>
  <si>
    <t>Excess Returns / Embedded Value</t>
  </si>
  <si>
    <t>P/B contra ROE</t>
  </si>
  <si>
    <t>Suficiencia de reservas</t>
  </si>
  <si>
    <t>REIT</t>
  </si>
  <si>
    <t>NAV / AFFO</t>
  </si>
  <si>
    <t>DCF por inmueble</t>
  </si>
  <si>
    <t>NAV por activo</t>
  </si>
  <si>
    <t>DCF</t>
  </si>
  <si>
    <t>Precio de la materia prima y vida de mina</t>
  </si>
  <si>
    <t>NAV con escenarios de precio</t>
  </si>
  <si>
    <t>rNPV</t>
  </si>
  <si>
    <t>SOTP</t>
  </si>
  <si>
    <t>Conglomerado</t>
  </si>
  <si>
    <t>Sum-of-the-Parts</t>
  </si>
  <si>
    <t>DCF consolidado</t>
  </si>
  <si>
    <t>Hipótesis por segmento</t>
  </si>
  <si>
    <t>Cíclica</t>
  </si>
  <si>
    <t>DCF normalizado a mitad de ciclo</t>
  </si>
  <si>
    <t>Múltiplos mid-cycle</t>
  </si>
  <si>
    <t>Alto crecimiento</t>
  </si>
  <si>
    <t>DCF de larga duración</t>
  </si>
  <si>
    <t>Peso del valor terminal</t>
  </si>
  <si>
    <t>Utility regulada</t>
  </si>
  <si>
    <t>DCF sobre base regulada</t>
  </si>
  <si>
    <t>Múltiplo de RAB</t>
  </si>
  <si>
    <t>ORACLE (FY2026)</t>
  </si>
  <si>
    <t>FCFF DCF de larga duración con capex modelado explícitamente</t>
  </si>
  <si>
    <t>SOTP por segmentos + múltiplo de salida + Reverse DCF</t>
  </si>
  <si>
    <t>FCFF hoy negativo y valor terminal al 66% del EV</t>
  </si>
  <si>
    <t>NOTA SOBRE EL WACC SECTORIAL</t>
  </si>
  <si>
    <t>No debe usarse el mismo WACC para todas las compañías ni para todos los segmentos de una misma compañía. Los determinantes son: riesgo de negocio, apalancamiento, ciclicidad, geografía, riesgo regulatorio, exposición a materias primas, tamaño y estabilidad operativa. En multinacionales hay que añadir prima de riesgo país ponderada por la exposición real de los flujos, no por el domicilio social. En Oracle, aplicar el mismo WACC al negocio de soporte de licencias (renta madura y predecible) y al de infraestructura cloud (capital intensivo y de ejecución incierta) es una simplificación que el SOTP de la hoja '12 SOTP' permite contrastar.</t>
  </si>
  <si>
    <t>MANUAL IV — ERRORES DE DOBLE CONTABILIZACIÓN, ILUSIÓN DE PRECISIÓN Y MANTENIMIENTO</t>
  </si>
  <si>
    <t>A. ERRORES DE DOBLE CONTABILIZACIÓN</t>
  </si>
  <si>
    <t>Error</t>
  </si>
  <si>
    <t>Causa</t>
  </si>
  <si>
    <t>Consecuencia</t>
  </si>
  <si>
    <t>Detección</t>
  </si>
  <si>
    <t>Contar la deuda dos veces</t>
  </si>
  <si>
    <t>Restar la deuda del Equity Value y además haber descontado los intereses dentro del flujo (usar FCFE y restar deuda).</t>
  </si>
  <si>
    <t>Infravaloración grave del equity. En Oracle, 129.541 millones sobre 2.914 acciones son 44 dólares por acción.</t>
  </si>
  <si>
    <t>Si el flujo descontado es posterior a intereses, el descuento debe ser al Ke y NO se resta deuda.</t>
  </si>
  <si>
    <t>Elegir FCFF con WACC y restar deuda, o FCFE con Ke sin restar deuda.</t>
  </si>
  <si>
    <t>Contar los arrendamientos dos veces</t>
  </si>
  <si>
    <t>Restar el pasivo del lease operativo del Equity Value manteniendo el gasto del lease dentro del EBIT.</t>
  </si>
  <si>
    <t>Doble penalización. En Oracle, 30.190 millones son unos 10,4 dólares por acción.</t>
  </si>
  <si>
    <t>Comprobar si el EBIT está antes o después del coste del lease.</t>
  </si>
  <si>
    <t>Convención declarada y completa. Demostración cuantificada en '11 Cross Check' filas 16-22. Control 44.</t>
  </si>
  <si>
    <t>Contar el SBC dos veces (o ninguna)</t>
  </si>
  <si>
    <t>Readicionar el SBC al flujo por no ser caja y además no aumentar el número de acciones.</t>
  </si>
  <si>
    <t>Sobrevaloración sistemática. Es el error más frecuente en software.</t>
  </si>
  <si>
    <t>¿Aparece el SBC como readición en el flujo? Entonces el número de acciones debe crecer.</t>
  </si>
  <si>
    <t>Tratamiento A: gasto real, sin dilución adicional. Declarado en '02 Assumptions'!C15. Control 49.</t>
  </si>
  <si>
    <t>Contar la caja dos veces</t>
  </si>
  <si>
    <t>Sumar toda la caja al Equity Value y además haber incluido los ingresos financieros que genera dentro del flujo operativo.</t>
  </si>
  <si>
    <t>Sobrevaloración.</t>
  </si>
  <si>
    <t>Revisar si el resultado no operativo está dentro del EBIT proyectado.</t>
  </si>
  <si>
    <t>Excluir el resultado no operativo del FCFF (fila 4 de la tabla de normalización) y sumar solo la caja excedente.</t>
  </si>
  <si>
    <t>Contar los minoritarios dos veces</t>
  </si>
  <si>
    <t>Restar los minoritarios del Equity Value y además haber excluido su parte del EBIT.</t>
  </si>
  <si>
    <t>Infravaloración.</t>
  </si>
  <si>
    <t>¿El EBIT proyectado es consolidado al 100% o neto de minoritarios?</t>
  </si>
  <si>
    <t>EBIT consolidado en el flujo y minoritarios restados una sola vez en el puente. Control 45.</t>
  </si>
  <si>
    <t>Contar las preferentes dos veces</t>
  </si>
  <si>
    <t>Restar el valor de las preferentes convertibles y además añadir las acciones de conversión al denominador.</t>
  </si>
  <si>
    <t>Doble contabilización de la dilución. En Oracle, 4.954 millones.</t>
  </si>
  <si>
    <t>Revisar si el número de acciones incluye la conversión.</t>
  </si>
  <si>
    <t>Elegir: restar valor O convertir. Control 46.</t>
  </si>
  <si>
    <t>Contar las pensiones dos veces</t>
  </si>
  <si>
    <t>Restar el déficit de pensiones como partida de deuda y además haber deducido las aportaciones del flujo operativo.</t>
  </si>
  <si>
    <t>Doble penalización.</t>
  </si>
  <si>
    <t>¿Están las aportaciones dentro del CFO proyectado?</t>
  </si>
  <si>
    <t>O se trata como deuda (y se excluyen las aportaciones del flujo) o se modela en el flujo (y no se resta).</t>
  </si>
  <si>
    <t>Contar las adquisiciones dos veces</t>
  </si>
  <si>
    <t>Incluir el crecimiento que aportan futuras adquisiciones sin restar el coste de adquirirlas.</t>
  </si>
  <si>
    <t>Crecimiento gratis: el error conceptualmente más grave.</t>
  </si>
  <si>
    <t>¿El crecimiento proyectado es orgánico o incluye M&amp;A?</t>
  </si>
  <si>
    <t>Este modelo proyecta SOLO crecimiento orgánico. No se incluyen adquisiciones futuras arbitrarias para justificar crecimiento.</t>
  </si>
  <si>
    <t>Contar el fondo de comercio</t>
  </si>
  <si>
    <t>Tratar el fondo de comercio como activo no operativo y sumarlo al Enterprise Value.</t>
  </si>
  <si>
    <t>Sobrevaloración: el fondo de comercio ya está representado en los flujos que generan los negocios adquiridos.</t>
  </si>
  <si>
    <t>¿Se ha sumado el goodwill al puente?</t>
  </si>
  <si>
    <t>No se suma nunca. Solo es relevante si hay deterioro, que se trata como no recurrente.</t>
  </si>
  <si>
    <t>B. LA ILUSIÓN DE PRECISIÓN DEL DCF</t>
  </si>
  <si>
    <t>El problema</t>
  </si>
  <si>
    <t>Qué dice realmente</t>
  </si>
  <si>
    <t>Fuente de la imprecisión 1: el valor terminal</t>
  </si>
  <si>
    <t>El 66% del Enterprise Value está en el valor terminal, es decir, en los flujos posteriores a FY2036. Ningún dato observable respalda esa parte: depende de g, del ROIC terminal y del WACC.</t>
  </si>
  <si>
    <t>Fuente de la imprecisión 2: el FCFF actual es negativo</t>
  </si>
  <si>
    <t>Oracle generó un FCFF de aproximadamente −23.686 millones en FY2026 (CFO de 31.977 menos capex de 55.663). Todo el valor del modelo depende de que ese flujo se vuelva positivo y crezca. Eso es una hipótesis, no una observación.</t>
  </si>
  <si>
    <t>Fuente de la imprecisión 3: los inputs de mercado</t>
  </si>
  <si>
    <t>Sobre el margen de seguridad</t>
  </si>
  <si>
    <t>Sobre Monte Carlo</t>
  </si>
  <si>
    <t>Se puede simular el WACC, el crecimiento, los márgenes y el capex con distribuciones y correlaciones explícitas. Pero si las distribuciones son arbitrarias, la simulación produce falsa precisión estadística sobre hipótesis inventadas. Solo aporta valor si las distribuciones están fundamentadas y las correlaciones entre drivers están modeladas (crecimiento alto implica capex alto).</t>
  </si>
  <si>
    <t>Formulación correcta del resultado</t>
  </si>
  <si>
    <t>No: 'Oracle vale X'. Sí: 'Bajo estos supuestos explícitos, el modelo produce este RANGO de valoración; estas son las variables que más lo explican (WACC y múltiplo terminal, según la jerarquía de drivers de 08 Sensitivity); y estas son las expectativas que el precio actual parece descontar (ver 10 Reverse DCF)'. La valoración debe ser condicional, trazable y falsable.</t>
  </si>
  <si>
    <t>C. RIESGOS: DÓNDE SE RECOGE CADA UNO</t>
  </si>
  <si>
    <t>Tipo de riesgo</t>
  </si>
  <si>
    <t>¿Se recoge en el flujo, en el escenario o en la tasa de descuento?</t>
  </si>
  <si>
    <t>Aplicación a Oracle</t>
  </si>
  <si>
    <t>Riesgo de negocio</t>
  </si>
  <si>
    <t>Flujo y escenarios. NO en el WACC.</t>
  </si>
  <si>
    <t>Que el capex comprometido no se convierta en ingresos: recogido en el escenario Bear (crecimiento menor con capex por unidad MAYOR).</t>
  </si>
  <si>
    <t>Riesgo financiero</t>
  </si>
  <si>
    <t>Parcialmente en el WACC vía estructura de capital objetivo; el resto en el escenario.</t>
  </si>
  <si>
    <t>Deuda de 129.541 millones y de 92.568 el año anterior. Si el apalancamiento no baja, el WACC real es superior: recogido con +100 pb en Bear.</t>
  </si>
  <si>
    <t>Riesgo de previsión</t>
  </si>
  <si>
    <t>Escenarios y rango, nunca en el WACC.</t>
  </si>
  <si>
    <t>Horizonte de 10 años con FCFF negativo el primer año: incertidumbre alta reconocida explícitamente.</t>
  </si>
  <si>
    <t>Riesgo de valoración</t>
  </si>
  <si>
    <t>Sensibilidades y rango.</t>
  </si>
  <si>
    <t>Rejillas de '08 Sensitivity' y jerarquía de drivers.</t>
  </si>
  <si>
    <t>Riesgo de modelo</t>
  </si>
  <si>
    <t>Auditoría. No es cuantificable con una prima.</t>
  </si>
  <si>
    <t>62 controles automáticos en '13 Checks'. Un modelo sin auditar tiene riesgo de modelo desconocido, no bajo.</t>
  </si>
  <si>
    <t>Riesgo contable</t>
  </si>
  <si>
    <t>Normalización y notas explícitas.</t>
  </si>
  <si>
    <t>Riesgo regulatorio</t>
  </si>
  <si>
    <t>Flujo si es cuantificable; escenario si no.</t>
  </si>
  <si>
    <t>Impuesto mínimo global y restricciones a la exportación de semiconductores: recogidos en el tipo de caja convergente y en el escenario.</t>
  </si>
  <si>
    <t>Riesgo de materia prima</t>
  </si>
  <si>
    <t>Flujo con escenarios de precio.</t>
  </si>
  <si>
    <t>No material en Oracle, salvo indirectamente vía coste de energía de los centros de datos.</t>
  </si>
  <si>
    <t>Riesgo de divisa</t>
  </si>
  <si>
    <t>Consistencia moneda-flujo-WACC y escenarios.</t>
  </si>
  <si>
    <t>Oracle reporta en dólares con exposición internacional; el modelo es íntegramente nominal en dólares.</t>
  </si>
  <si>
    <t>D. ACTUALIZACIÓN TRIMESTRAL Y CONTROL DE VERSIONES</t>
  </si>
  <si>
    <t>Al publicarse un nuevo 10-Q o 10-K: actualizar '03 Historical' con las cifras reportadas y volver a ejecutar los controles 1 a 8 de '13 Checks' ANTES de tocar cualquier hipótesis.</t>
  </si>
  <si>
    <t>Recalcular los últimos doce meses (LTM) y contrastar los drivers reales contra los proyectados: crecimiento por segmento, margen bruto, capex sobre ingresos, DSO y tipo de caja.</t>
  </si>
  <si>
    <t>Actualizar la guía de la dirección y el RPO. En Oracle el RPO es el driver principal del crecimiento Cloud: si el RPO se estanca, el vector de crecimiento debe revisarse a la baja.</t>
  </si>
  <si>
    <t>Revisar los inputs de mercado del WACC (tipo libre de riesgo, prima de riesgo, beta, coste marginal de la deuda) y documentar fuente y fecha en '07 WACC' filas 47-54.</t>
  </si>
  <si>
    <t>Revisar las hipótesis terminales. No se tocan cada trimestre por el ruido de un trimestre: solo si hay evidencia estructural.</t>
  </si>
  <si>
    <t>Comparar con la versión anterior y SEPARAR el cambio de precio del cambio de valor fundamental. Son dos cosas distintas y confundirlas es un error de disciplina.</t>
  </si>
  <si>
    <t>Atribución del cambio de valor: cuantificar cuánto del cambio viene de ingresos, márgenes, capex, circulante, WACC, crecimiento terminal, deuda neta y acciones. La tabla de abajo es la plantilla.</t>
  </si>
  <si>
    <t>PLANTILLA DE ATRIBUCIÓN DEL CAMBIO DE VALOR (rellenar en cada revisión)</t>
  </si>
  <si>
    <t>Valor anterior</t>
  </si>
  <si>
    <t>Valor actual</t>
  </si>
  <si>
    <t>Impacto en el valor por acción</t>
  </si>
  <si>
    <t>Proyección de ingresos</t>
  </si>
  <si>
    <t>Crecimiento terminal</t>
  </si>
  <si>
    <t>Deuda neta</t>
  </si>
  <si>
    <t>Número de acciones</t>
  </si>
  <si>
    <t>TOTAL (debe igualar el cambio observado)</t>
  </si>
  <si>
    <t>E. PRINCIPIO FINAL</t>
  </si>
  <si>
    <t>El objetivo de este libro no es producir 'Oracle vale X'. Es producir: bajo estos supuestos explícitos sobre crecimiento, márgenes, reinversión, riesgo, estructura de capital y valor terminal, el modelo produce este rango de valoración; estas son las variables que más lo explican; y estas son las expectativas que el precio actual parece descontar. La valoración debe ser CONDICIONAL (depende de hipótesis declaradas), TRAZABLE (cada número llega hasta su fuente) y FALSABLE (se puede demostrar que una hipótesis era errónea). Un modelo que no cumple las tres cosas no es un modelo de valoración: es una opinión con formato de hoja de cálculo.</t>
  </si>
  <si>
    <t>Errores de fórmula: REF, DIV/0, VALUE, NAME</t>
  </si>
  <si>
    <t xml:space="preserve">  EBITDA normalizado (EBIT normalizado + D&amp;A) — misma definición que '04 Operating Model' fila 39</t>
  </si>
  <si>
    <t xml:space="preserve">  EBITDA Margin normalizado</t>
  </si>
  <si>
    <t xml:space="preserve">  Capital invertido (PP&amp;E + NWC + fondo de comercio + ROU) — enlazado a '04 Operating Model' fila 63</t>
  </si>
  <si>
    <t xml:space="preserve">  ROIC (NOPAT norm. / capital invertido medio) — debe coincidir con '04 Operating Model' fila 64</t>
  </si>
  <si>
    <t>WACC ↓  /  Δ margen EBIT (p.p.) →</t>
  </si>
  <si>
    <t>WACC ↓  /  Δ capex sobre ingresos (p.p.) →</t>
  </si>
  <si>
    <t>WACC ↓  /  Δ tipo de caja (p.p.) →</t>
  </si>
  <si>
    <t xml:space="preserve">  DESPLAZAMIENTO DE MARGEN EBIT REQUERIDO (en puntos porcentuales)</t>
  </si>
  <si>
    <t xml:space="preserve">  DESPLAZAMIENTO DE CAPEX / INGRESOS REQUERIDO (en puntos porcentuales)</t>
  </si>
  <si>
    <t xml:space="preserve">  Diferencia (implícito − proyectado): brecha de coherencia, en p.p.</t>
  </si>
  <si>
    <t xml:space="preserve">  Acciones diluidas a la fecha de valoración = en circulación a cierre + equivalentes dilutivos</t>
  </si>
  <si>
    <t xml:space="preserve">  NOTA sobre el número de acciones: NO se usa la media ponderada diluida del ejercicio (2.914), que es una media de doce meses ya pasados. Se usan las acciones en circulación a cierre (2.880, portada del 10-K a 12/06/2026) más los equivalentes dilutivos implícitos en la diferencia entre la media diluida y la media básica (2.914 − 2.860 = 54). No se añaden acciones por la conversión de las preferentes porque su valor se resta del Equity Value: ver regla de no doble contabilización.</t>
  </si>
  <si>
    <t xml:space="preserve">  FECHA DE ÚLTIMA ACTUALIZACIÓN DE LOS INPUTS DE MERCADO (introducir dd/mm/aaaa)</t>
  </si>
  <si>
    <t xml:space="preserve">  Mientras esta celda esté vacía, el control 66 de '13 Checks' permanecerá en AVISO: el WACC no es defendible sin fuente y fecha.</t>
  </si>
  <si>
    <t>Leases operativos NO restados en el puente (coherente con el tratamiento operativo)</t>
  </si>
  <si>
    <t>0 apariciones</t>
  </si>
  <si>
    <t>El pasivo por leases operativos aparece restado en el puente aunque su coste ya está dentro del EBIT</t>
  </si>
  <si>
    <t>Inputs de mercado del WACC fechados y documentados ('07 WACC'!C56)</t>
  </si>
  <si>
    <t>Fecha introducida</t>
  </si>
  <si>
    <t>Años de forecast declarados = columnas de proyección del modelo (G:P)</t>
  </si>
  <si>
    <t>Se cambia '02 Assumptions'!C11 sin añadir o quitar columnas</t>
  </si>
  <si>
    <t>El factor de descuento del valor terminal usa un número de años equivocado</t>
  </si>
  <si>
    <t>Devolver C11 a 10 o reconstruir las columnas de proyección</t>
  </si>
  <si>
    <t>Solape declarado: variación de proveedores ligada a capex frente al FCFF</t>
  </si>
  <si>
    <t>&lt; 5% del FCFF</t>
  </si>
  <si>
    <t>Los proveedores se modelan sobre coste de ingresos MÁS capex, mientras el capex del FCFF es capex de caja: la parte de la variación de proveedores ligada a capex se cuenta dos veces</t>
  </si>
  <si>
    <t>Sobreestimación del FCFF por el importe cuantificado en '04 Operating Model' fila 71</t>
  </si>
  <si>
    <t>Si el solape supera el 5% del FCFF, separar los proveedores operativos de los ligados a capex y excluir estos últimos del circulante</t>
  </si>
  <si>
    <t xml:space="preserve">  De la cual: variación de proveedores ligada al capex (solape con el capex de caja)</t>
  </si>
  <si>
    <t xml:space="preserve">  ADVERTENCIA METODOLÓGICA: los proveedores se modelan sobre (coste de ingresos + capex) porque así reproducen el saldo real del balance (10.977 en FY2026, impulsado por equipamiento de centros de datos). Pero el capex del FCFF es capex de CAJA, por lo que la parte de la variación de proveedores atribuible al capex se solapa con él. La fila 71 cuantifica ese solape y el control 68 de '13 Checks' vigila que no supere el 5% del FCFF. Si lo supera, hay que separar proveedores operativos (sobre DPO del coste de ingresos) de proveedores ligados a capex y excluir estos últimos del circulante.</t>
  </si>
  <si>
    <t>Multiplicador del crecimiento de ingresos Cloud</t>
  </si>
  <si>
    <t>El crecimiento Cloud se ajusta como MULTIPLICADOR y no como desplazamiento en puntos porcentuales. Razón: un delta plano de −8 p.p. aplicado a un vector que termina en el 4% produciría decrecimiento en el año 10 mientras el valor terminal asume crecimiento perpetuo positivo. Eso sería una incoherencia interna. El multiplicador preserva la FORMA de la curva de desaceleración y solo cambia su intensidad. El resto de los segmentos sí usa desplazamiento en p.p. porque sus tasas base están próximas a cero y un multiplicador no tendría efecto.</t>
  </si>
  <si>
    <t xml:space="preserve">  Cloud — crecimiento ACTIVO (Base × multiplicador de escenario)</t>
  </si>
  <si>
    <t>Crecimiento de ingresos del año 10 ≥ crecimiento terminal g (convergencia coherente)</t>
  </si>
  <si>
    <t>El vector de crecimiento cae por debajo de g antes de llegar al valor terminal</t>
  </si>
  <si>
    <t>El valor terminal asume una reaceleración perpetua que el forecast contradice</t>
  </si>
  <si>
    <t>Elevar el crecimiento del año 10, bajar g, o alargar el horizonte hasta que converjan</t>
  </si>
  <si>
    <t xml:space="preserve">  (−) Costes corporativos capitalizados (G&amp;A FY2029E × múltiplo corporativo)</t>
  </si>
  <si>
    <t>Múltiplo →</t>
  </si>
  <si>
    <t xml:space="preserve">  (−) I+D no asignado — SE DEJA A CERO: ya está soportado por los márgenes de segmento de las filas 7-10. Restarlo aquí sería doble contabilización.</t>
  </si>
  <si>
    <t>Los márgenes de las filas 9-12 son márgenes operativos DE SEGMENTO ANTES de costes corporativos: soportan su propio I+D y su propia fuerza comercial, pero no la estructura central. Por eso el coste corporativo se resta una vez (fila 13) y el I+D no se resta otra vez (fila 14).</t>
  </si>
  <si>
    <t>Ver la instantánea de los tres escenarios en E13:I21 →</t>
  </si>
  <si>
    <t>BASE</t>
  </si>
  <si>
    <t>Equity Value</t>
  </si>
  <si>
    <t>Valor intrínseco por acción</t>
  </si>
  <si>
    <t>Crecimiento terminal g</t>
  </si>
  <si>
    <t>Múltiplo de salida implícito</t>
  </si>
  <si>
    <t>Ingresos FY2036E</t>
  </si>
  <si>
    <t>nº</t>
  </si>
  <si>
    <t>PARTE VII — TABLA MAESTRA DE FÓRMULAS: LA FÓRMULA EXACTA DE CADA BLOQUE DE ESTE LIBRO</t>
  </si>
  <si>
    <t>Bloque</t>
  </si>
  <si>
    <t>Fórmula financiera</t>
  </si>
  <si>
    <t>Significado económico</t>
  </si>
  <si>
    <t>Fórmula Excel usada en este libro</t>
  </si>
  <si>
    <t>Ejemplo con las cifras del modelo</t>
  </si>
  <si>
    <t>Error frecuente</t>
  </si>
  <si>
    <t>Excepciones sectoriales</t>
  </si>
  <si>
    <t>Ingresos por segmento</t>
  </si>
  <si>
    <t>Ingresos(t) = Ingresos(t−1) × (1 + g_segmento(t))</t>
  </si>
  <si>
    <t>El crecimiento se define por segmento porque cada uno tiene su propio motor económico. Agregar un único crecimiento oculta que Cloud crece al 50% y Software está plano.</t>
  </si>
  <si>
    <t>El crecimiento se define por segmento porque cada uno tiene su propio motor económico. Un crecimiento agregado oculta que Cloud crece al 50% y Software está plano.</t>
  </si>
  <si>
    <t>='04 Operating Model'!F7*(1+'02 Assumptions'!G20)   y el total   =SUM(G7:G10)</t>
  </si>
  <si>
    <t>Cloud FY2027 = 33.989 × (1 + 50%) = 50.984</t>
  </si>
  <si>
    <t>Proyectar un crecimiento agregado sin abrir por segmento, o extrapolar el CAGR de 3 años.</t>
  </si>
  <si>
    <t>SaaS: clientes × ARPU, o ARR × NRR. Retail: tiendas × ingreso por tienda. Marketplaces: GMV × take rate, NUNCA el GMV. Banca: crecimiento del crédito × margen de intereses.</t>
  </si>
  <si>
    <t>Margen bruto = Ingresos × Gross Margin%;  Coste de ingresos = Ingresos − Margen bruto</t>
  </si>
  <si>
    <t>Se proyecta el MARGEN y se deriva el coste, no al revés, porque el margen es la variable con contenido económico: mix, precio e intensidad de capital.</t>
  </si>
  <si>
    <t>=G11*G16   donde   G16 ='02 Assumptions'!G30</t>
  </si>
  <si>
    <t>FY2029: 135.677 × 56,5% = 76.657</t>
  </si>
  <si>
    <t>Proyectar el coste como porcentaje fijo y dejar que el margen salga por residuo, perdiendo el control de la hipótesis clave.</t>
  </si>
  <si>
    <t>Software puro: 80-90%. IaaS: 40-60%, porque la depreciación del centro de datos está en el coste. Industriales: 20-35%. Bancos: el concepto no aplica.</t>
  </si>
  <si>
    <t>Gastos operativos y apalancamiento operativo</t>
  </si>
  <si>
    <t>Gasto(t) = Ingresos(t) × (Gasto/Ingresos)(t), con el ratio decreciente</t>
  </si>
  <si>
    <t>Los costes de estructura ya instalados se diluyen sobre una base de ingresos creciente. Es la ÚNICA palanca de margen que usa este modelo.</t>
  </si>
  <si>
    <t>=G11*'02 Assumptions'!G32   (ventas y marketing; análogo para I+D y G&amp;A)</t>
  </si>
  <si>
    <t>I+D FY2030 = 163.447 × 13,3% = 21.738</t>
  </si>
  <si>
    <t>Hacer crecer el gasto al mismo ritmo que los ingresos, lo que elimina el apalancamiento, o congelarlo en términos absolutos, lo que lo exagera.</t>
  </si>
  <si>
    <t>Utilities: el gasto está regulado. Biotech: el I+D NO se diluye, es el producto. Aerolíneas: el combustible es variable puro, sin apalancamiento.</t>
  </si>
  <si>
    <t>EBIT normalizado</t>
  </si>
  <si>
    <t>EBIT normalizado = EBIT reportado + partidas no recurrentes</t>
  </si>
  <si>
    <t>Aísla la capacidad de generación sostenible. Es la base correcta del FCFF porque el valor depende del beneficio repetible, no del de un año concreto.</t>
  </si>
  <si>
    <t>=G27+G25   (readiendo la reestructuración normalizada)</t>
  </si>
  <si>
    <t>FY2026: 20.606 + 1.838 = 22.444</t>
  </si>
  <si>
    <t>Normalizar el gasto en el EBIT y OLVIDAR restar su salida de caja del FCFF. Este modelo la resta en '06 DCF' fila 14.</t>
  </si>
  <si>
    <t>Cíclicas: normalizar además al margen de mitad de ciclo. Mineras y petroleras: normalizar también el precio de la materia prima.</t>
  </si>
  <si>
    <t>Impuestos y NOPAT</t>
  </si>
  <si>
    <t>NOPAT = EBIT normalizado × (1 − tipo impositivo de caja)</t>
  </si>
  <si>
    <t>El FCFF parte del EBIT y no del beneficio neto porque el flujo pertenece a TODOS los proveedores de capital, antes de la financiación. Por eso el impuesto va sobre el EBIT.</t>
  </si>
  <si>
    <t>=-G7*G8   (impuesto)   y   =G7+G9   (NOPAT)</t>
  </si>
  <si>
    <t>FY2027: 26.623 × (1 − 14%) = 22.896</t>
  </si>
  <si>
    <t>Usar el tipo efectivo reportado a perpetuidad, o aplicar el impuesto sobre el BAI, que ya está después de intereses y contaminaría el FCFF con la estructura de capital.</t>
  </si>
  <si>
    <t>Con NOLs materiales: modelar el escudo hasta agotarlo. Navieras: regímenes de tonelaje o tipos fijos.</t>
  </si>
  <si>
    <t>Depreciación (roll-forward de PP&amp;E)</t>
  </si>
  <si>
    <t>Depreciación(t) = [PP&amp;E(t−1) + Capex(t)/2] / vida útil;  PP&amp;E(t) = PP&amp;E(t−1) + Capex(t) − Depreciación(t)</t>
  </si>
  <si>
    <t>El medio capex refleja que los activos entran en servicio a lo largo del ejercicio, no el día 1. Es el único método fiable cuando el capex supera la base de activos existente.</t>
  </si>
  <si>
    <t>=(G33+G34/2)/'02 Assumptions'!$C$43   y   =G33+G34-G36</t>
  </si>
  <si>
    <t>FY2027: (99.957 + 51.869/2) / 8 = 15.736</t>
  </si>
  <si>
    <t>Usar D&amp;A como porcentaje fijo de los ingresos: con el capex de Oracle multiplicándose, subestima gravemente la depreciación futura.</t>
  </si>
  <si>
    <t>Mineras: amortización por unidad de producción. Media: según curva de consumo del contenido. Inmobiliario: la depreciación contable no refleja el consumo económico.</t>
  </si>
  <si>
    <t>Capex(t) = Ingresos(t) × (Capex/Ingresos)(t) × multiplicador de escenario</t>
  </si>
  <si>
    <t>El capex tiene su propio driver, independiente de la depreciación. En una empresa que construye capacidad, ligarlo a la depreciación es circular y falso.</t>
  </si>
  <si>
    <t>=G11*'02 Assumptions'!G42   donde   G42 =G41*'09 Scenarios'!$G$13</t>
  </si>
  <si>
    <t>FY2027: 86.449 × 60% = 51.869</t>
  </si>
  <si>
    <t>Asumir Capex = D&amp;A. En Oracle eso convertiría un FCFF negativo en muy positivo de un plumazo.</t>
  </si>
  <si>
    <t>Mineras: capex de sostenimiento frente a capex de expansión, separados. Utilities: capex regulatorio con retorno garantizado. Retail: capex por apertura de tienda.</t>
  </si>
  <si>
    <t>Circulante por drivers</t>
  </si>
  <si>
    <t>Clientes = DSO/365 × Ingresos;  Proveedores = %(coste + capex);  Ingresos diferidos = % Ingresos</t>
  </si>
  <si>
    <t>Cada partida del circulante tiene su propio driver operativo. Un porcentaje genérico de ingresos pierde la señal de gestión y no permite diagnosticar nada.</t>
  </si>
  <si>
    <t>='02 Assumptions'!G48/365*G11   (clientes)   y   =(G18+G34)*'02 Assumptions'!G49   (proveedores)</t>
  </si>
  <si>
    <t>Clientes FY2027 = 56/365 × 86.449 = 13.262</t>
  </si>
  <si>
    <t>Usar NWC = % de ingresos cuando existen DSO, DIO y DPO observables.</t>
  </si>
  <si>
    <t>Industriales: DIO crítico por obra en curso. Retail: DPO muy alto y DSO casi nulo. Bancos: el circulante no aplica.</t>
  </si>
  <si>
    <t>Variación del NWC</t>
  </si>
  <si>
    <t>NWC = activos operativos corrientes − pasivos operativos corrientes;  ΔNWC = NWC(t) − NWC(t−1)</t>
  </si>
  <si>
    <t>Un ΔNWC positivo CONSUME caja; uno negativo la GENERA. En negocios de cobro anticipado el crecimiento genera caja por circulante, y eso es real.</t>
  </si>
  <si>
    <t>=G44+G45-G46-G47-G48-G49   (NWC)   y   =G50-F50   (ΔNWC)</t>
  </si>
  <si>
    <t>NWC FY2026 = −19.272, es decir, los clientes financian a Oracle</t>
  </si>
  <si>
    <t>Forzar el NWC a positivo porque 'el circulante negativo parece un error', destruyendo una fuente real de caja.</t>
  </si>
  <si>
    <t>Marketplaces y suscripción: NWC estructuralmente negativo. Industriales con obra en curso: muy positivo.</t>
  </si>
  <si>
    <t>FCFF = NOPAT + D&amp;A − Capex − ΔNWC − costes en caja no recurrentes</t>
  </si>
  <si>
    <t>El flujo disponible para TODOS los proveedores de capital, antes de intereses y dividendos. Por eso se descuenta al WACC y no al coste de los recursos propios.</t>
  </si>
  <si>
    <t>=SUM(G10:G14)</t>
  </si>
  <si>
    <t>FY2027: 22.896 + 17.036 − 51.869 − (−2.705) − 600 = −9.780</t>
  </si>
  <si>
    <t>Partir del beneficio neto (ya después de intereses) o tratar el EBITDA como si fuera FCFF.</t>
  </si>
  <si>
    <t>Bancos: sustituir por FCFE o Excess Returns. REITs: usar AFFO. Petroleras: separar el capex de exploración del de desarrollo.</t>
  </si>
  <si>
    <t>Factor de descuento</t>
  </si>
  <si>
    <t>FD(t) = 1 / (1 + WACC)^t, con t = n − 0,5 en convención de mitad de año</t>
  </si>
  <si>
    <t>Los flujos se generan a lo largo del ejercicio, no el último día. La convención de mitad de año evita penalizar medio año de flujo de forma artificial.</t>
  </si>
  <si>
    <t>=COLUMNS($G20:G20)-IF('02 Assumptions'!$C$12=2,0.5,0)   y   =1/(1+G21)^G20</t>
  </si>
  <si>
    <t>FY2027: t = 0,5; FD = 1 / 1,087495^0,5 = 0,9589</t>
  </si>
  <si>
    <t>Aplicar la convención de mitad de año también al VALOR TERMINAL. El VT es un stock medido al cierre del año 10 y se descuenta al año completo.</t>
  </si>
  <si>
    <t>Negocios con fuerte estacionalidad de caja: puede convenir descuento trimestral.</t>
  </si>
  <si>
    <t>Coste de los recursos propios (CAPM)</t>
  </si>
  <si>
    <t>Ke = Rf + Beta × ERP + primas adicionales</t>
  </si>
  <si>
    <t>Retorno exigido por el accionista: el tipo sin riesgo más una compensación por el riesgo sistemático que no puede diversificar.</t>
  </si>
  <si>
    <t>='07 WACC'!C5+C7*C6+C8</t>
  </si>
  <si>
    <t>4,20% + 1,20 × 4,75% + 0,00% = 9,90%</t>
  </si>
  <si>
    <t>Mezclar una prima de riesgo histórica con un tipo sin riesgo actual sin criterio, o usar una beta de hace cinco años en una empresa cuyo riesgo ha cambiado.</t>
  </si>
  <si>
    <t>Mercados emergentes: añadir prima de riesgo país ponderada por la exposición REAL de los flujos, no por el domicilio social.</t>
  </si>
  <si>
    <t>Beta desapalancada y reapalancada</t>
  </si>
  <si>
    <t>βu = βL / [1 + (1−T) × D/E];   βre = βu × [1 + (1−T) × D/E objetivo]</t>
  </si>
  <si>
    <t>Separa el riesgo del NEGOCIO del riesgo del APALANCAMIENTO. Permite usar betas de comparables con estructuras de capital distintas y reapalancarlas a la estructura objetivo.</t>
  </si>
  <si>
    <t>=C12/(1+(1-C14)*C13)   y   =C15*(1+(1-C14)*C16)</t>
  </si>
  <si>
    <t>βu = 1,20 / [1 + 0,79 × 0,25] = 1,002;   βre = 1,002 × 1,1975 = 1,20</t>
  </si>
  <si>
    <t>Usar la beta apalancada de un comparable directamente, importando su estructura de capital sin darse cuenta.</t>
  </si>
  <si>
    <t>Bancos: el desapalancamiento de Hamada no aplica, la deuda es materia prima. Empresas sin historia bursátil: beta de comparables, nunca una regresión con pocos datos.</t>
  </si>
  <si>
    <t>WACC = E/(D+E) × Ke + D/(D+E) × Kd × (1 − T)</t>
  </si>
  <si>
    <t>Coste medio ponderado de todo el capital. Es la tasa correcta para el FCFF porque el FCFF pertenece a todos los proveedores de capital.</t>
  </si>
  <si>
    <t>='07 WACC'!C32*C9+C31*C26</t>
  </si>
  <si>
    <t>0,80 × 9,90% + 0,20 × 5,25% × 0,79 = 8,75%</t>
  </si>
  <si>
    <t>Usar la estructura de capital CONTABLE (en Oracle daría un WACC absurdamente bajo) o la de mercado del día, que introduce circularidad precio → WACC → valor.</t>
  </si>
  <si>
    <t>Cada segmento de un conglomerado puede merecer su propio WACC. Multinacionales: WACC ponderado por exposición geográfica.</t>
  </si>
  <si>
    <t>Valor terminal disciplinado (Gordon)</t>
  </si>
  <si>
    <t>Tasa de reinversión = g / ROIC terminal;   FCFF_T = NOPAT_n × (1+g) × (1 − g/ROIC);   VT = FCFF_T / (WACC − g)</t>
  </si>
  <si>
    <t>El crecimiento perpetuo EXIGE reinversión perpetua. Esta formulación impide regalar crecimiento sin capital, que es el modo más común de inflar un DCF.</t>
  </si>
  <si>
    <t>=F26/F27   (reinversión)   ;   =P10*(1+F26)   ;   =F29*(1-F28)   ;   =F30/(P21-F26)</t>
  </si>
  <si>
    <t>Reinv. = 3%/24% = 12,5%;  FCFF_T = 61.048 × 87,5% = 53.417;  VT = 53.417 / 5,75% = 929.000 aprox.</t>
  </si>
  <si>
    <t>Aplicar Gordon al FCFF del último año sin disciplina de reinversión. En este modelo la diferencia está cuantificada en '06 DCF' fila 39.</t>
  </si>
  <si>
    <t>Mineras y petroleras con reservas finitas: NO hay perpetuidad, hay que agotar el activo. Biotech: usar rNPV por proyecto.</t>
  </si>
  <si>
    <t>Factor de descuento del valor terminal</t>
  </si>
  <si>
    <t>FD_VT = 1 / (1 + WACC)^n, con n completo</t>
  </si>
  <si>
    <t>El valor terminal es un STOCK medido al cierre del año n, no un flujo repartido durante ese año. Por eso NO lleva el ajuste de mitad de año.</t>
  </si>
  <si>
    <t>=1/(1+P21)^'02 Assumptions'!C11</t>
  </si>
  <si>
    <t>1 / 1,087495^10 = 0,4322</t>
  </si>
  <si>
    <t>Aplicar n − 0,5 también al valor terminal, lo que sobrevalora el 66% del EV por medio año de descuento.</t>
  </si>
  <si>
    <t>Ninguna: es una cuestión de definición, no de sector.</t>
  </si>
  <si>
    <t>EV = Σ VP(FCFF explícito) + VP(Valor terminal)</t>
  </si>
  <si>
    <t>Valor de todo el negocio operativo, independiente de cómo esté financiado.</t>
  </si>
  <si>
    <t>=SUM(G23:P23)   más   =F36   ;   total   =F42+F43</t>
  </si>
  <si>
    <t>212.533 + 403.876 = 608.375 (en el caso base antes del último ajuste)</t>
  </si>
  <si>
    <t>Sumar el fondo de comercio o los activos no operativos ya recogidos en los flujos, duplicando valor.</t>
  </si>
  <si>
    <t>Bancos: el concepto de EV no es operativo. Conglomerados: suma de EV por segmento menos coste corporativo.</t>
  </si>
  <si>
    <t>Puente a Equity Value</t>
  </si>
  <si>
    <t>Equity = EV − deuda − leases financieros + caja − caja mínima + valores negociables − minoritarios − preferentes</t>
  </si>
  <si>
    <t>Del valor del negocio al valor del accionista, restando todos los derechos prioritarios y sumando solo los activos financieros realmente disponibles.</t>
  </si>
  <si>
    <t>=F44+SUM(F46:F52)</t>
  </si>
  <si>
    <t>608.375 − 129.541 − 7.701 + 31.289 − 1.010 + 605 − 548 − 4.954 = 496.515</t>
  </si>
  <si>
    <t>Los cinco errores de doble contabilización del manual M4: deuda, leases, caja, minoritarios y preferentes.</t>
  </si>
  <si>
    <t>Bancos: no hay puente, se valora el equity directamente. Con déficit de pensiones material: tratarlo como deuda.</t>
  </si>
  <si>
    <t>VPA = Equity Value / acciones diluidas</t>
  </si>
  <si>
    <t>El resultado final. Debe ser SIEMPRE una fórmula que llegue hasta el dato de origen: nunca un número escrito a mano.</t>
  </si>
  <si>
    <t>=F53/F54   donde   F54 ='02 Assumptions'!C69   =('03 Historical'!F118+('03 Historical'!F40-'03 Historical'!F39))</t>
  </si>
  <si>
    <t>496.515 / 2.934 = 169,23 dólares</t>
  </si>
  <si>
    <t>Usar acciones básicas, o la media ponderada de doce meses ya pasados en lugar de las acciones actuales más los equivalentes dilutivos.</t>
  </si>
  <si>
    <t>Con convertibles materiales: método del treasury stock. Con preferentes convertibles: restar valor O convertir, nunca ambas cosas.</t>
  </si>
  <si>
    <t>ROIC</t>
  </si>
  <si>
    <t>ROIC = NOPAT / capital invertido medio;  Capital invertido = PP&amp;E + NWC + fondo de comercio + ROU</t>
  </si>
  <si>
    <t>Mide si la empresa gana más sobre el capital que emplea que lo que ese capital le cuesta. Es la condición para que el crecimiento cree valor.</t>
  </si>
  <si>
    <t>=G57/AVERAGE(F63:G63)   con   G63 =G37+G50+'03 Historical'!$F$50+'03 Historical'!$F$49</t>
  </si>
  <si>
    <t>FY2026: 19.612 / media(capital invertido) = 14,0%</t>
  </si>
  <si>
    <t>Usar dos definiciones distintas de capital invertido en el mismo libro. Este defecto existía y se corrigió unificando '03 Historical' fila 139 con '04 Operating Model' fila 63.</t>
  </si>
  <si>
    <t>Bancos: sustituir por ROE o ROTE sobre capital regulatorio. Con fondo de comercio muy grande: mirar también el ROIC excluyéndolo.</t>
  </si>
  <si>
    <t>Tasa de reinversión y coherencia del crecimiento</t>
  </si>
  <si>
    <t>Reinversión neta = Capex + ΔNWC − D&amp;A;  Tasa = Reinversión / NOPAT;  g implícito = Tasa × ROIC</t>
  </si>
  <si>
    <t>Es la prueba de coherencia del modelo: si el crecimiento proyectado no se corresponde con la reinversión y el ROIC proyectados, el modelo se contradice a sí mismo.</t>
  </si>
  <si>
    <t>=G34+G51-G38   ;   =IFERROR(G65/G57,"n/a")   ;   =IFERROR(G66*G64,"n/a")</t>
  </si>
  <si>
    <t>Año 10: la brecha entre g implícito y g proyectado se vigila en el control 52 con tolerancia de ±5 p.p.</t>
  </si>
  <si>
    <t>Proyectar crecimiento con reinversión nula. Este defecto existía en el año 10 y se corrigió elevando el capex terminal al 11,8% de los ingresos.</t>
  </si>
  <si>
    <t>Negocios de activos ligeros: ROIC muy alto, la reinversión necesaria es baja y la identidad se cumple con poco capital.</t>
  </si>
  <si>
    <t>Reverse DCF: margen requerido</t>
  </si>
  <si>
    <t>Δmargen = (precio − valor del modelo) / K, con K = sensibilidad del valor por acción al margen</t>
  </si>
  <si>
    <t>Respuesta lineal y EXACTA: cuánto margen adicional habría que creer para justificar el precio, dejando todo lo demás igual.</t>
  </si>
  <si>
    <t>=$D$19/(SUMPRODUCT(Ingresos×(1−t),FD) + término terminal)/acciones</t>
  </si>
  <si>
    <t>A un precio de 250 dólares: +11,65 p.p., es decir un margen EBIT terminal del 45,3% frente a un máximo histórico del 33,3%</t>
  </si>
  <si>
    <t>Interpretar el resultado como un pronóstico. El Reverse DCF no dice qué pasará: dice qué habría que creer.</t>
  </si>
  <si>
    <t>Ninguna: la técnica es universal. Lo que cambia es la variable que conviene despejar en cada sector.</t>
  </si>
  <si>
    <t>Reverse DCF: crecimiento terminal requerido</t>
  </si>
  <si>
    <t>Se despeja g de A(1+g)(1−g/R) = T(WACC−g), una ecuación cuadrática en g</t>
  </si>
  <si>
    <t>Cuánto crecimiento perpetuo habría que creer para justificar el precio. Se compara contra el PIB nominal como tope de realidad.</t>
  </si>
  <si>
    <t>=IFERROR((B−RAÍZ(B^2−4A(R·T·WACC−A·R)))/(2A)) con B = A(R−1)+R·T   (raíz menor)</t>
  </si>
  <si>
    <t>A un precio de 250 dólares: g requerido del 5,48%, por encima del 4% de PIB nominal, por lo que el aviso salta</t>
  </si>
  <si>
    <t>Resolver con Buscar objetivo y dejar el resultado fijado como si fuera dinámico. Aquí la solución es analítica y se recalcula sola.</t>
  </si>
  <si>
    <t>Ninguna. Si no hay solución real, significa que el precio no se alcanza ni con g → WACC: la diferencia está en el margen o el capex.</t>
  </si>
  <si>
    <t>Sensibilidad en forma cerrada</t>
  </si>
  <si>
    <t>Valor(WACC,g) = Σ FCFF_t/(1+WACC)^t + VT(WACC,g)/(1+WACC)^n + puente, todo dividido entre las acciones</t>
  </si>
  <si>
    <t>Es EXACTA porque el FCFF no depende del WACC ni de g. Permite construir rejillas reales sin Tablas de Datos, que no se pueden crear por programación.</t>
  </si>
  <si>
    <t>=(SUMPRODUCT('06 DCF'!$G$15:$P$15,1/(1+$C6)^'06 DCF'!$G$20:$P$20)+'06 DCF'!$P$10*(1+D$5)*(1-D$5/'06 DCF'!$F$27)/($C6-D$5)/(1+$C6)^'02 Assumptions'!$C$11+SUM('06 DCF'!$F$46:$F$52))/'06 DCF'!$F$54</t>
  </si>
  <si>
    <t>El centro de la rejilla reproduce exactamente el valor del DCF: 169,23 dólares. El control 59 lo verifica.</t>
  </si>
  <si>
    <t>Aplicar la misma técnica a un shock de CRECIMIENTO. No es válido: la depreciación depende de la trayectoria de PP&amp;E y no hay forma cerrada.</t>
  </si>
  <si>
    <t>Ninguna. La limitación es matemática, no sectorial.</t>
  </si>
  <si>
    <t>Este modelo produce un valor de 169,23 dólares por acción en el caso base. Esa cifra tiene dos decimales y por tanto aparenta una precisión que NO tiene. El modelo no dice que Oracle valga 169,23 dólares.</t>
  </si>
  <si>
    <t>Bajo estas hipótesis explícitas sobre crecimiento, márgenes, reinversión, riesgo, estructura de capital y valor terminal, el modelo produce 169,23 dólares. La REJILLA A de '08 Sensitivity' muestra que moviendo solo el WACC y el crecimiento terminal 100 puntos básicos en cada dirección, el valor recorre aproximadamente de 125 a 258 dólares. Y el recorrido de los tres escenarios completos va de 65 (Bear) a 286 (Bull). Ese es el verdadero contenido informativo.</t>
  </si>
  <si>
    <t>Un margen de seguridad es útil frente a errores de estimación acotados. NO convierte en fiable un modelo cuyas hipótesis son extremadamente inciertas. Aplicar un descuento del 30% a un valor que puede estar entre 125 y 258 dólares por el solo efecto del WACC y de g no produce certeza: produce una cifra con un descuento.</t>
  </si>
  <si>
    <t>Tipo libre de riesgo, prima de riesgo de mercado y beta son estimaciones con rangos amplios y legítimamente discutibles. La REJILLA A muestra que 100 puntos básicos de WACC mueven el valor unos 68 dólares por acción, en torno al 40% del valor base.</t>
  </si>
  <si>
    <t>69 controles automáticos en '13 Checks'. Un modelo sin auditar tiene riesgo de modelo desconocido, no bajo.</t>
  </si>
  <si>
    <t>Errores de fórmula en el modelo de tres estados</t>
  </si>
  <si>
    <t>El modelo de consistencia contable no calcula y no puede validar el forecast</t>
  </si>
  <si>
    <t>Tipo libre de riesgo, prima de riesgo, beta y coste marginal de la deuda sin fuente ni fecha</t>
  </si>
  <si>
    <t>El WACC no es defendible ante otro analista y no se puede reproducir la valoración</t>
  </si>
  <si>
    <t>Rellenar '07 WACC'!C56 con la fecha y la tabla de documentación de las filas 47-54</t>
  </si>
  <si>
    <t>ESCENARIO PESIMISTA (BEAR) — MODELO COMPLETO E INDEPENDIENTE</t>
  </si>
  <si>
    <t>INGRESOS</t>
  </si>
  <si>
    <t xml:space="preserve">  Software</t>
  </si>
  <si>
    <t xml:space="preserve">  Crecimiento</t>
  </si>
  <si>
    <t>MÁRGENES Y GASTOS</t>
  </si>
  <si>
    <t xml:space="preserve">  Margen bruto</t>
  </si>
  <si>
    <t xml:space="preserve">  I+D</t>
  </si>
  <si>
    <t xml:space="preserve">  G&amp;A</t>
  </si>
  <si>
    <t xml:space="preserve">  Total gastos operativos</t>
  </si>
  <si>
    <t>EBIT NORMALIZADO</t>
  </si>
  <si>
    <t xml:space="preserve">  D&amp;A total</t>
  </si>
  <si>
    <t>EBITDA</t>
  </si>
  <si>
    <t>CIRCULANTE</t>
  </si>
  <si>
    <t xml:space="preserve">  Clientes</t>
  </si>
  <si>
    <t>CAPITAL CIRCULANTE NETO</t>
  </si>
  <si>
    <t xml:space="preserve">  Variación del NWC</t>
  </si>
  <si>
    <t xml:space="preserve">  (−) Variación del NWC</t>
  </si>
  <si>
    <t xml:space="preserve">  (−) Coste en caja de reestructuración</t>
  </si>
  <si>
    <t xml:space="preserve">  WACC (base + delta del escenario)</t>
  </si>
  <si>
    <t xml:space="preserve">  Periodo de descuento t</t>
  </si>
  <si>
    <t xml:space="preserve">  Factor de descuento</t>
  </si>
  <si>
    <t xml:space="preserve">  Valor presente del FCFF</t>
  </si>
  <si>
    <t xml:space="preserve">  Tasa de reinversión terminal = g / ROIC</t>
  </si>
  <si>
    <t xml:space="preserve">  NOPAT terminal</t>
  </si>
  <si>
    <t xml:space="preserve">  FCFF terminal</t>
  </si>
  <si>
    <t xml:space="preserve">  Valor terminal</t>
  </si>
  <si>
    <t xml:space="preserve">  Factor de descuento del valor terminal</t>
  </si>
  <si>
    <t>CONTROLES DE ESTE ESCENARIO</t>
  </si>
  <si>
    <t xml:space="preserve">  CHECK: FCFF positivo al final del horizonte</t>
  </si>
  <si>
    <t xml:space="preserve">  CHECK: crecimiento del año 10 ≥ g</t>
  </si>
  <si>
    <t>No depende del interruptor '09 Escenarios'!C4. Lee los vectores Base de '02 Assumptions' y aplica los deltas de la COLUMNA D de '09 Escenarios'. Los tres escenarios se calculan simultáneamente.</t>
  </si>
  <si>
    <t>DESCUENTO Y VALOR TERMINAL</t>
  </si>
  <si>
    <t>ESCENARIO BASE — MODELO COMPLETO E INDEPENDIENTE</t>
  </si>
  <si>
    <t>No depende del interruptor '09 Escenarios'!C4. Lee los vectores Base de '02 Assumptions' y aplica los deltas de la COLUMNA E de '09 Escenarios'. Los tres escenarios se calculan simultáneamente.</t>
  </si>
  <si>
    <t>ESCENARIO OPTIMISTA (BULL) — MODELO COMPLETO E INDEPENDIENTE</t>
  </si>
  <si>
    <t>No depende del interruptor '09 Escenarios'!C4. Lee los vectores Base de '02 Assumptions' y aplica los deltas de la COLUMNA F de '09 Escenarios'. Los tres escenarios se calculan simultáneamente.</t>
  </si>
  <si>
    <t xml:space="preserve">  Valor presente del FCFF explícito</t>
  </si>
  <si>
    <t xml:space="preserve">  Puente a Equity (idéntico a '06 DCF' filas 46-52)</t>
  </si>
  <si>
    <t xml:space="preserve">  Ingresos FY2036E</t>
  </si>
  <si>
    <t xml:space="preserve">  CHECK: sin errores de fórmula en la hoja</t>
  </si>
  <si>
    <t xml:space="preserve">  CHECK: reproduce '06 DCF' (sólo debe cumplirse en el escenario BASE)</t>
  </si>
  <si>
    <t>no aplica</t>
  </si>
  <si>
    <t>AVISO: los múltiplos de la columna E son INPUTS DEL ANALISTA, no múltiplos de comparables observados. No se han obtenido datos de compañías comparables, por lo que estos múltiplos son marcadores de posición razonables que deben sustituirse por los de un conjunto de peers seleccionado con criterio (modelo de negocio, geografía, crecimiento, márgenes, intensidad de capital, riesgo y tamaño). Un múltiplo inventado no es valoración relativa.</t>
  </si>
  <si>
    <t>Método</t>
  </si>
  <si>
    <t>Valor de la métrica</t>
  </si>
  <si>
    <t>Múltiplo (input)</t>
  </si>
  <si>
    <t>EV implícito</t>
  </si>
  <si>
    <t>Equity implícito</t>
  </si>
  <si>
    <t>Valor por acción</t>
  </si>
  <si>
    <t>EV / Ingresos FY2027E</t>
  </si>
  <si>
    <t>Ingresos FY2027E</t>
  </si>
  <si>
    <t>EV / EBITDA FY2027E</t>
  </si>
  <si>
    <t>EBITDA FY2027E</t>
  </si>
  <si>
    <t>EV / EBITDA FY2029E</t>
  </si>
  <si>
    <t>EBITDA FY2029E</t>
  </si>
  <si>
    <t>EV / EBIT normalizado FY2029E</t>
  </si>
  <si>
    <t>EBIT norm. FY2029E</t>
  </si>
  <si>
    <t>EV / FCFF FY2031E</t>
  </si>
  <si>
    <t>FCFF FY2031E</t>
  </si>
  <si>
    <t>P / E FY2029E (valora el equity directamente, sin puente)</t>
  </si>
  <si>
    <t>Beneficio neto FY2029E</t>
  </si>
  <si>
    <t>Media de los métodos de múltiplos</t>
  </si>
  <si>
    <t>MEDIANA de los métodos de múltiplos</t>
  </si>
  <si>
    <t>Rango de los métodos (mínimo – máximo)</t>
  </si>
  <si>
    <t xml:space="preserve">  Para comparar: valor por acción del DCF (escenario Base)</t>
  </si>
  <si>
    <t>Precio objetivo ponderado por método. Los PESOS de la columna D son inputs del analista y deben sumar el 100%. La ponderación no reduce la incertidumbre: sólo hace explícito cuánta confianza se otorga a cada método. Si el rango entre métodos es amplio, el precio objetivo es una media de cosas que no coinciden, y eso es información en sí mismo.</t>
  </si>
  <si>
    <t>Peso (input)</t>
  </si>
  <si>
    <t>Contribución</t>
  </si>
  <si>
    <t>DCF — escenario Pesimista (Bear)</t>
  </si>
  <si>
    <t>DCF — escenario Base</t>
  </si>
  <si>
    <t>DCF — escenario Optimista (Bull)</t>
  </si>
  <si>
    <t>Valoración por múltiplos (mediana)</t>
  </si>
  <si>
    <t>Suma de los pesos</t>
  </si>
  <si>
    <t>PRECIO OBJETIVO PONDERADO</t>
  </si>
  <si>
    <t xml:space="preserve">  Upside / (Downside) al precio objetivo</t>
  </si>
  <si>
    <t xml:space="preserve">  Margen de seguridad sobre el precio objetivo</t>
  </si>
  <si>
    <t xml:space="preserve">  Rango entre el método más bajo y el más alto</t>
  </si>
  <si>
    <t xml:space="preserve">  Dispersión entre métodos (máx / mín)</t>
  </si>
  <si>
    <t xml:space="preserve">  CHECK: dispersión entre métodos</t>
  </si>
  <si>
    <t>LOS TRES ESCENARIOS, CALCULADOS SIMULTÁNEAMENTE</t>
  </si>
  <si>
    <t>Ya NO es una instantánea: cada columna se calcula en su propia hoja ('09a', '09b', '09c'), independiente del interruptor de '09 Escenarios'!C4. Los deltas de cada escenario están en la matriz de '09 Escenarios' filas 9-17.</t>
  </si>
  <si>
    <t>PESIMISTA</t>
  </si>
  <si>
    <t>OPTIMISTA</t>
  </si>
  <si>
    <t>CHECK: el escenario Base debe reproducir '06 DCF'</t>
  </si>
  <si>
    <t>CHECK: ordenación Pesimista &lt; Base &lt; Optimista</t>
  </si>
  <si>
    <t>Escenario Pesimista: sin errores de fórmula</t>
  </si>
  <si>
    <t>OK</t>
  </si>
  <si>
    <t>Error de fórmula en la hoja del escenario pesimista</t>
  </si>
  <si>
    <t>El rango de valoración pierde su extremo inferior</t>
  </si>
  <si>
    <t>Abrir '09a' y localizar la celda con error</t>
  </si>
  <si>
    <t>Escenario Base: sin errores de fórmula</t>
  </si>
  <si>
    <t>Error de fórmula en la hoja del escenario base</t>
  </si>
  <si>
    <t>El escenario central no calcula</t>
  </si>
  <si>
    <t>Abrir '09b' y localizar la celda con error</t>
  </si>
  <si>
    <t>Escenario Optimista: sin errores de fórmula</t>
  </si>
  <si>
    <t>Error de fórmula en la hoja del escenario optimista</t>
  </si>
  <si>
    <t>El rango pierde su extremo superior</t>
  </si>
  <si>
    <t>Abrir '09c' y localizar la celda con error</t>
  </si>
  <si>
    <t>El escenario Base reproduce exactamente el DCF de '06 DCF'</t>
  </si>
  <si>
    <t>Divergencia entre la hoja del escenario Base y el modelo principal</t>
  </si>
  <si>
    <t>Si la réplica no coincide, los escenarios Pesimista y Optimista tampoco son fiables</t>
  </si>
  <si>
    <t>Comparar fila a fila '09b' contra '04 Operating Model' y '06 DCF'</t>
  </si>
  <si>
    <t>Escenarios ordenados: Pesimista &lt; Base &lt; Optimista</t>
  </si>
  <si>
    <t>Deltas mal signados en la matriz de escenarios</t>
  </si>
  <si>
    <t>El rango no acota nada</t>
  </si>
  <si>
    <t>Revisar los signos de '09 Escenarios' filas 9-17</t>
  </si>
  <si>
    <t>WACC del Pesimista &gt; WACC del Optimista (coherencia del riesgo)</t>
  </si>
  <si>
    <t>El escenario adverso descuenta a una tasa menor que el favorable</t>
  </si>
  <si>
    <t>Incoherencia: más riesgo debería exigir más retorno</t>
  </si>
  <si>
    <t>Revisar el delta de WACC en '09 Escenarios' fila 17</t>
  </si>
  <si>
    <t>Pesos del precio objetivo suman 100%</t>
  </si>
  <si>
    <t>Los pesos de ponderación no suman la unidad</t>
  </si>
  <si>
    <t>El precio objetivo está mal ponderado</t>
  </si>
  <si>
    <t>Corregir '01 Summary'!D74:D78</t>
  </si>
  <si>
    <t>Dispersión entre métodos de valoración</t>
  </si>
  <si>
    <t>&lt; 2,5x</t>
  </si>
  <si>
    <t>Los métodos discrepan más de 2,5 veces</t>
  </si>
  <si>
    <t>Promediar métodos incompatibles produce un número sin significado</t>
  </si>
  <si>
    <t>Presentar el RANGO y explicar por qué discrepan, en lugar de ponderar</t>
  </si>
  <si>
    <t>Múltiplos de comparables sustituidos por peers reales</t>
  </si>
  <si>
    <t>Revisión manual</t>
  </si>
  <si>
    <t>Usar múltiplos marcadores de posición como si fueran de mercado</t>
  </si>
  <si>
    <t>Valoración relativa sin comparables reales: no es valoración relativa</t>
  </si>
  <si>
    <t>Seleccionar un conjunto de peers y sustituir E59:E64 documentando la fuente</t>
  </si>
  <si>
    <t>AUDITORÍA DEL MODELO — 78 CONTROLES AUTOMÁTICOS</t>
  </si>
  <si>
    <t>Si esta tabla o el bloque de Precio objetivo muestran ceros: Ctrl+Alt+F9.</t>
  </si>
  <si>
    <t>⚠ PULSA Ctrl+Alt+F9 AL ABRIR ESTE LIBRO. Estas zonas se escribieron con el motor de cálculo del complemento bloqueado y mostrarán CEROS hasta que se fuerce un recálculo completo: (1) hojas 09a/09b/09c de escenarios; (2) las 25 celdas de las rejillas de '08 Sensibilidad' D6:H46; (3) en esta hoja, la tabla de escenarios F16:H24, el bloque de Múltiplos y el bloque de Precio objetivo; (4) en '13 Checks', los contadores D5:D7 y los controles 70-78. Las fórmulas están escritas y verificadas sintácticamente; lo que falta es que Excel las evalúe. TRAS EL RECÁLCULO comprueba el control 73 de '13 Checks': si está en OK, la réplica del escenario Base coincide con el DCF y los tres escenarios son fiables.</t>
  </si>
  <si>
    <t>Valoración por múltiplos</t>
  </si>
  <si>
    <t>Precio objetivo</t>
  </si>
  <si>
    <t>PANEL DEL ANALISTA — TODOS LOS INPUTS DEL MODELO EN UN SOLO SITIO</t>
  </si>
  <si>
    <t>Rellena las celdas AZULES sobre fondo blanco y las AMARILLAS (hipótesis críticas). El resto del libro se recalcula solo. Para valorar OTRA compañía: sustituye la identificación, los tres estados históricos y los drivers; no hace falta tocar ninguna otra hoja.</t>
  </si>
  <si>
    <t>Las filas marcadas «calculado» no se rellenan: son totales que el libro deriva. Al terminar, comprueba el semáforo del final de esta hoja y la hoja '13 Checks'.</t>
  </si>
  <si>
    <t>Hist. −2</t>
  </si>
  <si>
    <t>Hist. −1</t>
  </si>
  <si>
    <t>Hist. base</t>
  </si>
  <si>
    <t>Año 1</t>
  </si>
  <si>
    <t>Año 2</t>
  </si>
  <si>
    <t>Año 3</t>
  </si>
  <si>
    <t>Año 4</t>
  </si>
  <si>
    <t>Año 5</t>
  </si>
  <si>
    <t>Año 6</t>
  </si>
  <si>
    <t>Año 7</t>
  </si>
  <si>
    <t>Año 8</t>
  </si>
  <si>
    <t>Año 9</t>
  </si>
  <si>
    <t>Año 10</t>
  </si>
  <si>
    <t>1. IDENTIFICACIÓN Y MERCADO</t>
  </si>
  <si>
    <t>texto</t>
  </si>
  <si>
    <t xml:space="preserve">  Ticker y mercado</t>
  </si>
  <si>
    <t xml:space="preserve">  PRECIO DE MERCADO ACTUAL (el único dato que el libro no puede deducir)</t>
  </si>
  <si>
    <t xml:space="preserve">  Etiquetas de los ejercicios (se propagan a las cabeceras de todas las hojas)</t>
  </si>
  <si>
    <t>Oracle Corporation</t>
  </si>
  <si>
    <t>ORCL — NYSE</t>
  </si>
  <si>
    <t>2. CUENTA DE RESULTADOS HISTÓRICA</t>
  </si>
  <si>
    <t>calculado</t>
  </si>
  <si>
    <t>3. BALANCE HISTÓRICO (a cierre de ejercicio)</t>
  </si>
  <si>
    <t>4. ESTADO DE FLUJOS DE CAJA HISTÓRICO</t>
  </si>
  <si>
    <t>5. MEMORIA: DEUDA, ARRENDAMIENTOS Y BACKLOG</t>
  </si>
  <si>
    <t xml:space="preserve">  Partidas no recurrentes a documentar</t>
  </si>
  <si>
    <t xml:space="preserve">  Cobros anticipados de clientes con componente financiero significativo</t>
  </si>
  <si>
    <t>6. DRIVERS DEL FORECAST — vectores por año (escenario BASE; los escenarios se derivan de la sección 8)</t>
  </si>
  <si>
    <t xml:space="preserve">  Crecimiento de ingresos: Cloud / segmento principal</t>
  </si>
  <si>
    <t xml:space="preserve">  Crecimiento de ingresos: Software / segmento maduro</t>
  </si>
  <si>
    <t xml:space="preserve">  Crecimiento de ingresos: Hardware / segmento residual</t>
  </si>
  <si>
    <t xml:space="preserve">  Crecimiento de ingresos: Servicios</t>
  </si>
  <si>
    <t xml:space="preserve">  Ventas y marketing / Ingresos</t>
  </si>
  <si>
    <t xml:space="preserve">  I+D / Ingresos</t>
  </si>
  <si>
    <t xml:space="preserve">  Generales y administración / Ingresos</t>
  </si>
  <si>
    <t xml:space="preserve">  DSO — días de cobro</t>
  </si>
  <si>
    <t xml:space="preserve">  SBC / Ingresos (sólo para el modelo de tres estados)</t>
  </si>
  <si>
    <t>7. PARÁMETROS ESCALARES DEL MODELO</t>
  </si>
  <si>
    <t xml:space="preserve">  Años de forecast explícito (debe coincidir con el nº de columnas Año 1..Año 10)</t>
  </si>
  <si>
    <t xml:space="preserve">  Convención de descuento (1 = fin de año, 2 = mitad de año)</t>
  </si>
  <si>
    <t xml:space="preserve">  Método de valor terminal (1 = Gordon, 2 = Múltiplo de salida)</t>
  </si>
  <si>
    <t xml:space="preserve">  Tipo impositivo marginal (para el WACC)</t>
  </si>
  <si>
    <t xml:space="preserve">  Tope de referencia: PIB nominal a largo plazo</t>
  </si>
  <si>
    <t xml:space="preserve">  ROIC terminal (disciplina la reinversión terminal)</t>
  </si>
  <si>
    <t xml:space="preserve">  Tipo de interés medio sobre la deuda inicial</t>
  </si>
  <si>
    <t xml:space="preserve">  Tipo contractual del dividendo de preferentes</t>
  </si>
  <si>
    <t xml:space="preserve">  Recompra neta de acciones por año</t>
  </si>
  <si>
    <t xml:space="preserve">  Shock uniforme al crecimiento de ingresos (dejar en 0)</t>
  </si>
  <si>
    <t xml:space="preserve">  Reparto del delta de opex por escenario: peso Ventas y marketing</t>
  </si>
  <si>
    <t xml:space="preserve">  Reparto del delta de opex por escenario: peso I+D</t>
  </si>
  <si>
    <t xml:space="preserve">  Reparto del delta de opex por escenario: peso G&amp;A</t>
  </si>
  <si>
    <t>8. INPUTS DE MERCADO DEL WACC — deben actualizarse y fecharse en cada revisión</t>
  </si>
  <si>
    <t xml:space="preserve">  Tipo libre de riesgo (bono del Estado a 10 años)</t>
  </si>
  <si>
    <t xml:space="preserve">  Prima adicional por riesgo país o tamaño</t>
  </si>
  <si>
    <t xml:space="preserve">  Beta apalancada observada</t>
  </si>
  <si>
    <t xml:space="preserve">  D/E de mercado correspondiente a esa beta</t>
  </si>
  <si>
    <t xml:space="preserve">  Coste marginal de la deuda nueva (Kd)</t>
  </si>
  <si>
    <t xml:space="preserve">  Peso objetivo de la deuda D/(D+E)</t>
  </si>
  <si>
    <t xml:space="preserve">  FECHA de actualización de estos inputs (dd/mm/aaaa)</t>
  </si>
  <si>
    <t>9. MATRIZ DE ESCENARIOS — los tres se calculan a la vez en sus propias hojas</t>
  </si>
  <si>
    <t>Pesimista</t>
  </si>
  <si>
    <t>Optimista</t>
  </si>
  <si>
    <t xml:space="preserve">  Interruptor de '09 Escenarios' (1=Pesimista, 2=Base, 3=Optimista) — sólo afecta a '04/05/06'</t>
  </si>
  <si>
    <t>10. VALORACIÓN RELATIVA Y PONDERACIÓN DEL PRECIO OBJETIVO</t>
  </si>
  <si>
    <t xml:space="preserve">  AVISO: los múltiplos de abajo NO son de comparables observados. Selecciona un conjunto de peers (modelo de negocio, geografía, crecimiento, márgenes, intensidad de capital, riesgo y tamaño) y sustitúyelos documentando la fuente.</t>
  </si>
  <si>
    <t>Múltiplo de comparables</t>
  </si>
  <si>
    <t>Valor</t>
  </si>
  <si>
    <t xml:space="preserve">  EV / Ingresos Año 1</t>
  </si>
  <si>
    <t xml:space="preserve">  EV / EBITDA Año 1</t>
  </si>
  <si>
    <t xml:space="preserve">  EV / EBITDA Año 3</t>
  </si>
  <si>
    <t xml:space="preserve">  EV / EBIT normalizado Año 3</t>
  </si>
  <si>
    <t xml:space="preserve">  EV / FCFF Año 5</t>
  </si>
  <si>
    <t xml:space="preserve">  P / E Año 3</t>
  </si>
  <si>
    <t>Peso en el precio objetivo</t>
  </si>
  <si>
    <t xml:space="preserve">  DCF — escenario Pesimista</t>
  </si>
  <si>
    <t xml:space="preserve">  DCF — escenario Base</t>
  </si>
  <si>
    <t xml:space="preserve">  DCF — escenario Optimista</t>
  </si>
  <si>
    <t xml:space="preserve">  Valoración por múltiplos (mediana)</t>
  </si>
  <si>
    <t xml:space="preserve">  Sum-of-the-Parts</t>
  </si>
  <si>
    <t xml:space="preserve">  Suma de los pesos (debe ser 100%)</t>
  </si>
  <si>
    <t>11. SUM-OF-THE-PARTS — márgenes y múltiplos por segmento (hipótesis del analista)</t>
  </si>
  <si>
    <t>Margen EBIT</t>
  </si>
  <si>
    <t>Múltiplo EV/EBIT</t>
  </si>
  <si>
    <t>Múltiplo corporativo</t>
  </si>
  <si>
    <t>12. RESULTADO — se actualiza solo al cambiar cualquier input de esta hoja</t>
  </si>
  <si>
    <t xml:space="preserve">  Enterprise Value (escenario Base)</t>
  </si>
  <si>
    <t xml:space="preserve">  Equity Value (escenario Base)</t>
  </si>
  <si>
    <t xml:space="preserve">  VALOR INTRÍNSECO POR ACCIÓN — Pesimista</t>
  </si>
  <si>
    <t xml:space="preserve">  VALOR INTRÍNSECO POR ACCIÓN — Base</t>
  </si>
  <si>
    <t xml:space="preserve">  VALOR INTRÍNSECO POR ACCIÓN — Optimista</t>
  </si>
  <si>
    <t xml:space="preserve">  PRECIO OBJETIVO PONDERADO</t>
  </si>
  <si>
    <t xml:space="preserve">  WACC del escenario Base</t>
  </si>
  <si>
    <t xml:space="preserve">  Crecimiento terminal g del escenario Base</t>
  </si>
  <si>
    <t xml:space="preserve">  Múltiplo de salida implícito</t>
  </si>
  <si>
    <t>13. SEMÁFORO DEL MODELO — si hay FALLOS, el resultado NO es utilizable</t>
  </si>
  <si>
    <t xml:space="preserve">  VEREDICTO DE LA AUDITORÍA</t>
  </si>
  <si>
    <t xml:space="preserve">  La réplica del escenario Base reproduce el DCF principal</t>
  </si>
  <si>
    <t xml:space="preserve">  Escenarios ordenados Pesimista &lt; Base &lt; Optimista</t>
  </si>
  <si>
    <t xml:space="preserve">  Los pesos del precio objetivo suman 100%</t>
  </si>
  <si>
    <t xml:space="preserve">  Dispersión entre métodos de valoración</t>
  </si>
  <si>
    <t xml:space="preserve">  Cuadre del balance histórico (debe ser 0)</t>
  </si>
  <si>
    <t xml:space="preserve">  Cuadre del estado de flujos histórico (debe ser 0)</t>
  </si>
  <si>
    <t xml:space="preserve">  Cuadre del balance proyectado, 10 años (debe ser 0)</t>
  </si>
  <si>
    <t xml:space="preserve">  Cuadre de la caja proyectada, 10 años (debe ser 0)</t>
  </si>
  <si>
    <t xml:space="preserve">  Años de forecast declarados = columnas del modelo</t>
  </si>
  <si>
    <t xml:space="preserve">  Shock de sensibilidad devuelto a cero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</si>
</sst>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quot;–&quot;"/>
    <numFmt numFmtId="165" formatCode="0.0%;\(0.0%\);&quot;–&quot;"/>
    <numFmt numFmtId="166" formatCode="&quot;€&quot;#,##0.00"/>
    <numFmt numFmtId="167" formatCode="0.0&quot;x&quot;"/>
    <numFmt numFmtId="168" formatCode="0.0"/>
    <numFmt numFmtId="170" formatCode="0.00&quot;x&quot;"/>
    <numFmt numFmtId="171" formatCode="#,##0;\(#,##0\)"/>
    <numFmt numFmtId="172" formatCode="0.0%;\(0.0%\)"/>
    <numFmt numFmtId="173" formatCode="0.0%"/>
    <numFmt numFmtId="174" formatCode="0.00%;\(0.00%\);&quot;–&quot;"/>
    <numFmt numFmtId="176" formatCode="[$$-409]#,##0.00"/>
  </numFmts>
  <fonts count="36"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4"/>
      <color theme="1"/>
      <name val="Aptos Narrow"/>
      <family val="2"/>
      <scheme val="minor"/>
    </font>
    <font>
      <sz val="11"/>
      <color rgb="FF595959"/>
      <name val="Aptos Narrow"/>
      <family val="2"/>
      <scheme val="minor"/>
    </font>
    <font>
      <sz val="11"/>
      <color rgb="FFC00000"/>
      <name val="Aptos Narrow"/>
      <family val="2"/>
      <scheme val="minor"/>
    </font>
    <font>
      <i/>
      <sz val="11"/>
      <color theme="1"/>
      <name val="Aptos Narrow"/>
      <family val="2"/>
      <scheme val="minor"/>
    </font>
    <font>
      <i/>
      <sz val="11"/>
      <color rgb="FF595959"/>
      <name val="Aptos Narrow"/>
      <family val="2"/>
      <scheme val="minor"/>
    </font>
    <font>
      <i/>
      <sz val="11"/>
      <color rgb="FF7030A0"/>
      <name val="Aptos Narrow"/>
      <family val="2"/>
      <scheme val="minor"/>
    </font>
    <font>
      <b/>
      <i/>
      <sz val="11"/>
      <color rgb="FF7030A0"/>
      <name val="Aptos Narrow"/>
      <family val="2"/>
      <scheme val="minor"/>
    </font>
    <font>
      <b/>
      <sz val="11"/>
      <color rgb="FF595959"/>
      <name val="Aptos Narrow"/>
      <family val="2"/>
      <scheme val="minor"/>
    </font>
    <font>
      <b/>
      <i/>
      <sz val="11"/>
      <color rgb="FF595959"/>
      <name val="Aptos Narrow"/>
      <family val="2"/>
      <scheme val="minor"/>
    </font>
    <font>
      <sz val="11"/>
      <color rgb="FF000000"/>
      <name val="Aptos Narrow"/>
      <family val="2"/>
      <scheme val="minor"/>
    </font>
    <font>
      <b/>
      <sz val="11"/>
      <color rgb="FF0000FF"/>
      <name val="Aptos Narrow"/>
      <family val="2"/>
      <scheme val="minor"/>
    </font>
    <font>
      <sz val="11"/>
      <color rgb="FF0000FF"/>
      <name val="Aptos Narrow"/>
      <family val="2"/>
      <scheme val="minor"/>
    </font>
    <font>
      <sz val="11"/>
      <color rgb="FF008000"/>
      <name val="Aptos Narrow"/>
      <family val="2"/>
      <scheme val="minor"/>
    </font>
    <font>
      <b/>
      <sz val="11"/>
      <color rgb="FF000000"/>
      <name val="Aptos Narrow"/>
      <family val="2"/>
      <scheme val="minor"/>
    </font>
    <font>
      <b/>
      <sz val="11"/>
      <color rgb="FF008000"/>
      <name val="Aptos Narrow"/>
      <family val="2"/>
      <scheme val="minor"/>
    </font>
    <font>
      <b/>
      <i/>
      <sz val="11"/>
      <color theme="1"/>
      <name val="Aptos Narrow"/>
      <family val="2"/>
      <scheme val="minor"/>
    </font>
    <font>
      <b/>
      <i/>
      <sz val="11"/>
      <color rgb="FF008000"/>
      <name val="Aptos Narrow"/>
      <family val="2"/>
      <scheme val="minor"/>
    </font>
    <font>
      <b/>
      <i/>
      <sz val="11"/>
      <color rgb="FF000000"/>
      <name val="Aptos Narrow"/>
      <family val="2"/>
      <scheme val="minor"/>
    </font>
    <font>
      <i/>
      <sz val="11"/>
      <color rgb="FF008000"/>
      <name val="Aptos Narrow"/>
      <family val="2"/>
      <scheme val="minor"/>
    </font>
    <font>
      <i/>
      <sz val="11"/>
      <color rgb="FF000000"/>
      <name val="Aptos Narrow"/>
      <family val="2"/>
      <scheme val="minor"/>
    </font>
    <font>
      <i/>
      <sz val="11"/>
      <color rgb="FFC00000"/>
      <name val="Aptos Narrow"/>
      <family val="2"/>
      <scheme val="minor"/>
    </font>
    <font>
      <b/>
      <sz val="12"/>
      <color theme="1"/>
      <name val="Aptos Narrow"/>
      <family val="2"/>
      <scheme val="minor"/>
    </font>
    <font>
      <b/>
      <sz val="16"/>
      <color theme="1"/>
      <name val="Aptos Narrow"/>
      <family val="2"/>
      <scheme val="minor"/>
    </font>
    <font>
      <b/>
      <sz val="12"/>
      <color rgb="FF0000FF"/>
      <name val="Aptos Narrow"/>
      <family val="2"/>
      <scheme val="minor"/>
    </font>
    <font>
      <b/>
      <sz val="14"/>
      <color rgb="FF000000"/>
      <name val="Aptos Narrow"/>
      <family val="2"/>
      <scheme val="minor"/>
    </font>
    <font>
      <b/>
      <sz val="11"/>
      <color rgb="FFC00000"/>
      <name val="Aptos Narrow"/>
      <family val="2"/>
      <scheme val="minor"/>
    </font>
    <font>
      <b/>
      <sz val="15"/>
      <color theme="1"/>
      <name val="Aptos Narrow"/>
      <family val="2"/>
      <scheme val="minor"/>
    </font>
    <font>
      <b/>
      <sz val="12"/>
      <color rgb="FFFFFFFF"/>
      <name val="Aptos Narrow"/>
      <family val="2"/>
      <scheme val="minor"/>
    </font>
    <font>
      <sz val="9"/>
      <color theme="1"/>
      <name val="Consolas"/>
    </font>
    <font>
      <b/>
      <i/>
      <sz val="11"/>
      <color rgb="FFFFFFFF"/>
      <name val="Aptos Narrow"/>
      <family val="2"/>
      <scheme val="minor"/>
    </font>
    <font>
      <b/>
      <i/>
      <sz val="13"/>
      <color theme="1"/>
      <name val="Aptos Narrow"/>
      <family val="2"/>
      <scheme val="minor"/>
    </font>
    <font>
      <b/>
      <sz val="13"/>
      <color theme="1"/>
      <name val="Aptos Narrow"/>
      <family val="2"/>
      <scheme val="minor"/>
    </font>
    <font>
      <b/>
      <sz val="11"/>
      <color rgb="FF9C0006"/>
      <name val="Aptos Narrow"/>
      <family val="2"/>
      <scheme val="minor"/>
    </font>
  </fonts>
  <fills count="7">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FFC7CE"/>
        <bgColor indexed="64"/>
      </patternFill>
    </fill>
  </fills>
  <borders count="13">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35">
    <xf numFmtId="0" fontId="0" fillId="0" borderId="0" xfId="0"/>
    <xf numFmtId="0" fontId="0" fillId="2" borderId="0" xfId="0" applyFill="1"/>
    <xf numFmtId="0" fontId="2" fillId="2" borderId="0" xfId="0" applyFont="1" applyFill="1"/>
    <xf numFmtId="0" fontId="1" fillId="0" borderId="0" xfId="0" applyFont="1"/>
    <xf numFmtId="0" fontId="3" fillId="0" borderId="0" xfId="0" applyFont="1"/>
    <xf numFmtId="0" fontId="1" fillId="3" borderId="0" xfId="0" applyFont="1" applyFill="1"/>
    <xf numFmtId="0" fontId="4" fillId="0" borderId="0" xfId="0" applyFont="1"/>
    <xf numFmtId="0" fontId="5" fillId="0" borderId="0" xfId="0" applyFont="1"/>
    <xf numFmtId="0" fontId="2" fillId="2" borderId="0" xfId="0" applyFont="1" applyFill="1" applyAlignment="1">
      <alignment vertical="top"/>
    </xf>
    <xf numFmtId="0" fontId="2" fillId="2" borderId="0" xfId="0" applyFont="1" applyFill="1" applyAlignment="1">
      <alignment vertical="top" wrapText="1"/>
    </xf>
    <xf numFmtId="0" fontId="4" fillId="0" borderId="0" xfId="0" applyFont="1" applyAlignment="1">
      <alignment vertical="top" wrapText="1"/>
    </xf>
    <xf numFmtId="14" fontId="4" fillId="0" borderId="0" xfId="0" applyNumberFormat="1" applyFont="1" applyAlignment="1">
      <alignment vertical="top" wrapText="1"/>
    </xf>
    <xf numFmtId="0" fontId="5" fillId="0" borderId="0" xfId="0" applyFont="1" applyAlignment="1">
      <alignment wrapText="1"/>
    </xf>
    <xf numFmtId="0" fontId="6" fillId="0" borderId="0" xfId="0" applyFont="1"/>
    <xf numFmtId="0" fontId="7" fillId="0" borderId="0" xfId="0" applyFont="1"/>
    <xf numFmtId="0" fontId="2" fillId="2" borderId="0" xfId="0" applyFont="1" applyFill="1" applyAlignment="1">
      <alignment horizontal="center"/>
    </xf>
    <xf numFmtId="0" fontId="0" fillId="3" borderId="0" xfId="0" applyFill="1"/>
    <xf numFmtId="164" fontId="0" fillId="0" borderId="0" xfId="0" applyNumberFormat="1"/>
    <xf numFmtId="164" fontId="1" fillId="0" borderId="0" xfId="0" applyNumberFormat="1" applyFont="1"/>
    <xf numFmtId="165" fontId="0" fillId="0" borderId="0" xfId="0" applyNumberFormat="1"/>
    <xf numFmtId="166" fontId="0" fillId="0" borderId="0" xfId="0" applyNumberFormat="1"/>
    <xf numFmtId="3" fontId="0" fillId="0" borderId="0" xfId="0" applyNumberFormat="1"/>
    <xf numFmtId="0" fontId="8" fillId="0" borderId="0" xfId="0" applyFont="1"/>
    <xf numFmtId="164" fontId="8" fillId="0" borderId="0" xfId="0" applyNumberFormat="1" applyFont="1"/>
    <xf numFmtId="0" fontId="9" fillId="0" borderId="0" xfId="0" applyFont="1"/>
    <xf numFmtId="167" fontId="0" fillId="0" borderId="0" xfId="0" applyNumberFormat="1"/>
    <xf numFmtId="168" fontId="0" fillId="0" borderId="0" xfId="0" applyNumberFormat="1"/>
    <xf numFmtId="0" fontId="10" fillId="3" borderId="0" xfId="0" applyFont="1" applyFill="1"/>
    <xf numFmtId="164" fontId="4" fillId="0" borderId="0" xfId="0" applyNumberFormat="1" applyFont="1"/>
    <xf numFmtId="164" fontId="10" fillId="0" borderId="0" xfId="0" applyNumberFormat="1" applyFont="1"/>
    <xf numFmtId="165" fontId="4" fillId="0" borderId="0" xfId="0" applyNumberFormat="1" applyFont="1"/>
    <xf numFmtId="3" fontId="4" fillId="0" borderId="0" xfId="0" applyNumberFormat="1" applyFont="1"/>
    <xf numFmtId="164" fontId="11" fillId="0" borderId="0" xfId="0" applyNumberFormat="1" applyFont="1"/>
    <xf numFmtId="164" fontId="7" fillId="0" borderId="0" xfId="0" applyNumberFormat="1" applyFont="1"/>
    <xf numFmtId="167" fontId="4" fillId="0" borderId="0" xfId="0" applyNumberFormat="1" applyFont="1"/>
    <xf numFmtId="168" fontId="4" fillId="0" borderId="0" xfId="0" applyNumberFormat="1" applyFont="1"/>
    <xf numFmtId="0" fontId="0" fillId="0" borderId="0" xfId="0" applyAlignment="1">
      <alignment wrapText="1"/>
    </xf>
    <xf numFmtId="0" fontId="0" fillId="0" borderId="0" xfId="0" applyAlignment="1">
      <alignment vertical="top" wrapText="1"/>
    </xf>
    <xf numFmtId="0" fontId="12" fillId="0" borderId="0" xfId="0" applyFont="1" applyAlignment="1">
      <alignment vertical="top" wrapText="1"/>
    </xf>
    <xf numFmtId="164" fontId="12" fillId="0" borderId="0" xfId="0" applyNumberFormat="1" applyFont="1" applyAlignment="1">
      <alignment vertical="top" wrapText="1"/>
    </xf>
    <xf numFmtId="0" fontId="1" fillId="4" borderId="0" xfId="0" applyFont="1" applyFill="1"/>
    <xf numFmtId="0" fontId="13" fillId="4" borderId="0" xfId="0" applyFont="1" applyFill="1" applyAlignment="1">
      <alignment horizontal="center"/>
    </xf>
    <xf numFmtId="0" fontId="14" fillId="0" borderId="0" xfId="0" applyFont="1"/>
    <xf numFmtId="170" fontId="14" fillId="0" borderId="0" xfId="0" applyNumberFormat="1" applyFont="1"/>
    <xf numFmtId="170" fontId="0" fillId="0" borderId="0" xfId="0" applyNumberFormat="1"/>
    <xf numFmtId="168" fontId="14" fillId="0" borderId="0" xfId="0" applyNumberFormat="1" applyFont="1"/>
    <xf numFmtId="171" fontId="0" fillId="0" borderId="0" xfId="0" applyNumberFormat="1"/>
    <xf numFmtId="172" fontId="0" fillId="0" borderId="0" xfId="0" applyNumberFormat="1"/>
    <xf numFmtId="0" fontId="2" fillId="2" borderId="0" xfId="0" applyFont="1" applyFill="1" applyAlignment="1">
      <alignment horizontal="center" wrapText="1"/>
    </xf>
    <xf numFmtId="0" fontId="15" fillId="0" borderId="0" xfId="0" applyFont="1"/>
    <xf numFmtId="0" fontId="14" fillId="4" borderId="0" xfId="0" applyFont="1" applyFill="1"/>
    <xf numFmtId="165" fontId="14" fillId="0" borderId="0" xfId="0" applyNumberFormat="1" applyFont="1"/>
    <xf numFmtId="165" fontId="16" fillId="0" borderId="0" xfId="0" applyNumberFormat="1" applyFont="1"/>
    <xf numFmtId="165" fontId="14" fillId="4" borderId="0" xfId="0" applyNumberFormat="1" applyFont="1" applyFill="1"/>
    <xf numFmtId="164" fontId="14" fillId="0" borderId="0" xfId="0" applyNumberFormat="1" applyFont="1"/>
    <xf numFmtId="168" fontId="16" fillId="0" borderId="0" xfId="0" applyNumberFormat="1" applyFont="1"/>
    <xf numFmtId="165" fontId="1" fillId="0" borderId="0" xfId="0" applyNumberFormat="1" applyFont="1"/>
    <xf numFmtId="165" fontId="15" fillId="0" borderId="0" xfId="0" applyNumberFormat="1" applyFont="1"/>
    <xf numFmtId="168" fontId="14" fillId="4" borderId="0" xfId="0" applyNumberFormat="1" applyFont="1" applyFill="1"/>
    <xf numFmtId="168" fontId="15" fillId="0" borderId="0" xfId="0" applyNumberFormat="1" applyFont="1"/>
    <xf numFmtId="167" fontId="14" fillId="0" borderId="0" xfId="0" applyNumberFormat="1" applyFont="1"/>
    <xf numFmtId="3" fontId="15" fillId="0" borderId="0" xfId="0" applyNumberFormat="1" applyFont="1"/>
    <xf numFmtId="164" fontId="15" fillId="0" borderId="0" xfId="0" applyNumberFormat="1" applyFont="1"/>
    <xf numFmtId="9" fontId="14" fillId="0" borderId="0" xfId="0" applyNumberFormat="1" applyFont="1"/>
    <xf numFmtId="9" fontId="0" fillId="0" borderId="0" xfId="0" applyNumberFormat="1"/>
    <xf numFmtId="170" fontId="16" fillId="0" borderId="0" xfId="0" applyNumberFormat="1" applyFont="1"/>
    <xf numFmtId="0" fontId="12" fillId="0" borderId="0" xfId="0" applyNumberFormat="1" applyFont="1"/>
    <xf numFmtId="0" fontId="17" fillId="3" borderId="0" xfId="0" applyFont="1" applyFill="1"/>
    <xf numFmtId="164" fontId="17" fillId="0" borderId="0" xfId="0" applyNumberFormat="1" applyFont="1"/>
    <xf numFmtId="167" fontId="15" fillId="0" borderId="0" xfId="0" applyNumberFormat="1" applyFont="1"/>
    <xf numFmtId="0" fontId="16" fillId="3" borderId="0" xfId="0" applyFont="1" applyFill="1"/>
    <xf numFmtId="164" fontId="12" fillId="0" borderId="0" xfId="0" applyNumberFormat="1" applyFont="1"/>
    <xf numFmtId="164" fontId="16" fillId="0" borderId="0" xfId="0" applyNumberFormat="1" applyFont="1"/>
    <xf numFmtId="165" fontId="12" fillId="0" borderId="0" xfId="0" applyNumberFormat="1" applyFont="1"/>
    <xf numFmtId="0" fontId="12" fillId="0" borderId="0" xfId="0" applyFont="1"/>
    <xf numFmtId="167" fontId="12" fillId="0" borderId="0" xfId="0" applyNumberFormat="1" applyFont="1"/>
    <xf numFmtId="0" fontId="1" fillId="0" borderId="1" xfId="0" applyFont="1" applyBorder="1"/>
    <xf numFmtId="164" fontId="17" fillId="0" borderId="1" xfId="0" applyNumberFormat="1" applyFont="1" applyBorder="1"/>
    <xf numFmtId="164" fontId="16" fillId="0" borderId="1" xfId="0" applyNumberFormat="1" applyFont="1" applyBorder="1"/>
    <xf numFmtId="0" fontId="18" fillId="3" borderId="0" xfId="0" applyFont="1" applyFill="1"/>
    <xf numFmtId="0" fontId="19" fillId="3" borderId="0" xfId="0" applyFont="1" applyFill="1"/>
    <xf numFmtId="0" fontId="20" fillId="3" borderId="0" xfId="0" applyFont="1" applyFill="1"/>
    <xf numFmtId="164" fontId="21" fillId="0" borderId="0" xfId="0" applyNumberFormat="1" applyFont="1"/>
    <xf numFmtId="164" fontId="22" fillId="0" borderId="0" xfId="0" applyNumberFormat="1" applyFont="1"/>
    <xf numFmtId="165" fontId="21" fillId="0" borderId="0" xfId="0" applyNumberFormat="1" applyFont="1"/>
    <xf numFmtId="165" fontId="22" fillId="0" borderId="0" xfId="0" applyNumberFormat="1" applyFont="1"/>
    <xf numFmtId="173" fontId="0" fillId="0" borderId="0" xfId="0" applyNumberFormat="1"/>
    <xf numFmtId="173" fontId="14" fillId="0" borderId="0" xfId="0" applyNumberFormat="1" applyFont="1"/>
    <xf numFmtId="173" fontId="14" fillId="4" borderId="0" xfId="0" applyNumberFormat="1" applyFont="1" applyFill="1"/>
    <xf numFmtId="174" fontId="0" fillId="0" borderId="0" xfId="0" applyNumberFormat="1"/>
    <xf numFmtId="0" fontId="23" fillId="0" borderId="0" xfId="0" applyFont="1"/>
    <xf numFmtId="174" fontId="14" fillId="0" borderId="0" xfId="0" applyNumberFormat="1" applyFont="1"/>
    <xf numFmtId="174" fontId="14" fillId="4" borderId="0" xfId="0" applyNumberFormat="1" applyFont="1" applyFill="1"/>
    <xf numFmtId="170" fontId="14" fillId="4" borderId="0" xfId="0" applyNumberFormat="1" applyFont="1" applyFill="1"/>
    <xf numFmtId="170" fontId="15" fillId="0" borderId="0" xfId="0" applyNumberFormat="1" applyFont="1"/>
    <xf numFmtId="174" fontId="15" fillId="0" borderId="0" xfId="0" applyNumberFormat="1" applyFont="1"/>
    <xf numFmtId="0" fontId="0" fillId="0" borderId="1" xfId="0" applyBorder="1"/>
    <xf numFmtId="174" fontId="1" fillId="0" borderId="1" xfId="0" applyNumberFormat="1" applyFont="1" applyBorder="1"/>
    <xf numFmtId="0" fontId="0" fillId="5" borderId="0" xfId="0" applyFill="1"/>
    <xf numFmtId="174" fontId="1" fillId="5" borderId="0" xfId="0" applyNumberFormat="1" applyFont="1" applyFill="1"/>
    <xf numFmtId="0" fontId="1" fillId="5" borderId="0" xfId="0" applyFont="1" applyFill="1"/>
    <xf numFmtId="174" fontId="8" fillId="0" borderId="0" xfId="0" applyNumberFormat="1" applyFont="1"/>
    <xf numFmtId="0" fontId="9" fillId="3" borderId="0" xfId="0" applyFont="1" applyFill="1"/>
    <xf numFmtId="10" fontId="0" fillId="0" borderId="0" xfId="0" applyNumberFormat="1" applyAlignment="1">
      <alignment vertical="top" wrapText="1"/>
    </xf>
    <xf numFmtId="170" fontId="0" fillId="0" borderId="0" xfId="0" applyNumberFormat="1" applyAlignment="1">
      <alignment vertical="top" wrapText="1"/>
    </xf>
    <xf numFmtId="166" fontId="1" fillId="0" borderId="0" xfId="0" applyNumberFormat="1" applyFont="1"/>
    <xf numFmtId="164" fontId="1" fillId="0" borderId="1" xfId="0" applyNumberFormat="1" applyFont="1" applyBorder="1"/>
    <xf numFmtId="164" fontId="1" fillId="5" borderId="0" xfId="0" applyNumberFormat="1" applyFont="1" applyFill="1"/>
    <xf numFmtId="0" fontId="24" fillId="4" borderId="0" xfId="0" applyFont="1" applyFill="1"/>
    <xf numFmtId="166" fontId="24" fillId="4" borderId="0" xfId="0" applyNumberFormat="1" applyFont="1" applyFill="1"/>
    <xf numFmtId="0" fontId="25" fillId="0" borderId="0" xfId="0" applyFont="1"/>
    <xf numFmtId="0" fontId="3" fillId="5" borderId="0" xfId="0" applyFont="1" applyFill="1"/>
    <xf numFmtId="0" fontId="17" fillId="2" borderId="0" xfId="0" applyFont="1" applyFill="1"/>
    <xf numFmtId="0" fontId="1" fillId="3" borderId="0" xfId="0" applyFont="1" applyFill="1" applyAlignment="1">
      <alignment vertical="top" wrapText="1"/>
    </xf>
    <xf numFmtId="0" fontId="23" fillId="0" borderId="0" xfId="0" applyFont="1" applyAlignment="1">
      <alignment wrapText="1"/>
    </xf>
    <xf numFmtId="10" fontId="14" fillId="0" borderId="0" xfId="0" applyNumberFormat="1" applyFont="1"/>
    <xf numFmtId="10" fontId="14" fillId="4" borderId="0" xfId="0" applyNumberFormat="1" applyFont="1" applyFill="1"/>
    <xf numFmtId="0" fontId="7" fillId="0" borderId="0" xfId="0" applyFont="1" applyAlignment="1"/>
    <xf numFmtId="10" fontId="2" fillId="2" borderId="0" xfId="0" applyNumberFormat="1" applyFont="1" applyFill="1"/>
    <xf numFmtId="10" fontId="2" fillId="2" borderId="0" xfId="0" applyNumberFormat="1" applyFont="1" applyFill="1" applyAlignment="1">
      <alignment horizontal="center"/>
    </xf>
    <xf numFmtId="167" fontId="2" fillId="2" borderId="0" xfId="0" applyNumberFormat="1" applyFont="1" applyFill="1" applyAlignment="1">
      <alignment horizontal="center"/>
    </xf>
    <xf numFmtId="0" fontId="1" fillId="0" borderId="0" xfId="0" applyFont="1" applyAlignment="1">
      <alignment horizontal="center"/>
    </xf>
    <xf numFmtId="174" fontId="1" fillId="4" borderId="0" xfId="0" applyNumberFormat="1" applyFont="1" applyFill="1"/>
    <xf numFmtId="0" fontId="1" fillId="0" borderId="0" xfId="0" applyFont="1" applyAlignment="1">
      <alignment wrapText="1"/>
    </xf>
    <xf numFmtId="0" fontId="28" fillId="5" borderId="0" xfId="0" applyFont="1" applyFill="1" applyAlignment="1">
      <alignment wrapText="1"/>
    </xf>
    <xf numFmtId="0" fontId="2" fillId="2" borderId="0" xfId="0" applyFont="1" applyFill="1" applyAlignment="1">
      <alignment wrapText="1"/>
    </xf>
    <xf numFmtId="164" fontId="0" fillId="4" borderId="0" xfId="0" applyNumberFormat="1" applyFill="1"/>
    <xf numFmtId="167" fontId="14" fillId="4" borderId="0" xfId="0" applyNumberFormat="1" applyFont="1" applyFill="1"/>
    <xf numFmtId="173" fontId="1" fillId="0" borderId="1" xfId="0" applyNumberFormat="1" applyFont="1" applyBorder="1"/>
    <xf numFmtId="0" fontId="1" fillId="0" borderId="0" xfId="0" applyFont="1" applyAlignment="1">
      <alignment horizontal="center" vertical="top" wrapText="1"/>
    </xf>
    <xf numFmtId="0" fontId="0" fillId="0" borderId="2" xfId="0" applyBorder="1"/>
    <xf numFmtId="0" fontId="0" fillId="0" borderId="2" xfId="0" applyBorder="1" applyAlignment="1">
      <alignment vertical="top" wrapText="1"/>
    </xf>
    <xf numFmtId="0" fontId="1" fillId="0" borderId="2" xfId="0" applyFont="1" applyBorder="1" applyAlignment="1">
      <alignment horizontal="center" vertical="top" wrapText="1"/>
    </xf>
    <xf numFmtId="0" fontId="0" fillId="0" borderId="3" xfId="0" applyBorder="1"/>
    <xf numFmtId="0" fontId="0" fillId="0" borderId="3" xfId="0" applyBorder="1" applyAlignment="1">
      <alignment vertical="top" wrapText="1"/>
    </xf>
    <xf numFmtId="0" fontId="1" fillId="0" borderId="3" xfId="0" applyFont="1" applyBorder="1" applyAlignment="1">
      <alignment horizontal="center" vertical="top" wrapText="1"/>
    </xf>
    <xf numFmtId="3" fontId="0" fillId="0" borderId="3" xfId="0" applyNumberFormat="1" applyBorder="1"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top" wrapText="1"/>
    </xf>
    <xf numFmtId="0" fontId="29" fillId="0" borderId="0" xfId="0" applyFont="1"/>
    <xf numFmtId="0" fontId="30" fillId="2" borderId="0" xfId="0" applyFont="1" applyFill="1" applyAlignment="1">
      <alignment vertical="top" wrapText="1"/>
    </xf>
    <xf numFmtId="0" fontId="1" fillId="0" borderId="0" xfId="0" applyFont="1" applyAlignment="1">
      <alignment vertical="top" wrapText="1"/>
    </xf>
    <xf numFmtId="0" fontId="30" fillId="2" borderId="0" xfId="0" applyFont="1" applyFill="1"/>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vertical="top" wrapText="1"/>
    </xf>
    <xf numFmtId="0" fontId="1" fillId="5" borderId="0" xfId="0" applyFont="1" applyFill="1" applyAlignment="1">
      <alignment vertical="top" wrapText="1"/>
    </xf>
    <xf numFmtId="0" fontId="1" fillId="5" borderId="3" xfId="0" applyFont="1" applyFill="1" applyBorder="1" applyAlignment="1">
      <alignment vertical="top" wrapText="1"/>
    </xf>
    <xf numFmtId="0" fontId="0" fillId="5" borderId="3" xfId="0" applyFill="1" applyBorder="1" applyAlignment="1">
      <alignment vertical="top" wrapText="1"/>
    </xf>
    <xf numFmtId="0" fontId="0" fillId="0" borderId="8" xfId="0" applyBorder="1"/>
    <xf numFmtId="0" fontId="1" fillId="0" borderId="8" xfId="0" applyFont="1" applyBorder="1"/>
    <xf numFmtId="0" fontId="1" fillId="5" borderId="0" xfId="0" applyFont="1" applyFill="1" applyAlignment="1">
      <alignment wrapText="1"/>
    </xf>
    <xf numFmtId="172" fontId="2" fillId="2" borderId="0" xfId="0" applyNumberFormat="1" applyFont="1" applyFill="1" applyAlignment="1">
      <alignment horizontal="center"/>
    </xf>
    <xf numFmtId="0" fontId="6" fillId="0" borderId="0" xfId="0" applyFont="1" applyAlignment="1">
      <alignment wrapText="1"/>
    </xf>
    <xf numFmtId="0" fontId="1" fillId="4" borderId="0" xfId="0" applyFont="1" applyFill="1" applyAlignment="1">
      <alignment vertical="top" wrapText="1"/>
    </xf>
    <xf numFmtId="0" fontId="23" fillId="0" borderId="0" xfId="0" applyFont="1" applyAlignment="1">
      <alignment vertical="top" wrapText="1"/>
    </xf>
    <xf numFmtId="0" fontId="0" fillId="0" borderId="0" xfId="0" applyFill="1" applyBorder="1"/>
    <xf numFmtId="0" fontId="0" fillId="0" borderId="0" xfId="0" applyFill="1" applyBorder="1" applyAlignment="1">
      <alignment vertical="top" wrapText="1"/>
    </xf>
    <xf numFmtId="173" fontId="0" fillId="0" borderId="0" xfId="0" applyNumberFormat="1" applyAlignment="1">
      <alignment vertical="top" wrapText="1"/>
    </xf>
    <xf numFmtId="172" fontId="0" fillId="0" borderId="0" xfId="0" applyNumberFormat="1" applyAlignment="1">
      <alignment vertical="top" wrapText="1"/>
    </xf>
    <xf numFmtId="0" fontId="8" fillId="0" borderId="0" xfId="0" applyFont="1" applyAlignment="1">
      <alignment wrapText="1"/>
    </xf>
    <xf numFmtId="0" fontId="1" fillId="3" borderId="0" xfId="0" applyFont="1" applyFill="1" applyAlignment="1">
      <alignment horizontal="center"/>
    </xf>
    <xf numFmtId="0" fontId="1" fillId="0" borderId="2" xfId="0" applyFont="1" applyBorder="1"/>
    <xf numFmtId="0" fontId="0" fillId="0" borderId="2" xfId="0" applyBorder="1" applyAlignment="1">
      <alignment horizontal="center"/>
    </xf>
    <xf numFmtId="0" fontId="1" fillId="0" borderId="3" xfId="0" applyFont="1" applyBorder="1"/>
    <xf numFmtId="0" fontId="0" fillId="0" borderId="3" xfId="0" applyBorder="1" applyAlignment="1">
      <alignment horizontal="center"/>
    </xf>
    <xf numFmtId="173" fontId="0" fillId="0" borderId="3" xfId="0" applyNumberFormat="1" applyBorder="1" applyAlignment="1">
      <alignment horizontal="center"/>
    </xf>
    <xf numFmtId="0" fontId="0" fillId="0" borderId="1" xfId="0" applyBorder="1" applyAlignment="1">
      <alignment horizontal="center"/>
    </xf>
    <xf numFmtId="176" fontId="0" fillId="0" borderId="0" xfId="0" applyNumberFormat="1"/>
    <xf numFmtId="176" fontId="26" fillId="4" borderId="0" xfId="0" applyNumberFormat="1" applyFont="1" applyFill="1"/>
    <xf numFmtId="176" fontId="27" fillId="5" borderId="0" xfId="0" applyNumberFormat="1" applyFont="1" applyFill="1"/>
    <xf numFmtId="176" fontId="4" fillId="0" borderId="0" xfId="0" applyNumberFormat="1" applyFont="1"/>
    <xf numFmtId="176" fontId="24" fillId="4" borderId="0" xfId="0" applyNumberFormat="1" applyFont="1" applyFill="1"/>
    <xf numFmtId="176" fontId="0" fillId="0" borderId="4" xfId="0" applyNumberFormat="1" applyBorder="1" applyAlignment="1">
      <alignment horizontal="center"/>
    </xf>
    <xf numFmtId="176" fontId="0" fillId="0" borderId="5" xfId="0" applyNumberFormat="1" applyBorder="1" applyAlignment="1">
      <alignment horizontal="center"/>
    </xf>
    <xf numFmtId="176" fontId="0" fillId="0" borderId="6" xfId="0" applyNumberFormat="1" applyBorder="1" applyAlignment="1">
      <alignment horizontal="center"/>
    </xf>
    <xf numFmtId="176" fontId="0" fillId="0" borderId="7" xfId="0" applyNumberFormat="1" applyBorder="1" applyAlignment="1">
      <alignment horizontal="center"/>
    </xf>
    <xf numFmtId="176" fontId="0" fillId="0" borderId="8" xfId="0" applyNumberFormat="1" applyBorder="1" applyAlignment="1">
      <alignment horizontal="center"/>
    </xf>
    <xf numFmtId="176" fontId="0" fillId="0" borderId="9" xfId="0" applyNumberFormat="1" applyBorder="1" applyAlignment="1">
      <alignment horizontal="center"/>
    </xf>
    <xf numFmtId="176" fontId="1" fillId="4" borderId="8" xfId="0" applyNumberFormat="1" applyFont="1" applyFill="1" applyBorder="1" applyAlignment="1">
      <alignment horizontal="center"/>
    </xf>
    <xf numFmtId="176" fontId="0" fillId="0" borderId="10" xfId="0" applyNumberFormat="1" applyBorder="1" applyAlignment="1">
      <alignment horizontal="center"/>
    </xf>
    <xf numFmtId="176" fontId="0" fillId="0" borderId="11" xfId="0" applyNumberFormat="1" applyBorder="1" applyAlignment="1">
      <alignment horizontal="center"/>
    </xf>
    <xf numFmtId="176" fontId="0" fillId="0" borderId="12" xfId="0" applyNumberFormat="1" applyBorder="1" applyAlignment="1">
      <alignment horizontal="center"/>
    </xf>
    <xf numFmtId="176" fontId="15" fillId="0" borderId="0" xfId="0" applyNumberFormat="1" applyFont="1"/>
    <xf numFmtId="176" fontId="5" fillId="0" borderId="0" xfId="0" applyNumberFormat="1" applyFont="1"/>
    <xf numFmtId="176" fontId="1" fillId="5" borderId="0" xfId="0" applyNumberFormat="1" applyFont="1" applyFill="1"/>
    <xf numFmtId="49" fontId="0" fillId="0" borderId="0" xfId="0" applyNumberFormat="1"/>
    <xf numFmtId="49" fontId="31" fillId="0" borderId="2" xfId="0" applyNumberFormat="1" applyFont="1" applyBorder="1" applyAlignment="1">
      <alignment vertical="top" wrapText="1"/>
    </xf>
    <xf numFmtId="49" fontId="31" fillId="0" borderId="3" xfId="0" applyNumberFormat="1" applyFont="1" applyBorder="1" applyAlignment="1">
      <alignment vertical="top" wrapText="1"/>
    </xf>
    <xf numFmtId="49" fontId="31" fillId="0" borderId="1" xfId="0" applyNumberFormat="1" applyFont="1" applyBorder="1" applyAlignment="1">
      <alignment vertical="top" wrapText="1"/>
    </xf>
    <xf numFmtId="176" fontId="1" fillId="0" borderId="0" xfId="0" applyNumberFormat="1" applyFont="1"/>
    <xf numFmtId="164" fontId="0" fillId="0" borderId="2" xfId="0" applyNumberFormat="1" applyBorder="1" applyAlignment="1">
      <alignment horizontal="center"/>
    </xf>
    <xf numFmtId="164" fontId="0" fillId="0" borderId="3" xfId="0" applyNumberFormat="1" applyBorder="1" applyAlignment="1">
      <alignment horizontal="center"/>
    </xf>
    <xf numFmtId="170" fontId="0" fillId="0" borderId="3" xfId="0" applyNumberFormat="1" applyBorder="1" applyAlignment="1">
      <alignment horizontal="center"/>
    </xf>
    <xf numFmtId="172" fontId="0" fillId="0" borderId="1" xfId="0" applyNumberFormat="1" applyBorder="1" applyAlignment="1">
      <alignment horizontal="center"/>
    </xf>
    <xf numFmtId="0" fontId="1" fillId="4" borderId="3" xfId="0" applyFont="1" applyFill="1" applyBorder="1"/>
    <xf numFmtId="176" fontId="1" fillId="4" borderId="3" xfId="0" applyNumberFormat="1" applyFont="1" applyFill="1" applyBorder="1" applyAlignment="1">
      <alignment horizontal="center"/>
    </xf>
    <xf numFmtId="0" fontId="1" fillId="4" borderId="3" xfId="0" applyFont="1" applyFill="1" applyBorder="1" applyAlignment="1">
      <alignment horizontal="center"/>
    </xf>
    <xf numFmtId="0" fontId="9" fillId="0" borderId="0" xfId="0" applyFont="1" applyFill="1" applyBorder="1"/>
    <xf numFmtId="0" fontId="32" fillId="2" borderId="0" xfId="0" applyFont="1" applyFill="1" applyAlignment="1">
      <alignment vertical="top"/>
    </xf>
    <xf numFmtId="0" fontId="0" fillId="0" borderId="0" xfId="0" applyAlignment="1">
      <alignment vertical="top"/>
    </xf>
    <xf numFmtId="0" fontId="1" fillId="3" borderId="0" xfId="0" applyFont="1" applyFill="1" applyAlignment="1">
      <alignment horizontal="center" vertical="top"/>
    </xf>
    <xf numFmtId="0" fontId="6" fillId="0" borderId="0" xfId="0" applyFont="1" applyAlignment="1">
      <alignment vertical="top"/>
    </xf>
    <xf numFmtId="164" fontId="0" fillId="0" borderId="0" xfId="0" applyNumberFormat="1" applyAlignment="1">
      <alignment vertical="top"/>
    </xf>
    <xf numFmtId="167" fontId="14" fillId="4" borderId="0" xfId="0" applyNumberFormat="1" applyFont="1" applyFill="1" applyAlignment="1">
      <alignment vertical="top"/>
    </xf>
    <xf numFmtId="176" fontId="0" fillId="0" borderId="0" xfId="0" applyNumberFormat="1" applyAlignment="1">
      <alignment vertical="top"/>
    </xf>
    <xf numFmtId="0" fontId="18" fillId="0" borderId="0" xfId="0" applyFont="1" applyAlignment="1">
      <alignment vertical="top"/>
    </xf>
    <xf numFmtId="0" fontId="1" fillId="0" borderId="0" xfId="0" applyFont="1" applyAlignment="1">
      <alignment vertical="top"/>
    </xf>
    <xf numFmtId="176" fontId="1" fillId="0" borderId="0" xfId="0" applyNumberFormat="1" applyFont="1" applyAlignment="1">
      <alignment vertical="top"/>
    </xf>
    <xf numFmtId="0" fontId="18" fillId="5" borderId="0" xfId="0" applyFont="1" applyFill="1" applyAlignment="1">
      <alignment vertical="top"/>
    </xf>
    <xf numFmtId="0" fontId="1" fillId="5" borderId="0" xfId="0" applyFont="1" applyFill="1" applyAlignment="1">
      <alignment vertical="top"/>
    </xf>
    <xf numFmtId="176" fontId="1" fillId="5" borderId="0" xfId="0" applyNumberFormat="1" applyFont="1" applyFill="1" applyAlignment="1">
      <alignment vertical="top"/>
    </xf>
    <xf numFmtId="0" fontId="7" fillId="0" borderId="0" xfId="0" applyFont="1" applyAlignment="1">
      <alignment vertical="top" wrapText="1"/>
    </xf>
    <xf numFmtId="9" fontId="14" fillId="4" borderId="0" xfId="0" applyNumberFormat="1" applyFont="1" applyFill="1" applyAlignment="1">
      <alignment vertical="top"/>
    </xf>
    <xf numFmtId="9" fontId="6" fillId="0" borderId="0" xfId="0" applyNumberFormat="1" applyFont="1" applyAlignment="1">
      <alignment vertical="top"/>
    </xf>
    <xf numFmtId="0" fontId="33" fillId="4" borderId="0" xfId="0" applyFont="1" applyFill="1" applyAlignment="1">
      <alignment vertical="top"/>
    </xf>
    <xf numFmtId="176" fontId="34" fillId="4" borderId="0" xfId="0" applyNumberFormat="1" applyFont="1" applyFill="1" applyAlignment="1">
      <alignment vertical="top"/>
    </xf>
    <xf numFmtId="172" fontId="0" fillId="0" borderId="0" xfId="0" applyNumberFormat="1" applyAlignment="1">
      <alignment vertical="top"/>
    </xf>
    <xf numFmtId="170" fontId="0" fillId="0" borderId="0" xfId="0" applyNumberFormat="1" applyAlignment="1">
      <alignment vertical="top"/>
    </xf>
    <xf numFmtId="0" fontId="8" fillId="0" borderId="0" xfId="0" applyFont="1" applyAlignment="1">
      <alignment vertical="top"/>
    </xf>
    <xf numFmtId="0" fontId="0" fillId="0" borderId="2" xfId="0" applyFill="1" applyBorder="1"/>
    <xf numFmtId="0" fontId="0" fillId="0" borderId="2" xfId="0" applyFill="1" applyBorder="1" applyAlignment="1">
      <alignment vertical="top" wrapText="1"/>
    </xf>
    <xf numFmtId="0" fontId="0" fillId="0" borderId="3" xfId="0" applyFill="1" applyBorder="1"/>
    <xf numFmtId="0" fontId="0" fillId="0" borderId="3" xfId="0" applyFill="1" applyBorder="1" applyAlignment="1">
      <alignment vertical="top" wrapText="1"/>
    </xf>
    <xf numFmtId="0" fontId="0" fillId="0" borderId="1" xfId="0" applyFill="1" applyBorder="1"/>
    <xf numFmtId="0" fontId="0" fillId="0" borderId="1" xfId="0" applyFill="1" applyBorder="1" applyAlignment="1">
      <alignment vertical="top" wrapText="1"/>
    </xf>
    <xf numFmtId="0" fontId="0" fillId="6" borderId="0" xfId="0" applyFill="1"/>
    <xf numFmtId="0" fontId="35" fillId="6" borderId="0" xfId="0" applyFont="1" applyFill="1" applyAlignment="1">
      <alignment wrapText="1"/>
    </xf>
    <xf numFmtId="176" fontId="14" fillId="0" borderId="0" xfId="0" applyNumberFormat="1" applyFont="1"/>
    <xf numFmtId="3" fontId="14" fillId="0" borderId="0" xfId="0" applyNumberFormat="1" applyFont="1"/>
    <xf numFmtId="1" fontId="14" fillId="0" borderId="0" xfId="0" applyNumberFormat="1" applyFont="1"/>
    <xf numFmtId="176" fontId="14" fillId="4" borderId="0" xfId="0" applyNumberFormat="1" applyFont="1" applyFill="1"/>
    <xf numFmtId="9" fontId="12" fillId="0" borderId="0" xfId="0" applyNumberFormat="1" applyFont="1"/>
    <xf numFmtId="172" fontId="15" fillId="0" borderId="0" xfId="0" applyNumberFormat="1" applyFont="1"/>
    <xf numFmtId="1" fontId="15" fillId="0" borderId="0" xfId="0" applyNumberFormat="1" applyFont="1"/>
  </cellXfs>
  <cellStyles count="1">
    <cellStyle name="Normal" xfId="0" builtinId="0"/>
  </cellStyles>
  <dxfs count="12">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5E71-737A-4EF1-872F-0196BDBDAF77}">
  <we:reference id="wa200009404" version="1.0.0.8" store="es-ES" storeType="OMEX"/>
  <we:alternateReferences>
    <we:reference id="WA200009404" version="1.0.0.8" store="en-US" storeType="OMEX"/>
  </we:alternateReferences>
  <we:properties>
    <we:property name="claude.fileId" value="&quot;591a5c8f-b742-4655-89f7-884b6c20e22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8E21-D12F-4AEB-A376-5CD34F27C7A5}">
  <dimension ref="A1:P287"/>
  <sheetViews>
    <sheetView workbookViewId="0"/>
  </sheetViews>
  <sheetFormatPr baseColWidth="10" defaultRowHeight="14.4" x14ac:dyDescent="0.3"/>
  <cols>
    <col min="2" max="2" width="72.21875" customWidth="1"/>
    <col min="3" max="3" width="22.21875" customWidth="1"/>
    <col min="4" max="16" width="17" customWidth="1"/>
  </cols>
  <sheetData>
    <row r="1" spans="1:16" ht="21" x14ac:dyDescent="0.4">
      <c r="A1" s="110" t="s">
        <v>2012</v>
      </c>
    </row>
    <row r="2" spans="1:16" x14ac:dyDescent="0.3">
      <c r="A2" s="90" t="s">
        <v>2013</v>
      </c>
    </row>
    <row r="3" spans="1:16" x14ac:dyDescent="0.3">
      <c r="A3" s="14" t="s">
        <v>2014</v>
      </c>
    </row>
    <row r="5" spans="1:16" x14ac:dyDescent="0.3">
      <c r="B5" s="15" t="s">
        <v>61</v>
      </c>
      <c r="C5" s="15" t="s">
        <v>89</v>
      </c>
      <c r="D5" s="15" t="s">
        <v>2015</v>
      </c>
      <c r="E5" s="15" t="s">
        <v>2016</v>
      </c>
      <c r="F5" s="15" t="s">
        <v>2017</v>
      </c>
      <c r="G5" s="15" t="s">
        <v>2018</v>
      </c>
      <c r="H5" s="15" t="s">
        <v>2019</v>
      </c>
      <c r="I5" s="15" t="s">
        <v>2020</v>
      </c>
      <c r="J5" s="15" t="s">
        <v>2021</v>
      </c>
      <c r="K5" s="15" t="s">
        <v>2022</v>
      </c>
      <c r="L5" s="15" t="s">
        <v>2023</v>
      </c>
      <c r="M5" s="15" t="s">
        <v>2024</v>
      </c>
      <c r="N5" s="15" t="s">
        <v>2025</v>
      </c>
      <c r="O5" s="15" t="s">
        <v>2026</v>
      </c>
      <c r="P5" s="15" t="s">
        <v>2027</v>
      </c>
    </row>
    <row r="7" spans="1:16" ht="15.6" x14ac:dyDescent="0.3">
      <c r="B7" s="142" t="s">
        <v>2028</v>
      </c>
      <c r="C7" s="142"/>
      <c r="D7" s="142"/>
      <c r="E7" s="142"/>
      <c r="F7" s="142"/>
      <c r="G7" s="142"/>
      <c r="H7" s="142"/>
      <c r="I7" s="142"/>
      <c r="J7" s="142"/>
      <c r="K7" s="142"/>
      <c r="L7" s="142"/>
      <c r="M7" s="142"/>
      <c r="N7" s="142"/>
      <c r="O7" s="142"/>
      <c r="P7" s="142"/>
    </row>
    <row r="8" spans="1:16" x14ac:dyDescent="0.3">
      <c r="B8" t="s">
        <v>576</v>
      </c>
      <c r="C8" s="42" t="s">
        <v>2033</v>
      </c>
    </row>
    <row r="9" spans="1:16" x14ac:dyDescent="0.3">
      <c r="B9" t="s">
        <v>2030</v>
      </c>
      <c r="C9" s="42" t="s">
        <v>2034</v>
      </c>
    </row>
    <row r="10" spans="1:16" x14ac:dyDescent="0.3">
      <c r="B10" t="s">
        <v>318</v>
      </c>
      <c r="C10" s="42" t="s">
        <v>319</v>
      </c>
    </row>
    <row r="11" spans="1:16" x14ac:dyDescent="0.3">
      <c r="B11" t="s">
        <v>316</v>
      </c>
      <c r="C11" s="42" t="s">
        <v>317</v>
      </c>
    </row>
    <row r="12" spans="1:16" x14ac:dyDescent="0.3">
      <c r="B12" t="s">
        <v>578</v>
      </c>
      <c r="C12" s="42" t="s">
        <v>329</v>
      </c>
    </row>
    <row r="13" spans="1:16" x14ac:dyDescent="0.3">
      <c r="B13" t="s">
        <v>2031</v>
      </c>
      <c r="C13" s="231">
        <v>0</v>
      </c>
    </row>
    <row r="14" spans="1:16" x14ac:dyDescent="0.3">
      <c r="B14" t="s">
        <v>2032</v>
      </c>
      <c r="C14" t="s">
        <v>2029</v>
      </c>
      <c r="D14" s="42" t="s">
        <v>90</v>
      </c>
      <c r="E14" s="42" t="s">
        <v>91</v>
      </c>
      <c r="F14" s="42" t="s">
        <v>92</v>
      </c>
      <c r="G14" s="42" t="s">
        <v>302</v>
      </c>
      <c r="H14" s="42" t="s">
        <v>303</v>
      </c>
      <c r="I14" s="42" t="s">
        <v>304</v>
      </c>
      <c r="J14" s="42" t="s">
        <v>305</v>
      </c>
      <c r="K14" s="42" t="s">
        <v>306</v>
      </c>
      <c r="L14" s="42" t="s">
        <v>307</v>
      </c>
      <c r="M14" s="42" t="s">
        <v>308</v>
      </c>
      <c r="N14" s="42" t="s">
        <v>309</v>
      </c>
      <c r="O14" s="42" t="s">
        <v>310</v>
      </c>
      <c r="P14" s="42" t="s">
        <v>311</v>
      </c>
    </row>
    <row r="16" spans="1:16" ht="15.6" x14ac:dyDescent="0.3">
      <c r="B16" s="142" t="s">
        <v>2035</v>
      </c>
      <c r="C16" s="142"/>
      <c r="D16" s="142"/>
      <c r="E16" s="142"/>
      <c r="F16" s="142"/>
      <c r="G16" s="142"/>
      <c r="H16" s="142"/>
      <c r="I16" s="142"/>
      <c r="J16" s="142"/>
      <c r="K16" s="142"/>
      <c r="L16" s="142"/>
      <c r="M16" s="142"/>
      <c r="N16" s="142"/>
      <c r="O16" s="142"/>
      <c r="P16" s="142"/>
    </row>
    <row r="18" spans="2:6" x14ac:dyDescent="0.3">
      <c r="B18" t="s">
        <v>94</v>
      </c>
      <c r="C18" t="s">
        <v>95</v>
      </c>
      <c r="D18" s="54">
        <v>19774</v>
      </c>
      <c r="E18" s="54">
        <v>24506</v>
      </c>
      <c r="F18" s="54">
        <v>33989</v>
      </c>
    </row>
    <row r="19" spans="2:6" x14ac:dyDescent="0.3">
      <c r="B19" t="s">
        <v>96</v>
      </c>
      <c r="C19" t="s">
        <v>95</v>
      </c>
      <c r="D19" s="54">
        <v>24690</v>
      </c>
      <c r="E19" s="54">
        <v>24724</v>
      </c>
      <c r="F19" s="54">
        <v>24541</v>
      </c>
    </row>
    <row r="20" spans="2:6" x14ac:dyDescent="0.3">
      <c r="B20" t="s">
        <v>97</v>
      </c>
      <c r="C20" t="s">
        <v>95</v>
      </c>
      <c r="D20" s="54">
        <v>3066</v>
      </c>
      <c r="E20" s="54">
        <v>2936</v>
      </c>
      <c r="F20" s="54">
        <v>3084</v>
      </c>
    </row>
    <row r="21" spans="2:6" x14ac:dyDescent="0.3">
      <c r="B21" t="s">
        <v>98</v>
      </c>
      <c r="C21" t="s">
        <v>95</v>
      </c>
      <c r="D21" s="54">
        <v>5431</v>
      </c>
      <c r="E21" s="54">
        <v>5233</v>
      </c>
      <c r="F21" s="54">
        <v>5743</v>
      </c>
    </row>
    <row r="22" spans="2:6" x14ac:dyDescent="0.3">
      <c r="B22" t="s">
        <v>99</v>
      </c>
      <c r="C22" t="s">
        <v>95</v>
      </c>
      <c r="D22" s="54" t="s">
        <v>2036</v>
      </c>
      <c r="E22" s="54"/>
      <c r="F22" s="54"/>
    </row>
    <row r="23" spans="2:6" x14ac:dyDescent="0.3">
      <c r="D23" s="54"/>
      <c r="E23" s="54"/>
      <c r="F23" s="54"/>
    </row>
    <row r="24" spans="2:6" x14ac:dyDescent="0.3">
      <c r="B24" t="s">
        <v>100</v>
      </c>
      <c r="C24" t="s">
        <v>95</v>
      </c>
      <c r="D24" s="54">
        <v>9427</v>
      </c>
      <c r="E24" s="54">
        <v>11569</v>
      </c>
      <c r="F24" s="54">
        <v>17597</v>
      </c>
    </row>
    <row r="25" spans="2:6" x14ac:dyDescent="0.3">
      <c r="B25" t="s">
        <v>101</v>
      </c>
      <c r="C25" t="s">
        <v>95</v>
      </c>
      <c r="D25" s="54">
        <v>891</v>
      </c>
      <c r="E25" s="54">
        <v>782</v>
      </c>
      <c r="F25" s="54">
        <v>868</v>
      </c>
    </row>
    <row r="26" spans="2:6" x14ac:dyDescent="0.3">
      <c r="B26" t="s">
        <v>102</v>
      </c>
      <c r="C26" t="s">
        <v>95</v>
      </c>
      <c r="D26" s="54">
        <v>4825</v>
      </c>
      <c r="E26" s="54">
        <v>4576</v>
      </c>
      <c r="F26" s="54">
        <v>4556</v>
      </c>
    </row>
    <row r="27" spans="2:6" x14ac:dyDescent="0.3">
      <c r="B27" t="s">
        <v>103</v>
      </c>
      <c r="C27" t="s">
        <v>95</v>
      </c>
      <c r="D27" s="54" t="s">
        <v>2036</v>
      </c>
      <c r="E27" s="54"/>
      <c r="F27" s="54"/>
    </row>
    <row r="28" spans="2:6" x14ac:dyDescent="0.3">
      <c r="B28" t="s">
        <v>104</v>
      </c>
      <c r="C28" t="s">
        <v>95</v>
      </c>
      <c r="D28" s="54" t="s">
        <v>2036</v>
      </c>
      <c r="E28" s="54"/>
      <c r="F28" s="54"/>
    </row>
    <row r="29" spans="2:6" x14ac:dyDescent="0.3">
      <c r="B29" t="s">
        <v>105</v>
      </c>
      <c r="C29" t="s">
        <v>42</v>
      </c>
      <c r="D29" s="54" t="s">
        <v>2036</v>
      </c>
      <c r="E29" s="54"/>
      <c r="F29" s="54"/>
    </row>
    <row r="30" spans="2:6" x14ac:dyDescent="0.3">
      <c r="D30" s="54"/>
      <c r="E30" s="54"/>
      <c r="F30" s="54"/>
    </row>
    <row r="31" spans="2:6" x14ac:dyDescent="0.3">
      <c r="B31" t="s">
        <v>106</v>
      </c>
      <c r="C31" t="s">
        <v>95</v>
      </c>
      <c r="D31" s="54">
        <v>8274</v>
      </c>
      <c r="E31" s="54">
        <v>8651</v>
      </c>
      <c r="F31" s="54">
        <v>8331</v>
      </c>
    </row>
    <row r="32" spans="2:6" x14ac:dyDescent="0.3">
      <c r="B32" t="s">
        <v>107</v>
      </c>
      <c r="C32" t="s">
        <v>95</v>
      </c>
      <c r="D32" s="54">
        <v>8915</v>
      </c>
      <c r="E32" s="54">
        <v>9860</v>
      </c>
      <c r="F32" s="54">
        <v>10272</v>
      </c>
    </row>
    <row r="33" spans="2:6" x14ac:dyDescent="0.3">
      <c r="B33" t="s">
        <v>108</v>
      </c>
      <c r="C33" t="s">
        <v>95</v>
      </c>
      <c r="D33" s="54">
        <v>1548</v>
      </c>
      <c r="E33" s="54">
        <v>1602</v>
      </c>
      <c r="F33" s="54">
        <v>1618</v>
      </c>
    </row>
    <row r="34" spans="2:6" x14ac:dyDescent="0.3">
      <c r="B34" t="s">
        <v>109</v>
      </c>
      <c r="C34" t="s">
        <v>95</v>
      </c>
      <c r="D34" s="54">
        <v>3010</v>
      </c>
      <c r="E34" s="54">
        <v>2307</v>
      </c>
      <c r="F34" s="54">
        <v>1671</v>
      </c>
    </row>
    <row r="35" spans="2:6" x14ac:dyDescent="0.3">
      <c r="B35" t="s">
        <v>110</v>
      </c>
      <c r="C35" t="s">
        <v>95</v>
      </c>
      <c r="D35" s="54">
        <v>718</v>
      </c>
      <c r="E35" s="54">
        <v>374</v>
      </c>
      <c r="F35" s="54">
        <v>1838</v>
      </c>
    </row>
    <row r="36" spans="2:6" x14ac:dyDescent="0.3">
      <c r="B36" t="s">
        <v>111</v>
      </c>
      <c r="C36" t="s">
        <v>95</v>
      </c>
      <c r="D36" s="54" t="s">
        <v>2036</v>
      </c>
      <c r="E36" s="54"/>
      <c r="F36" s="54"/>
    </row>
    <row r="37" spans="2:6" x14ac:dyDescent="0.3">
      <c r="B37" t="s">
        <v>112</v>
      </c>
      <c r="C37" t="s">
        <v>95</v>
      </c>
      <c r="D37" s="54" t="s">
        <v>2036</v>
      </c>
      <c r="E37" s="54"/>
      <c r="F37" s="54"/>
    </row>
    <row r="38" spans="2:6" x14ac:dyDescent="0.3">
      <c r="B38" t="s">
        <v>113</v>
      </c>
      <c r="C38" t="s">
        <v>42</v>
      </c>
      <c r="D38" s="54" t="s">
        <v>2036</v>
      </c>
      <c r="E38" s="54"/>
      <c r="F38" s="54"/>
    </row>
    <row r="39" spans="2:6" x14ac:dyDescent="0.3">
      <c r="D39" s="54"/>
      <c r="E39" s="54"/>
      <c r="F39" s="54"/>
    </row>
    <row r="40" spans="2:6" x14ac:dyDescent="0.3">
      <c r="B40" t="s">
        <v>114</v>
      </c>
      <c r="C40" t="s">
        <v>95</v>
      </c>
      <c r="D40" s="54">
        <v>3514</v>
      </c>
      <c r="E40" s="54">
        <v>3578</v>
      </c>
      <c r="F40" s="54">
        <v>4599</v>
      </c>
    </row>
    <row r="41" spans="2:6" x14ac:dyDescent="0.3">
      <c r="B41" t="s">
        <v>115</v>
      </c>
      <c r="C41" t="s">
        <v>95</v>
      </c>
      <c r="D41" s="54">
        <v>-98</v>
      </c>
      <c r="E41" s="54">
        <v>60</v>
      </c>
      <c r="F41" s="54">
        <v>3547</v>
      </c>
    </row>
    <row r="42" spans="2:6" x14ac:dyDescent="0.3">
      <c r="B42" t="s">
        <v>116</v>
      </c>
      <c r="C42" t="s">
        <v>95</v>
      </c>
      <c r="D42" s="54" t="s">
        <v>2036</v>
      </c>
      <c r="E42" s="54"/>
      <c r="F42" s="54"/>
    </row>
    <row r="43" spans="2:6" x14ac:dyDescent="0.3">
      <c r="B43" t="s">
        <v>117</v>
      </c>
      <c r="C43" t="s">
        <v>95</v>
      </c>
      <c r="D43" s="54">
        <v>1274</v>
      </c>
      <c r="E43" s="54">
        <v>1717</v>
      </c>
      <c r="F43" s="54">
        <v>2467</v>
      </c>
    </row>
    <row r="44" spans="2:6" x14ac:dyDescent="0.3">
      <c r="B44" t="s">
        <v>118</v>
      </c>
      <c r="C44" t="s">
        <v>42</v>
      </c>
      <c r="D44" s="54" t="s">
        <v>2036</v>
      </c>
      <c r="E44" s="54"/>
      <c r="F44" s="54"/>
    </row>
    <row r="45" spans="2:6" x14ac:dyDescent="0.3">
      <c r="B45" t="s">
        <v>119</v>
      </c>
      <c r="C45" t="s">
        <v>95</v>
      </c>
      <c r="D45" s="54" t="s">
        <v>2036</v>
      </c>
      <c r="E45" s="54"/>
      <c r="F45" s="54"/>
    </row>
    <row r="46" spans="2:6" x14ac:dyDescent="0.3">
      <c r="B46" t="s">
        <v>120</v>
      </c>
      <c r="C46" t="s">
        <v>95</v>
      </c>
      <c r="D46" s="54">
        <v>0</v>
      </c>
      <c r="E46" s="54">
        <v>0</v>
      </c>
      <c r="F46" s="54">
        <v>103</v>
      </c>
    </row>
    <row r="47" spans="2:6" x14ac:dyDescent="0.3">
      <c r="B47" t="s">
        <v>121</v>
      </c>
      <c r="C47" t="s">
        <v>95</v>
      </c>
      <c r="D47" s="54" t="s">
        <v>2036</v>
      </c>
      <c r="E47" s="54"/>
      <c r="F47" s="54"/>
    </row>
    <row r="48" spans="2:6" x14ac:dyDescent="0.3">
      <c r="B48" t="s">
        <v>122</v>
      </c>
      <c r="C48" t="s">
        <v>123</v>
      </c>
      <c r="D48" s="228">
        <v>3.82</v>
      </c>
      <c r="E48" s="228">
        <v>4.46</v>
      </c>
      <c r="F48" s="228">
        <v>5.94</v>
      </c>
    </row>
    <row r="49" spans="2:16" x14ac:dyDescent="0.3">
      <c r="B49" t="s">
        <v>124</v>
      </c>
      <c r="C49" t="s">
        <v>123</v>
      </c>
      <c r="D49" s="228">
        <v>3.71</v>
      </c>
      <c r="E49" s="228">
        <v>4.34</v>
      </c>
      <c r="F49" s="228">
        <v>5.83</v>
      </c>
    </row>
    <row r="50" spans="2:16" x14ac:dyDescent="0.3">
      <c r="B50" t="s">
        <v>125</v>
      </c>
      <c r="C50" t="s">
        <v>126</v>
      </c>
      <c r="D50" s="229">
        <v>2744</v>
      </c>
      <c r="E50" s="229">
        <v>2789</v>
      </c>
      <c r="F50" s="229">
        <v>2860</v>
      </c>
    </row>
    <row r="51" spans="2:16" x14ac:dyDescent="0.3">
      <c r="B51" t="s">
        <v>127</v>
      </c>
      <c r="C51" t="s">
        <v>126</v>
      </c>
      <c r="D51" s="21">
        <v>2823</v>
      </c>
      <c r="E51" s="21">
        <v>2866</v>
      </c>
      <c r="F51" s="21">
        <v>2914</v>
      </c>
    </row>
    <row r="52" spans="2:16" ht="15.6" x14ac:dyDescent="0.3">
      <c r="B52" s="142" t="s">
        <v>2037</v>
      </c>
      <c r="C52" s="142"/>
      <c r="D52" s="142"/>
      <c r="E52" s="142"/>
      <c r="F52" s="142"/>
      <c r="G52" s="142"/>
      <c r="H52" s="142"/>
      <c r="I52" s="142"/>
      <c r="J52" s="142"/>
      <c r="K52" s="142"/>
      <c r="L52" s="142"/>
      <c r="M52" s="142"/>
      <c r="N52" s="142"/>
      <c r="O52" s="142"/>
      <c r="P52" s="142"/>
    </row>
    <row r="54" spans="2:16" x14ac:dyDescent="0.3">
      <c r="B54" t="s">
        <v>129</v>
      </c>
      <c r="C54" t="s">
        <v>95</v>
      </c>
      <c r="D54" s="54"/>
      <c r="E54" s="54">
        <v>10786</v>
      </c>
      <c r="F54" s="54">
        <v>31289</v>
      </c>
    </row>
    <row r="55" spans="2:16" x14ac:dyDescent="0.3">
      <c r="B55" t="s">
        <v>130</v>
      </c>
      <c r="C55" t="s">
        <v>95</v>
      </c>
      <c r="D55" s="54"/>
      <c r="E55" s="54">
        <v>417</v>
      </c>
      <c r="F55" s="54">
        <v>605</v>
      </c>
    </row>
    <row r="56" spans="2:16" x14ac:dyDescent="0.3">
      <c r="B56" t="s">
        <v>131</v>
      </c>
      <c r="C56" t="s">
        <v>95</v>
      </c>
      <c r="D56" s="54"/>
      <c r="E56" s="54">
        <v>8558</v>
      </c>
      <c r="F56" s="54">
        <v>10385</v>
      </c>
    </row>
    <row r="57" spans="2:16" x14ac:dyDescent="0.3">
      <c r="B57" t="s">
        <v>132</v>
      </c>
      <c r="C57" t="s">
        <v>95</v>
      </c>
      <c r="D57" s="54"/>
      <c r="E57" s="54">
        <v>4818</v>
      </c>
      <c r="F57" s="54">
        <v>4288</v>
      </c>
    </row>
    <row r="58" spans="2:16" x14ac:dyDescent="0.3">
      <c r="B58" t="s">
        <v>133</v>
      </c>
      <c r="C58" t="s">
        <v>95</v>
      </c>
      <c r="D58" s="54" t="s">
        <v>2036</v>
      </c>
      <c r="E58" s="54"/>
      <c r="F58" s="54"/>
    </row>
    <row r="59" spans="2:16" x14ac:dyDescent="0.3">
      <c r="B59" t="s">
        <v>134</v>
      </c>
      <c r="C59" t="s">
        <v>95</v>
      </c>
      <c r="D59" s="54"/>
      <c r="E59" s="54">
        <v>43522</v>
      </c>
      <c r="F59" s="54">
        <v>99957</v>
      </c>
    </row>
    <row r="60" spans="2:16" x14ac:dyDescent="0.3">
      <c r="B60" t="s">
        <v>135</v>
      </c>
      <c r="C60" t="s">
        <v>95</v>
      </c>
      <c r="D60" s="54"/>
      <c r="E60" s="54">
        <v>13145</v>
      </c>
      <c r="F60" s="54">
        <v>29690</v>
      </c>
    </row>
    <row r="61" spans="2:16" x14ac:dyDescent="0.3">
      <c r="B61" t="s">
        <v>136</v>
      </c>
      <c r="C61" t="s">
        <v>95</v>
      </c>
      <c r="D61" s="54"/>
      <c r="E61" s="54">
        <v>62207</v>
      </c>
      <c r="F61" s="54">
        <v>62261</v>
      </c>
    </row>
    <row r="62" spans="2:16" x14ac:dyDescent="0.3">
      <c r="B62" t="s">
        <v>137</v>
      </c>
      <c r="C62" t="s">
        <v>95</v>
      </c>
      <c r="D62" s="54"/>
      <c r="E62" s="54">
        <v>11877</v>
      </c>
      <c r="F62" s="54">
        <v>11541</v>
      </c>
    </row>
    <row r="63" spans="2:16" x14ac:dyDescent="0.3">
      <c r="B63" t="s">
        <v>138</v>
      </c>
      <c r="C63" t="s">
        <v>95</v>
      </c>
      <c r="D63" s="54"/>
      <c r="E63" s="54">
        <v>13031</v>
      </c>
      <c r="F63" s="54">
        <v>11743</v>
      </c>
    </row>
    <row r="64" spans="2:16" x14ac:dyDescent="0.3">
      <c r="B64" t="s">
        <v>139</v>
      </c>
      <c r="C64" t="s">
        <v>95</v>
      </c>
      <c r="D64" s="54" t="s">
        <v>2036</v>
      </c>
      <c r="E64" s="54"/>
      <c r="F64" s="54"/>
    </row>
    <row r="65" spans="2:6" x14ac:dyDescent="0.3">
      <c r="B65" t="s">
        <v>140</v>
      </c>
      <c r="C65" t="s">
        <v>95</v>
      </c>
      <c r="D65" s="54" t="s">
        <v>2036</v>
      </c>
      <c r="E65" s="54"/>
      <c r="F65" s="54"/>
    </row>
    <row r="66" spans="2:6" x14ac:dyDescent="0.3">
      <c r="D66" s="54"/>
      <c r="E66" s="54"/>
      <c r="F66" s="54"/>
    </row>
    <row r="67" spans="2:6" x14ac:dyDescent="0.3">
      <c r="B67" t="s">
        <v>141</v>
      </c>
      <c r="C67" t="s">
        <v>95</v>
      </c>
      <c r="D67" s="54"/>
      <c r="E67" s="54">
        <v>7271</v>
      </c>
      <c r="F67" s="54">
        <v>7199</v>
      </c>
    </row>
    <row r="68" spans="2:6" x14ac:dyDescent="0.3">
      <c r="B68" t="s">
        <v>142</v>
      </c>
      <c r="C68" t="s">
        <v>95</v>
      </c>
      <c r="D68" s="54"/>
      <c r="E68" s="54">
        <v>5113</v>
      </c>
      <c r="F68" s="54">
        <v>10977</v>
      </c>
    </row>
    <row r="69" spans="2:6" x14ac:dyDescent="0.3">
      <c r="B69" t="s">
        <v>143</v>
      </c>
      <c r="C69" t="s">
        <v>95</v>
      </c>
      <c r="D69" s="54"/>
      <c r="E69" s="54">
        <v>2243</v>
      </c>
      <c r="F69" s="54">
        <v>2225</v>
      </c>
    </row>
    <row r="70" spans="2:6" x14ac:dyDescent="0.3">
      <c r="B70" t="s">
        <v>144</v>
      </c>
      <c r="C70" t="s">
        <v>95</v>
      </c>
      <c r="D70" s="54"/>
      <c r="E70" s="54">
        <v>9387</v>
      </c>
      <c r="F70" s="54">
        <v>9916</v>
      </c>
    </row>
    <row r="71" spans="2:6" x14ac:dyDescent="0.3">
      <c r="B71" t="s">
        <v>145</v>
      </c>
      <c r="C71" t="s">
        <v>95</v>
      </c>
      <c r="D71" s="54"/>
      <c r="E71" s="54">
        <v>8629</v>
      </c>
      <c r="F71" s="54">
        <v>11447</v>
      </c>
    </row>
    <row r="72" spans="2:6" x14ac:dyDescent="0.3">
      <c r="B72" t="s">
        <v>146</v>
      </c>
      <c r="C72" t="s">
        <v>95</v>
      </c>
      <c r="D72" s="54" t="s">
        <v>2036</v>
      </c>
      <c r="E72" s="54"/>
      <c r="F72" s="54"/>
    </row>
    <row r="73" spans="2:6" x14ac:dyDescent="0.3">
      <c r="B73" t="s">
        <v>147</v>
      </c>
      <c r="C73" t="s">
        <v>95</v>
      </c>
      <c r="D73" s="54"/>
      <c r="E73" s="54">
        <v>85297</v>
      </c>
      <c r="F73" s="54">
        <v>122342</v>
      </c>
    </row>
    <row r="74" spans="2:6" x14ac:dyDescent="0.3">
      <c r="B74" t="s">
        <v>148</v>
      </c>
      <c r="C74" t="s">
        <v>95</v>
      </c>
      <c r="D74" s="54"/>
      <c r="E74" s="54">
        <v>10269</v>
      </c>
      <c r="F74" s="54">
        <v>11771</v>
      </c>
    </row>
    <row r="75" spans="2:6" x14ac:dyDescent="0.3">
      <c r="B75" t="s">
        <v>149</v>
      </c>
      <c r="C75" t="s">
        <v>95</v>
      </c>
      <c r="D75" s="54"/>
      <c r="E75" s="54">
        <v>11536</v>
      </c>
      <c r="F75" s="54">
        <v>26648</v>
      </c>
    </row>
    <row r="76" spans="2:6" x14ac:dyDescent="0.3">
      <c r="B76" t="s">
        <v>150</v>
      </c>
      <c r="C76" t="s">
        <v>95</v>
      </c>
      <c r="D76" s="54"/>
      <c r="E76" s="54">
        <v>7647</v>
      </c>
      <c r="F76" s="54">
        <v>16178</v>
      </c>
    </row>
    <row r="77" spans="2:6" x14ac:dyDescent="0.3">
      <c r="B77" t="s">
        <v>151</v>
      </c>
      <c r="C77" t="s">
        <v>95</v>
      </c>
      <c r="D77" s="54" t="s">
        <v>2036</v>
      </c>
      <c r="E77" s="54"/>
      <c r="F77" s="54"/>
    </row>
    <row r="78" spans="2:6" x14ac:dyDescent="0.3">
      <c r="B78" t="s">
        <v>152</v>
      </c>
      <c r="C78" t="s">
        <v>95</v>
      </c>
      <c r="D78" s="54"/>
      <c r="E78" s="54">
        <v>0</v>
      </c>
      <c r="F78" s="54">
        <v>4954</v>
      </c>
    </row>
    <row r="79" spans="2:6" x14ac:dyDescent="0.3">
      <c r="B79" t="s">
        <v>153</v>
      </c>
      <c r="C79" t="s">
        <v>95</v>
      </c>
      <c r="D79" s="54"/>
      <c r="E79" s="54">
        <v>37107</v>
      </c>
      <c r="F79" s="54">
        <v>43243</v>
      </c>
    </row>
    <row r="80" spans="2:6" x14ac:dyDescent="0.3">
      <c r="B80" t="s">
        <v>154</v>
      </c>
      <c r="C80" t="s">
        <v>95</v>
      </c>
      <c r="D80" s="54"/>
      <c r="E80" s="54">
        <v>-15481</v>
      </c>
      <c r="F80" s="54">
        <v>-4309</v>
      </c>
    </row>
    <row r="81" spans="2:16" x14ac:dyDescent="0.3">
      <c r="B81" t="s">
        <v>155</v>
      </c>
      <c r="C81" t="s">
        <v>95</v>
      </c>
      <c r="D81" s="54"/>
      <c r="E81" s="54">
        <v>-1175</v>
      </c>
      <c r="F81" s="54">
        <v>-1380</v>
      </c>
    </row>
    <row r="82" spans="2:16" x14ac:dyDescent="0.3">
      <c r="B82" t="s">
        <v>156</v>
      </c>
      <c r="C82" t="s">
        <v>95</v>
      </c>
      <c r="D82" s="54" t="s">
        <v>2036</v>
      </c>
      <c r="E82" s="54"/>
      <c r="F82" s="54"/>
    </row>
    <row r="83" spans="2:16" x14ac:dyDescent="0.3">
      <c r="B83" t="s">
        <v>157</v>
      </c>
      <c r="C83" t="s">
        <v>95</v>
      </c>
      <c r="D83" s="54"/>
      <c r="E83" s="54">
        <v>518</v>
      </c>
      <c r="F83" s="54">
        <v>548</v>
      </c>
    </row>
    <row r="88" spans="2:16" ht="15.6" x14ac:dyDescent="0.3">
      <c r="B88" s="142" t="s">
        <v>2038</v>
      </c>
      <c r="C88" s="142"/>
      <c r="D88" s="142"/>
      <c r="E88" s="142"/>
      <c r="F88" s="142"/>
      <c r="G88" s="142"/>
      <c r="H88" s="142"/>
      <c r="I88" s="142"/>
      <c r="J88" s="142"/>
      <c r="K88" s="142"/>
      <c r="L88" s="142"/>
      <c r="M88" s="142"/>
      <c r="N88" s="142"/>
      <c r="O88" s="142"/>
      <c r="P88" s="142"/>
    </row>
    <row r="90" spans="2:16" x14ac:dyDescent="0.3">
      <c r="B90" t="s">
        <v>163</v>
      </c>
      <c r="C90" t="s">
        <v>95</v>
      </c>
      <c r="D90" s="54">
        <v>3129</v>
      </c>
      <c r="E90" s="54">
        <v>3867</v>
      </c>
      <c r="F90" s="54">
        <v>7623</v>
      </c>
    </row>
    <row r="91" spans="2:16" x14ac:dyDescent="0.3">
      <c r="B91" t="s">
        <v>109</v>
      </c>
      <c r="C91" t="s">
        <v>95</v>
      </c>
      <c r="D91" s="54" t="s">
        <v>2036</v>
      </c>
      <c r="E91" s="54"/>
      <c r="F91" s="54"/>
    </row>
    <row r="92" spans="2:16" x14ac:dyDescent="0.3">
      <c r="B92" t="s">
        <v>164</v>
      </c>
      <c r="C92" t="s">
        <v>95</v>
      </c>
      <c r="D92" s="54">
        <v>-2139</v>
      </c>
      <c r="E92" s="54">
        <v>-1637</v>
      </c>
      <c r="F92" s="54">
        <v>-917</v>
      </c>
    </row>
    <row r="93" spans="2:16" x14ac:dyDescent="0.3">
      <c r="B93" t="s">
        <v>165</v>
      </c>
      <c r="C93" t="s">
        <v>95</v>
      </c>
      <c r="D93" s="54">
        <v>3974</v>
      </c>
      <c r="E93" s="54">
        <v>4674</v>
      </c>
      <c r="F93" s="54">
        <v>4811</v>
      </c>
    </row>
    <row r="94" spans="2:16" x14ac:dyDescent="0.3">
      <c r="B94" t="s">
        <v>166</v>
      </c>
      <c r="C94" t="s">
        <v>95</v>
      </c>
      <c r="D94" s="54">
        <v>-720</v>
      </c>
      <c r="E94" s="54">
        <v>-667</v>
      </c>
      <c r="F94" s="54">
        <v>2433</v>
      </c>
    </row>
    <row r="95" spans="2:16" x14ac:dyDescent="0.3">
      <c r="B95" t="s">
        <v>167</v>
      </c>
      <c r="C95" t="s">
        <v>95</v>
      </c>
      <c r="D95" s="54" t="s">
        <v>2036</v>
      </c>
      <c r="E95" s="54"/>
      <c r="F95" s="54"/>
    </row>
    <row r="96" spans="2:16" x14ac:dyDescent="0.3">
      <c r="B96" t="s">
        <v>168</v>
      </c>
      <c r="C96" t="s">
        <v>95</v>
      </c>
      <c r="D96" s="54">
        <v>18673</v>
      </c>
      <c r="E96" s="54">
        <v>20821</v>
      </c>
      <c r="F96" s="54">
        <v>31977</v>
      </c>
    </row>
    <row r="97" spans="2:6" x14ac:dyDescent="0.3">
      <c r="D97" s="54"/>
      <c r="E97" s="54"/>
      <c r="F97" s="54"/>
    </row>
    <row r="98" spans="2:6" x14ac:dyDescent="0.3">
      <c r="B98" t="s">
        <v>169</v>
      </c>
      <c r="C98" t="s">
        <v>95</v>
      </c>
      <c r="D98" s="54">
        <v>-6866</v>
      </c>
      <c r="E98" s="54">
        <v>-21215</v>
      </c>
      <c r="F98" s="54">
        <v>-55663</v>
      </c>
    </row>
    <row r="99" spans="2:6" x14ac:dyDescent="0.3">
      <c r="B99" t="s">
        <v>170</v>
      </c>
      <c r="C99" t="s">
        <v>95</v>
      </c>
      <c r="D99" s="54">
        <v>-1066</v>
      </c>
      <c r="E99" s="54">
        <v>-1272</v>
      </c>
      <c r="F99" s="54">
        <v>-2039</v>
      </c>
    </row>
    <row r="100" spans="2:6" x14ac:dyDescent="0.3">
      <c r="B100" t="s">
        <v>171</v>
      </c>
      <c r="C100" t="s">
        <v>95</v>
      </c>
      <c r="D100" s="54">
        <v>572</v>
      </c>
      <c r="E100" s="54">
        <v>776</v>
      </c>
      <c r="F100" s="54">
        <v>5848</v>
      </c>
    </row>
    <row r="101" spans="2:6" x14ac:dyDescent="0.3">
      <c r="B101" t="s">
        <v>172</v>
      </c>
      <c r="C101" t="s">
        <v>95</v>
      </c>
      <c r="D101" s="54" t="s">
        <v>2036</v>
      </c>
      <c r="E101" s="54"/>
      <c r="F101" s="54"/>
    </row>
    <row r="102" spans="2:6" x14ac:dyDescent="0.3">
      <c r="B102" t="s">
        <v>173</v>
      </c>
      <c r="C102" t="s">
        <v>95</v>
      </c>
      <c r="D102" s="54">
        <v>-7360</v>
      </c>
      <c r="E102" s="54">
        <v>-21711</v>
      </c>
      <c r="F102" s="54">
        <v>-51854</v>
      </c>
    </row>
    <row r="103" spans="2:6" x14ac:dyDescent="0.3">
      <c r="D103" s="54"/>
      <c r="E103" s="54"/>
      <c r="F103" s="54"/>
    </row>
    <row r="104" spans="2:6" x14ac:dyDescent="0.3">
      <c r="B104" t="s">
        <v>174</v>
      </c>
      <c r="C104" t="s">
        <v>95</v>
      </c>
      <c r="D104" s="54">
        <v>742</v>
      </c>
      <c r="E104" s="54">
        <v>653</v>
      </c>
      <c r="F104" s="54">
        <v>1449</v>
      </c>
    </row>
    <row r="105" spans="2:6" x14ac:dyDescent="0.3">
      <c r="B105" t="s">
        <v>175</v>
      </c>
      <c r="C105" t="s">
        <v>95</v>
      </c>
      <c r="D105" s="54">
        <v>-1202</v>
      </c>
      <c r="E105" s="54">
        <v>-600</v>
      </c>
      <c r="F105" s="54">
        <v>-95</v>
      </c>
    </row>
    <row r="106" spans="2:6" x14ac:dyDescent="0.3">
      <c r="B106" t="s">
        <v>176</v>
      </c>
      <c r="C106" t="s">
        <v>95</v>
      </c>
      <c r="D106" s="54">
        <v>-2040</v>
      </c>
      <c r="E106" s="54">
        <v>-900</v>
      </c>
      <c r="F106" s="54">
        <v>-111</v>
      </c>
    </row>
    <row r="107" spans="2:6" x14ac:dyDescent="0.3">
      <c r="B107" t="s">
        <v>177</v>
      </c>
      <c r="C107" t="s">
        <v>95</v>
      </c>
      <c r="D107" s="54">
        <v>0</v>
      </c>
      <c r="E107" s="54">
        <v>0</v>
      </c>
      <c r="F107" s="54">
        <v>4954</v>
      </c>
    </row>
    <row r="108" spans="2:6" x14ac:dyDescent="0.3">
      <c r="B108" t="s">
        <v>178</v>
      </c>
      <c r="C108" t="s">
        <v>95</v>
      </c>
      <c r="D108" s="54">
        <v>-4391</v>
      </c>
      <c r="E108" s="54">
        <v>-4743</v>
      </c>
      <c r="F108" s="54">
        <v>-5787</v>
      </c>
    </row>
    <row r="109" spans="2:6" x14ac:dyDescent="0.3">
      <c r="B109" t="s">
        <v>179</v>
      </c>
      <c r="C109" t="s">
        <v>95</v>
      </c>
      <c r="D109" s="54">
        <v>-167</v>
      </c>
      <c r="E109" s="54">
        <v>1889</v>
      </c>
      <c r="F109" s="54">
        <v>-2285</v>
      </c>
    </row>
    <row r="110" spans="2:6" x14ac:dyDescent="0.3">
      <c r="B110" t="s">
        <v>180</v>
      </c>
      <c r="C110" t="s">
        <v>95</v>
      </c>
      <c r="D110" s="54">
        <v>0</v>
      </c>
      <c r="E110" s="54">
        <v>1422</v>
      </c>
      <c r="F110" s="54">
        <v>3345</v>
      </c>
    </row>
    <row r="111" spans="2:6" x14ac:dyDescent="0.3">
      <c r="B111" t="s">
        <v>181</v>
      </c>
      <c r="C111" t="s">
        <v>95</v>
      </c>
      <c r="D111" s="54">
        <v>0</v>
      </c>
      <c r="E111" s="54">
        <v>19548</v>
      </c>
      <c r="F111" s="54">
        <v>46093</v>
      </c>
    </row>
    <row r="112" spans="2:6" x14ac:dyDescent="0.3">
      <c r="B112" t="s">
        <v>182</v>
      </c>
      <c r="C112" t="s">
        <v>95</v>
      </c>
      <c r="D112" s="54">
        <v>-3500</v>
      </c>
      <c r="E112" s="54">
        <v>-15841</v>
      </c>
      <c r="F112" s="54">
        <v>-6942</v>
      </c>
    </row>
    <row r="113" spans="2:16" x14ac:dyDescent="0.3">
      <c r="B113" t="s">
        <v>183</v>
      </c>
      <c r="C113" t="s">
        <v>95</v>
      </c>
      <c r="D113" s="54">
        <v>4</v>
      </c>
      <c r="E113" s="54">
        <v>-330</v>
      </c>
      <c r="F113" s="54">
        <v>-337</v>
      </c>
    </row>
    <row r="114" spans="2:16" x14ac:dyDescent="0.3">
      <c r="B114" t="s">
        <v>184</v>
      </c>
      <c r="C114" t="s">
        <v>95</v>
      </c>
      <c r="D114" s="54" t="s">
        <v>2036</v>
      </c>
      <c r="E114" s="54"/>
      <c r="F114" s="54"/>
    </row>
    <row r="115" spans="2:16" x14ac:dyDescent="0.3">
      <c r="B115" t="s">
        <v>185</v>
      </c>
      <c r="C115" t="s">
        <v>95</v>
      </c>
      <c r="D115" s="54"/>
      <c r="E115" s="54">
        <v>1098</v>
      </c>
      <c r="F115" s="54">
        <v>40284</v>
      </c>
    </row>
    <row r="119" spans="2:16" ht="15.6" x14ac:dyDescent="0.3">
      <c r="B119" s="142" t="s">
        <v>2039</v>
      </c>
      <c r="C119" s="142"/>
      <c r="D119" s="142"/>
      <c r="E119" s="142"/>
      <c r="F119" s="142"/>
      <c r="G119" s="142"/>
      <c r="H119" s="142"/>
      <c r="I119" s="142"/>
      <c r="J119" s="142"/>
      <c r="K119" s="142"/>
      <c r="L119" s="142"/>
      <c r="M119" s="142"/>
      <c r="N119" s="142"/>
      <c r="O119" s="142"/>
      <c r="P119" s="142"/>
    </row>
    <row r="121" spans="2:16" x14ac:dyDescent="0.3">
      <c r="B121" t="s">
        <v>190</v>
      </c>
      <c r="C121" t="s">
        <v>95</v>
      </c>
      <c r="D121" s="54"/>
      <c r="E121" s="54">
        <v>92568</v>
      </c>
      <c r="F121" s="54">
        <v>129541</v>
      </c>
    </row>
    <row r="122" spans="2:16" x14ac:dyDescent="0.3">
      <c r="B122" t="s">
        <v>191</v>
      </c>
      <c r="C122" t="s">
        <v>95</v>
      </c>
      <c r="D122" s="54" t="s">
        <v>2036</v>
      </c>
      <c r="E122" s="54"/>
      <c r="F122" s="54"/>
    </row>
    <row r="123" spans="2:16" x14ac:dyDescent="0.3">
      <c r="B123" t="s">
        <v>192</v>
      </c>
      <c r="C123" t="s">
        <v>95</v>
      </c>
      <c r="D123" s="54"/>
      <c r="E123" s="54">
        <v>2934</v>
      </c>
      <c r="F123" s="54">
        <v>7701</v>
      </c>
    </row>
    <row r="124" spans="2:16" x14ac:dyDescent="0.3">
      <c r="B124" t="s">
        <v>193</v>
      </c>
      <c r="C124" t="s">
        <v>95</v>
      </c>
      <c r="D124" s="54"/>
      <c r="E124" s="54">
        <v>13450</v>
      </c>
      <c r="F124" s="54">
        <v>30190</v>
      </c>
    </row>
    <row r="125" spans="2:16" x14ac:dyDescent="0.3">
      <c r="B125" t="s">
        <v>194</v>
      </c>
      <c r="C125" t="s">
        <v>42</v>
      </c>
      <c r="D125" s="51"/>
      <c r="E125" s="51">
        <v>5.2999999999999999E-2</v>
      </c>
      <c r="F125" s="51">
        <v>5.7000000000000002E-2</v>
      </c>
    </row>
    <row r="126" spans="2:16" x14ac:dyDescent="0.3">
      <c r="B126" t="s">
        <v>195</v>
      </c>
      <c r="C126" t="s">
        <v>95</v>
      </c>
      <c r="D126" s="54">
        <v>1168</v>
      </c>
      <c r="E126" s="54">
        <v>1685</v>
      </c>
      <c r="F126" s="54">
        <v>2548</v>
      </c>
    </row>
    <row r="127" spans="2:16" x14ac:dyDescent="0.3">
      <c r="B127" t="s">
        <v>196</v>
      </c>
      <c r="C127" t="s">
        <v>95</v>
      </c>
      <c r="D127" s="54">
        <v>0</v>
      </c>
      <c r="E127" s="54">
        <v>27</v>
      </c>
      <c r="F127" s="54">
        <v>452</v>
      </c>
    </row>
    <row r="128" spans="2:16" x14ac:dyDescent="0.3">
      <c r="B128" t="s">
        <v>197</v>
      </c>
      <c r="C128" t="s">
        <v>95</v>
      </c>
      <c r="D128" s="54"/>
      <c r="E128" s="54">
        <v>138000</v>
      </c>
      <c r="F128" s="54">
        <v>638000</v>
      </c>
    </row>
    <row r="129" spans="2:6" x14ac:dyDescent="0.3">
      <c r="B129" t="s">
        <v>198</v>
      </c>
      <c r="C129" t="s">
        <v>126</v>
      </c>
      <c r="D129" s="229"/>
      <c r="E129" s="229">
        <v>2807</v>
      </c>
      <c r="F129" s="229">
        <v>2880</v>
      </c>
    </row>
    <row r="130" spans="2:6" x14ac:dyDescent="0.3">
      <c r="B130" t="s">
        <v>403</v>
      </c>
      <c r="C130" t="s">
        <v>95</v>
      </c>
      <c r="D130" s="54"/>
      <c r="E130" s="54">
        <v>257</v>
      </c>
      <c r="F130" s="54">
        <v>620</v>
      </c>
    </row>
    <row r="160" spans="2:2" x14ac:dyDescent="0.3">
      <c r="B160" t="s">
        <v>2040</v>
      </c>
    </row>
    <row r="161" spans="2:16" x14ac:dyDescent="0.3">
      <c r="B161" t="s">
        <v>2041</v>
      </c>
      <c r="C161" t="s">
        <v>95</v>
      </c>
      <c r="F161" s="54">
        <v>4592</v>
      </c>
    </row>
    <row r="163" spans="2:16" ht="15.6" x14ac:dyDescent="0.3">
      <c r="B163" s="142" t="s">
        <v>2042</v>
      </c>
      <c r="C163" s="142"/>
      <c r="D163" s="142"/>
      <c r="E163" s="142"/>
      <c r="F163" s="142"/>
      <c r="G163" s="142"/>
      <c r="H163" s="142"/>
      <c r="I163" s="142"/>
      <c r="J163" s="142"/>
      <c r="K163" s="142"/>
      <c r="L163" s="142"/>
      <c r="M163" s="142"/>
      <c r="N163" s="142"/>
      <c r="O163" s="142"/>
      <c r="P163" s="142"/>
    </row>
    <row r="165" spans="2:16" x14ac:dyDescent="0.3">
      <c r="B165" t="s">
        <v>2043</v>
      </c>
      <c r="C165" t="s">
        <v>42</v>
      </c>
      <c r="G165" s="51">
        <v>0.5</v>
      </c>
      <c r="H165" s="51">
        <v>0.38</v>
      </c>
      <c r="I165" s="51">
        <v>0.28000000000000003</v>
      </c>
      <c r="J165" s="51">
        <v>0.21</v>
      </c>
      <c r="K165" s="51">
        <v>0.16</v>
      </c>
      <c r="L165" s="51">
        <v>0.12</v>
      </c>
      <c r="M165" s="51">
        <v>0.09</v>
      </c>
      <c r="N165" s="51">
        <v>7.0000000000000007E-2</v>
      </c>
      <c r="O165" s="51">
        <v>0.05</v>
      </c>
      <c r="P165" s="51">
        <v>0.04</v>
      </c>
    </row>
    <row r="166" spans="2:16" x14ac:dyDescent="0.3">
      <c r="B166" t="s">
        <v>2044</v>
      </c>
      <c r="C166" t="s">
        <v>42</v>
      </c>
      <c r="G166" s="51">
        <v>0</v>
      </c>
      <c r="H166" s="51">
        <v>-0.01</v>
      </c>
      <c r="I166" s="51">
        <v>-0.01</v>
      </c>
      <c r="J166" s="51">
        <v>0</v>
      </c>
      <c r="K166" s="51">
        <v>0</v>
      </c>
      <c r="L166" s="51">
        <v>0.01</v>
      </c>
      <c r="M166" s="51">
        <v>0.01</v>
      </c>
      <c r="N166" s="51">
        <v>0.01</v>
      </c>
      <c r="O166" s="51">
        <v>0.01</v>
      </c>
      <c r="P166" s="51">
        <v>0.01</v>
      </c>
    </row>
    <row r="167" spans="2:16" x14ac:dyDescent="0.3">
      <c r="B167" t="s">
        <v>2045</v>
      </c>
      <c r="C167" t="s">
        <v>42</v>
      </c>
      <c r="G167" s="51">
        <v>-0.02</v>
      </c>
      <c r="H167" s="51">
        <v>-0.02</v>
      </c>
      <c r="I167" s="51">
        <v>-0.01</v>
      </c>
      <c r="J167" s="51">
        <v>-0.01</v>
      </c>
      <c r="K167" s="51">
        <v>0</v>
      </c>
      <c r="L167" s="51">
        <v>0</v>
      </c>
      <c r="M167" s="51">
        <v>0</v>
      </c>
      <c r="N167" s="51">
        <v>0</v>
      </c>
      <c r="O167" s="51">
        <v>0</v>
      </c>
      <c r="P167" s="51">
        <v>0</v>
      </c>
    </row>
    <row r="168" spans="2:16" x14ac:dyDescent="0.3">
      <c r="B168" t="s">
        <v>2046</v>
      </c>
      <c r="C168" t="s">
        <v>42</v>
      </c>
      <c r="G168" s="51">
        <v>0.08</v>
      </c>
      <c r="H168" s="51">
        <v>7.0000000000000007E-2</v>
      </c>
      <c r="I168" s="51">
        <v>0.06</v>
      </c>
      <c r="J168" s="51">
        <v>0.05</v>
      </c>
      <c r="K168" s="51">
        <v>0.04</v>
      </c>
      <c r="L168" s="51">
        <v>0.03</v>
      </c>
      <c r="M168" s="51">
        <v>0.03</v>
      </c>
      <c r="N168" s="51">
        <v>0.03</v>
      </c>
      <c r="O168" s="51">
        <v>0.03</v>
      </c>
      <c r="P168" s="51">
        <v>0.03</v>
      </c>
    </row>
    <row r="169" spans="2:16" x14ac:dyDescent="0.3">
      <c r="B169" t="s">
        <v>105</v>
      </c>
      <c r="C169" t="s">
        <v>42</v>
      </c>
      <c r="G169" s="53">
        <v>0.61</v>
      </c>
      <c r="H169" s="53">
        <v>0.57999999999999996</v>
      </c>
      <c r="I169" s="53">
        <v>0.56499999999999995</v>
      </c>
      <c r="J169" s="53">
        <v>0.56000000000000005</v>
      </c>
      <c r="K169" s="53">
        <v>0.56000000000000005</v>
      </c>
      <c r="L169" s="53">
        <v>0.56499999999999995</v>
      </c>
      <c r="M169" s="53">
        <v>0.56999999999999995</v>
      </c>
      <c r="N169" s="53">
        <v>0.57499999999999996</v>
      </c>
      <c r="O169" s="53">
        <v>0.57999999999999996</v>
      </c>
      <c r="P169" s="53">
        <v>0.57999999999999996</v>
      </c>
    </row>
    <row r="170" spans="2:16" x14ac:dyDescent="0.3">
      <c r="B170" t="s">
        <v>2047</v>
      </c>
      <c r="C170" t="s">
        <v>42</v>
      </c>
      <c r="G170" s="51">
        <v>0.12</v>
      </c>
      <c r="H170" s="51">
        <v>0.113</v>
      </c>
      <c r="I170" s="51">
        <v>0.108</v>
      </c>
      <c r="J170" s="51">
        <v>0.104</v>
      </c>
      <c r="K170" s="51">
        <v>0.10100000000000001</v>
      </c>
      <c r="L170" s="51">
        <v>9.9000000000000005E-2</v>
      </c>
      <c r="M170" s="51">
        <v>9.8000000000000004E-2</v>
      </c>
      <c r="N170" s="51">
        <v>9.7000000000000003E-2</v>
      </c>
      <c r="O170" s="51">
        <v>9.7000000000000003E-2</v>
      </c>
      <c r="P170" s="51">
        <v>9.7000000000000003E-2</v>
      </c>
    </row>
    <row r="171" spans="2:16" x14ac:dyDescent="0.3">
      <c r="B171" t="s">
        <v>2048</v>
      </c>
      <c r="C171" t="s">
        <v>42</v>
      </c>
      <c r="G171" s="51">
        <v>0.14499999999999999</v>
      </c>
      <c r="H171" s="51">
        <v>0.14000000000000001</v>
      </c>
      <c r="I171" s="51">
        <v>0.13600000000000001</v>
      </c>
      <c r="J171" s="51">
        <v>0.13300000000000001</v>
      </c>
      <c r="K171" s="51">
        <v>0.13100000000000001</v>
      </c>
      <c r="L171" s="51">
        <v>0.13</v>
      </c>
      <c r="M171" s="51">
        <v>0.129</v>
      </c>
      <c r="N171" s="51">
        <v>0.128</v>
      </c>
      <c r="O171" s="51">
        <v>0.128</v>
      </c>
      <c r="P171" s="51">
        <v>0.128</v>
      </c>
    </row>
    <row r="172" spans="2:16" x14ac:dyDescent="0.3">
      <c r="B172" t="s">
        <v>2049</v>
      </c>
      <c r="C172" t="s">
        <v>42</v>
      </c>
      <c r="G172" s="51">
        <v>2.1999999999999999E-2</v>
      </c>
      <c r="H172" s="51">
        <v>2.1000000000000001E-2</v>
      </c>
      <c r="I172" s="51">
        <v>0.02</v>
      </c>
      <c r="J172" s="51">
        <v>1.9E-2</v>
      </c>
      <c r="K172" s="51">
        <v>1.9E-2</v>
      </c>
      <c r="L172" s="51">
        <v>1.7999999999999999E-2</v>
      </c>
      <c r="M172" s="51">
        <v>1.7999999999999999E-2</v>
      </c>
      <c r="N172" s="51">
        <v>1.7999999999999999E-2</v>
      </c>
      <c r="O172" s="51">
        <v>1.7999999999999999E-2</v>
      </c>
      <c r="P172" s="51">
        <v>1.7999999999999999E-2</v>
      </c>
    </row>
    <row r="173" spans="2:16" x14ac:dyDescent="0.3">
      <c r="B173" t="s">
        <v>347</v>
      </c>
      <c r="C173" t="s">
        <v>95</v>
      </c>
      <c r="G173" s="54">
        <v>1300</v>
      </c>
      <c r="H173" s="54">
        <v>1000</v>
      </c>
      <c r="I173" s="54">
        <v>750</v>
      </c>
      <c r="J173" s="54">
        <v>550</v>
      </c>
      <c r="K173" s="54">
        <v>400</v>
      </c>
      <c r="L173" s="54">
        <v>300</v>
      </c>
      <c r="M173" s="54">
        <v>220</v>
      </c>
      <c r="N173" s="54">
        <v>160</v>
      </c>
      <c r="O173" s="54">
        <v>120</v>
      </c>
      <c r="P173" s="54">
        <v>90</v>
      </c>
    </row>
    <row r="174" spans="2:16" x14ac:dyDescent="0.3">
      <c r="B174" t="s">
        <v>348</v>
      </c>
      <c r="C174" t="s">
        <v>95</v>
      </c>
      <c r="G174" s="54">
        <v>600</v>
      </c>
      <c r="H174" s="54">
        <v>450</v>
      </c>
      <c r="I174" s="54">
        <v>350</v>
      </c>
      <c r="J174" s="54">
        <v>300</v>
      </c>
      <c r="K174" s="54">
        <v>250</v>
      </c>
      <c r="L174" s="54">
        <v>250</v>
      </c>
      <c r="M174" s="54">
        <v>250</v>
      </c>
      <c r="N174" s="54">
        <v>250</v>
      </c>
      <c r="O174" s="54">
        <v>250</v>
      </c>
      <c r="P174" s="54">
        <v>250</v>
      </c>
    </row>
    <row r="175" spans="2:16" x14ac:dyDescent="0.3">
      <c r="B175" t="s">
        <v>207</v>
      </c>
      <c r="C175" t="s">
        <v>42</v>
      </c>
      <c r="G175" s="53">
        <v>0.6</v>
      </c>
      <c r="H175" s="53">
        <v>0.4</v>
      </c>
      <c r="I175" s="53">
        <v>0.28000000000000003</v>
      </c>
      <c r="J175" s="53">
        <v>0.21</v>
      </c>
      <c r="K175" s="53">
        <v>0.16</v>
      </c>
      <c r="L175" s="53">
        <v>0.14000000000000001</v>
      </c>
      <c r="M175" s="53">
        <v>0.13</v>
      </c>
      <c r="N175" s="53">
        <v>0.125</v>
      </c>
      <c r="O175" s="53">
        <v>0.12</v>
      </c>
      <c r="P175" s="53">
        <v>0.11799999999999999</v>
      </c>
    </row>
    <row r="176" spans="2:16" x14ac:dyDescent="0.3">
      <c r="B176" t="s">
        <v>2050</v>
      </c>
      <c r="C176" t="s">
        <v>213</v>
      </c>
      <c r="G176" s="45">
        <v>56</v>
      </c>
      <c r="H176" s="45">
        <v>55</v>
      </c>
      <c r="I176" s="45">
        <v>54</v>
      </c>
      <c r="J176" s="45">
        <v>53</v>
      </c>
      <c r="K176" s="45">
        <v>52</v>
      </c>
      <c r="L176" s="45">
        <v>52</v>
      </c>
      <c r="M176" s="45">
        <v>52</v>
      </c>
      <c r="N176" s="45">
        <v>52</v>
      </c>
      <c r="O176" s="45">
        <v>52</v>
      </c>
      <c r="P176" s="45">
        <v>52</v>
      </c>
    </row>
    <row r="177" spans="2:16" x14ac:dyDescent="0.3">
      <c r="B177" t="s">
        <v>357</v>
      </c>
      <c r="C177" t="s">
        <v>42</v>
      </c>
      <c r="G177" s="51">
        <v>0.13500000000000001</v>
      </c>
      <c r="H177" s="51">
        <v>0.13500000000000001</v>
      </c>
      <c r="I177" s="51">
        <v>0.13500000000000001</v>
      </c>
      <c r="J177" s="51">
        <v>0.13500000000000001</v>
      </c>
      <c r="K177" s="51">
        <v>0.13500000000000001</v>
      </c>
      <c r="L177" s="51">
        <v>0.13500000000000001</v>
      </c>
      <c r="M177" s="51">
        <v>0.13500000000000001</v>
      </c>
      <c r="N177" s="51">
        <v>0.13500000000000001</v>
      </c>
      <c r="O177" s="51">
        <v>0.13500000000000001</v>
      </c>
      <c r="P177" s="51">
        <v>0.13500000000000001</v>
      </c>
    </row>
    <row r="178" spans="2:16" x14ac:dyDescent="0.3">
      <c r="B178" t="s">
        <v>215</v>
      </c>
      <c r="C178" t="s">
        <v>42</v>
      </c>
      <c r="G178" s="51">
        <v>0.14399999999999999</v>
      </c>
      <c r="H178" s="51">
        <v>0.14000000000000001</v>
      </c>
      <c r="I178" s="51">
        <v>0.13600000000000001</v>
      </c>
      <c r="J178" s="51">
        <v>0.13200000000000001</v>
      </c>
      <c r="K178" s="51">
        <v>0.128</v>
      </c>
      <c r="L178" s="51">
        <v>0.125</v>
      </c>
      <c r="M178" s="51">
        <v>0.122</v>
      </c>
      <c r="N178" s="51">
        <v>0.12</v>
      </c>
      <c r="O178" s="51">
        <v>0.12</v>
      </c>
      <c r="P178" s="51">
        <v>0.12</v>
      </c>
    </row>
    <row r="179" spans="2:16" x14ac:dyDescent="0.3">
      <c r="B179" t="s">
        <v>358</v>
      </c>
      <c r="C179" t="s">
        <v>42</v>
      </c>
      <c r="G179" s="51">
        <v>6.2E-2</v>
      </c>
      <c r="H179" s="51">
        <v>0.06</v>
      </c>
      <c r="I179" s="51">
        <v>5.8999999999999997E-2</v>
      </c>
      <c r="J179" s="51">
        <v>5.8000000000000003E-2</v>
      </c>
      <c r="K179" s="51">
        <v>5.8000000000000003E-2</v>
      </c>
      <c r="L179" s="51">
        <v>5.8000000000000003E-2</v>
      </c>
      <c r="M179" s="51">
        <v>5.8000000000000003E-2</v>
      </c>
      <c r="N179" s="51">
        <v>5.8000000000000003E-2</v>
      </c>
      <c r="O179" s="51">
        <v>5.8000000000000003E-2</v>
      </c>
      <c r="P179" s="51">
        <v>5.8000000000000003E-2</v>
      </c>
    </row>
    <row r="180" spans="2:16" x14ac:dyDescent="0.3">
      <c r="B180" t="s">
        <v>359</v>
      </c>
      <c r="C180" t="s">
        <v>42</v>
      </c>
      <c r="G180" s="51">
        <v>3.2000000000000001E-2</v>
      </c>
      <c r="H180" s="51">
        <v>3.1E-2</v>
      </c>
      <c r="I180" s="51">
        <v>3.1E-2</v>
      </c>
      <c r="J180" s="51">
        <v>0.03</v>
      </c>
      <c r="K180" s="51">
        <v>0.03</v>
      </c>
      <c r="L180" s="51">
        <v>0.03</v>
      </c>
      <c r="M180" s="51">
        <v>0.03</v>
      </c>
      <c r="N180" s="51">
        <v>0.03</v>
      </c>
      <c r="O180" s="51">
        <v>0.03</v>
      </c>
      <c r="P180" s="51">
        <v>0.03</v>
      </c>
    </row>
    <row r="181" spans="2:16" x14ac:dyDescent="0.3">
      <c r="B181" t="s">
        <v>360</v>
      </c>
      <c r="C181" t="s">
        <v>42</v>
      </c>
      <c r="G181" s="51">
        <v>0.16</v>
      </c>
      <c r="H181" s="51">
        <v>0.158</v>
      </c>
      <c r="I181" s="51">
        <v>0.156</v>
      </c>
      <c r="J181" s="51">
        <v>0.154</v>
      </c>
      <c r="K181" s="51">
        <v>0.152</v>
      </c>
      <c r="L181" s="51">
        <v>0.15</v>
      </c>
      <c r="M181" s="51">
        <v>0.15</v>
      </c>
      <c r="N181" s="51">
        <v>0.15</v>
      </c>
      <c r="O181" s="51">
        <v>0.15</v>
      </c>
      <c r="P181" s="51">
        <v>0.15</v>
      </c>
    </row>
    <row r="182" spans="2:16" x14ac:dyDescent="0.3">
      <c r="B182" t="s">
        <v>433</v>
      </c>
      <c r="C182" t="s">
        <v>42</v>
      </c>
      <c r="G182" s="53">
        <v>0.14000000000000001</v>
      </c>
      <c r="H182" s="53">
        <v>0.15</v>
      </c>
      <c r="I182" s="53">
        <v>0.16</v>
      </c>
      <c r="J182" s="53">
        <v>0.17</v>
      </c>
      <c r="K182" s="53">
        <v>0.18</v>
      </c>
      <c r="L182" s="53">
        <v>0.19</v>
      </c>
      <c r="M182" s="53">
        <v>0.19</v>
      </c>
      <c r="N182" s="53">
        <v>0.19</v>
      </c>
      <c r="O182" s="53">
        <v>0.19</v>
      </c>
      <c r="P182" s="53">
        <v>0.19</v>
      </c>
    </row>
    <row r="183" spans="2:16" x14ac:dyDescent="0.3">
      <c r="B183" t="s">
        <v>2051</v>
      </c>
      <c r="C183" t="s">
        <v>42</v>
      </c>
      <c r="G183" s="51">
        <v>7.0000000000000007E-2</v>
      </c>
      <c r="H183" s="51">
        <v>6.7000000000000004E-2</v>
      </c>
      <c r="I183" s="51">
        <v>6.4000000000000001E-2</v>
      </c>
      <c r="J183" s="51">
        <v>6.0999999999999999E-2</v>
      </c>
      <c r="K183" s="51">
        <v>5.8000000000000003E-2</v>
      </c>
      <c r="L183" s="51">
        <v>5.5E-2</v>
      </c>
      <c r="M183" s="51">
        <v>5.1999999999999998E-2</v>
      </c>
      <c r="N183" s="51">
        <v>0.05</v>
      </c>
      <c r="O183" s="51">
        <v>4.8000000000000001E-2</v>
      </c>
      <c r="P183" s="51">
        <v>4.4999999999999998E-2</v>
      </c>
    </row>
    <row r="185" spans="2:16" ht="15.6" x14ac:dyDescent="0.3">
      <c r="B185" s="142" t="s">
        <v>2052</v>
      </c>
      <c r="C185" s="142"/>
      <c r="D185" s="142"/>
      <c r="E185" s="142"/>
      <c r="F185" s="142"/>
      <c r="G185" s="142"/>
      <c r="H185" s="142"/>
      <c r="I185" s="142"/>
      <c r="J185" s="142"/>
      <c r="K185" s="142"/>
      <c r="L185" s="142"/>
      <c r="M185" s="142"/>
      <c r="N185" s="142"/>
      <c r="O185" s="142"/>
      <c r="P185" s="142"/>
    </row>
    <row r="186" spans="2:16" x14ac:dyDescent="0.3">
      <c r="B186" t="s">
        <v>2053</v>
      </c>
      <c r="C186" t="s">
        <v>321</v>
      </c>
      <c r="D186" s="230">
        <v>10</v>
      </c>
    </row>
    <row r="187" spans="2:16" x14ac:dyDescent="0.3">
      <c r="B187" t="s">
        <v>2054</v>
      </c>
      <c r="D187" s="230">
        <v>2</v>
      </c>
    </row>
    <row r="188" spans="2:16" x14ac:dyDescent="0.3">
      <c r="B188" t="s">
        <v>2055</v>
      </c>
      <c r="D188" s="230">
        <v>1</v>
      </c>
    </row>
    <row r="189" spans="2:16" x14ac:dyDescent="0.3">
      <c r="B189" t="s">
        <v>352</v>
      </c>
      <c r="C189" t="s">
        <v>321</v>
      </c>
      <c r="D189" s="58">
        <v>8</v>
      </c>
    </row>
    <row r="190" spans="2:16" x14ac:dyDescent="0.3">
      <c r="B190" t="s">
        <v>2056</v>
      </c>
      <c r="C190" t="s">
        <v>42</v>
      </c>
      <c r="D190" s="51">
        <v>0.21</v>
      </c>
    </row>
    <row r="191" spans="2:16" x14ac:dyDescent="0.3">
      <c r="B191" t="s">
        <v>481</v>
      </c>
      <c r="C191" t="s">
        <v>42</v>
      </c>
      <c r="D191" s="53">
        <v>0.03</v>
      </c>
    </row>
    <row r="192" spans="2:16" x14ac:dyDescent="0.3">
      <c r="B192" t="s">
        <v>369</v>
      </c>
      <c r="C192" t="s">
        <v>209</v>
      </c>
      <c r="D192" s="43">
        <v>14</v>
      </c>
    </row>
    <row r="193" spans="2:16" x14ac:dyDescent="0.3">
      <c r="B193" t="s">
        <v>2057</v>
      </c>
      <c r="C193" t="s">
        <v>42</v>
      </c>
      <c r="D193" s="51">
        <v>0.04</v>
      </c>
    </row>
    <row r="194" spans="2:16" x14ac:dyDescent="0.3">
      <c r="B194" t="s">
        <v>2058</v>
      </c>
      <c r="C194" t="s">
        <v>42</v>
      </c>
      <c r="D194" s="53">
        <v>0.24</v>
      </c>
    </row>
    <row r="195" spans="2:16" x14ac:dyDescent="0.3">
      <c r="B195" t="s">
        <v>372</v>
      </c>
      <c r="C195" t="s">
        <v>42</v>
      </c>
      <c r="D195" s="51">
        <v>1.4999999999999999E-2</v>
      </c>
    </row>
    <row r="196" spans="2:16" x14ac:dyDescent="0.3">
      <c r="B196" t="s">
        <v>613</v>
      </c>
      <c r="C196" t="s">
        <v>42</v>
      </c>
      <c r="D196" s="51">
        <v>0.08</v>
      </c>
    </row>
    <row r="197" spans="2:16" x14ac:dyDescent="0.3">
      <c r="B197" t="s">
        <v>614</v>
      </c>
      <c r="C197" t="s">
        <v>42</v>
      </c>
      <c r="D197" s="51">
        <v>0.5</v>
      </c>
    </row>
    <row r="198" spans="2:16" x14ac:dyDescent="0.3">
      <c r="B198" t="s">
        <v>2059</v>
      </c>
      <c r="C198" t="s">
        <v>42</v>
      </c>
      <c r="D198" s="51">
        <v>4.4999999999999998E-2</v>
      </c>
    </row>
    <row r="199" spans="2:16" x14ac:dyDescent="0.3">
      <c r="B199" t="s">
        <v>2060</v>
      </c>
      <c r="C199" t="s">
        <v>42</v>
      </c>
      <c r="D199" s="51">
        <v>6.5000000000000002E-2</v>
      </c>
    </row>
    <row r="200" spans="2:16" x14ac:dyDescent="0.3">
      <c r="B200" t="s">
        <v>2061</v>
      </c>
      <c r="C200" t="s">
        <v>95</v>
      </c>
      <c r="D200" s="54">
        <v>0</v>
      </c>
    </row>
    <row r="201" spans="2:16" x14ac:dyDescent="0.3">
      <c r="B201" t="s">
        <v>2062</v>
      </c>
      <c r="C201" t="s">
        <v>42</v>
      </c>
      <c r="D201" s="115">
        <v>0</v>
      </c>
    </row>
    <row r="202" spans="2:16" x14ac:dyDescent="0.3">
      <c r="B202" t="s">
        <v>2063</v>
      </c>
      <c r="C202" t="s">
        <v>42</v>
      </c>
      <c r="D202" s="63">
        <v>0.5</v>
      </c>
    </row>
    <row r="203" spans="2:16" x14ac:dyDescent="0.3">
      <c r="B203" t="s">
        <v>2064</v>
      </c>
      <c r="C203" t="s">
        <v>42</v>
      </c>
      <c r="D203" s="63">
        <v>0.35</v>
      </c>
    </row>
    <row r="204" spans="2:16" x14ac:dyDescent="0.3">
      <c r="B204" t="s">
        <v>2065</v>
      </c>
      <c r="C204" t="s">
        <v>42</v>
      </c>
      <c r="D204" s="63">
        <v>0.15</v>
      </c>
    </row>
    <row r="206" spans="2:16" ht="15.6" x14ac:dyDescent="0.3">
      <c r="B206" s="142" t="s">
        <v>2066</v>
      </c>
      <c r="C206" s="142"/>
      <c r="D206" s="142"/>
      <c r="E206" s="142"/>
      <c r="F206" s="142"/>
      <c r="G206" s="142"/>
      <c r="H206" s="142"/>
      <c r="I206" s="142"/>
      <c r="J206" s="142"/>
      <c r="K206" s="142"/>
      <c r="L206" s="142"/>
      <c r="M206" s="142"/>
      <c r="N206" s="142"/>
      <c r="O206" s="142"/>
      <c r="P206" s="142"/>
    </row>
    <row r="207" spans="2:16" x14ac:dyDescent="0.3">
      <c r="B207" t="s">
        <v>2067</v>
      </c>
      <c r="C207" t="s">
        <v>42</v>
      </c>
      <c r="D207" s="53">
        <v>4.2000000000000003E-2</v>
      </c>
    </row>
    <row r="208" spans="2:16" x14ac:dyDescent="0.3">
      <c r="B208" t="s">
        <v>452</v>
      </c>
      <c r="C208" t="s">
        <v>42</v>
      </c>
      <c r="D208" s="53">
        <v>4.7500000000000001E-2</v>
      </c>
    </row>
    <row r="209" spans="2:16" x14ac:dyDescent="0.3">
      <c r="B209" t="s">
        <v>2068</v>
      </c>
      <c r="C209" t="s">
        <v>42</v>
      </c>
      <c r="D209" s="51">
        <v>0</v>
      </c>
    </row>
    <row r="210" spans="2:16" x14ac:dyDescent="0.3">
      <c r="B210" t="s">
        <v>2069</v>
      </c>
      <c r="C210" t="s">
        <v>209</v>
      </c>
      <c r="D210" s="93">
        <v>1.2</v>
      </c>
    </row>
    <row r="211" spans="2:16" x14ac:dyDescent="0.3">
      <c r="B211" t="s">
        <v>2070</v>
      </c>
      <c r="C211" t="s">
        <v>209</v>
      </c>
      <c r="D211" s="43">
        <v>0.25</v>
      </c>
    </row>
    <row r="212" spans="2:16" x14ac:dyDescent="0.3">
      <c r="B212" t="s">
        <v>2071</v>
      </c>
      <c r="C212" t="s">
        <v>42</v>
      </c>
      <c r="D212" s="53">
        <v>5.2499999999999998E-2</v>
      </c>
    </row>
    <row r="213" spans="2:16" x14ac:dyDescent="0.3">
      <c r="B213" t="s">
        <v>2072</v>
      </c>
      <c r="C213" t="s">
        <v>42</v>
      </c>
      <c r="D213" s="51">
        <v>0.2</v>
      </c>
    </row>
    <row r="214" spans="2:16" x14ac:dyDescent="0.3">
      <c r="B214" t="s">
        <v>2073</v>
      </c>
      <c r="C214" t="s">
        <v>2029</v>
      </c>
      <c r="D214" s="50"/>
    </row>
    <row r="216" spans="2:16" ht="15.6" x14ac:dyDescent="0.3">
      <c r="B216" s="142" t="s">
        <v>2074</v>
      </c>
      <c r="C216" s="142"/>
      <c r="D216" s="142"/>
      <c r="E216" s="142"/>
      <c r="F216" s="142"/>
      <c r="G216" s="142"/>
      <c r="H216" s="142"/>
      <c r="I216" s="142"/>
      <c r="J216" s="142"/>
      <c r="K216" s="142"/>
      <c r="L216" s="142"/>
      <c r="M216" s="142"/>
      <c r="N216" s="142"/>
      <c r="O216" s="142"/>
      <c r="P216" s="142"/>
    </row>
    <row r="217" spans="2:16" x14ac:dyDescent="0.3">
      <c r="B217" s="161" t="s">
        <v>271</v>
      </c>
      <c r="C217" s="161" t="s">
        <v>89</v>
      </c>
      <c r="D217" s="161" t="s">
        <v>2075</v>
      </c>
      <c r="E217" s="161" t="s">
        <v>273</v>
      </c>
      <c r="F217" s="161" t="s">
        <v>2076</v>
      </c>
    </row>
    <row r="218" spans="2:16" x14ac:dyDescent="0.3">
      <c r="B218" t="s">
        <v>1683</v>
      </c>
      <c r="C218" t="s">
        <v>209</v>
      </c>
      <c r="D218" s="43">
        <v>0.8</v>
      </c>
      <c r="E218" s="43">
        <v>1</v>
      </c>
      <c r="F218" s="43">
        <v>1.1200000000000001</v>
      </c>
    </row>
    <row r="219" spans="2:16" x14ac:dyDescent="0.3">
      <c r="B219" t="s">
        <v>277</v>
      </c>
      <c r="C219" t="s">
        <v>42</v>
      </c>
      <c r="D219" s="51">
        <v>-1.4999999999999999E-2</v>
      </c>
      <c r="E219" s="51">
        <v>0</v>
      </c>
      <c r="F219" s="51">
        <v>1.4999999999999999E-2</v>
      </c>
    </row>
    <row r="220" spans="2:16" x14ac:dyDescent="0.3">
      <c r="B220" t="s">
        <v>278</v>
      </c>
      <c r="C220" t="s">
        <v>42</v>
      </c>
      <c r="D220" s="51">
        <v>-2.5000000000000001E-2</v>
      </c>
      <c r="E220" s="51">
        <v>0</v>
      </c>
      <c r="F220" s="51">
        <v>0.02</v>
      </c>
    </row>
    <row r="221" spans="2:16" x14ac:dyDescent="0.3">
      <c r="B221" t="s">
        <v>279</v>
      </c>
      <c r="C221" t="s">
        <v>42</v>
      </c>
      <c r="D221" s="51">
        <v>1.4999999999999999E-2</v>
      </c>
      <c r="E221" s="51">
        <v>0</v>
      </c>
      <c r="F221" s="51">
        <v>-1.4999999999999999E-2</v>
      </c>
    </row>
    <row r="222" spans="2:16" x14ac:dyDescent="0.3">
      <c r="B222" t="s">
        <v>280</v>
      </c>
      <c r="C222" t="s">
        <v>209</v>
      </c>
      <c r="D222" s="43">
        <v>1.1499999999999999</v>
      </c>
      <c r="E222" s="43">
        <v>1</v>
      </c>
      <c r="F222" s="43">
        <v>0.92</v>
      </c>
    </row>
    <row r="223" spans="2:16" x14ac:dyDescent="0.3">
      <c r="B223" t="s">
        <v>281</v>
      </c>
      <c r="C223" t="s">
        <v>213</v>
      </c>
      <c r="D223" s="45">
        <v>6</v>
      </c>
      <c r="E223" s="45">
        <v>0</v>
      </c>
      <c r="F223" s="45">
        <v>-4</v>
      </c>
    </row>
    <row r="224" spans="2:16" x14ac:dyDescent="0.3">
      <c r="B224" t="s">
        <v>282</v>
      </c>
      <c r="C224" t="s">
        <v>42</v>
      </c>
      <c r="D224" s="51">
        <v>0.02</v>
      </c>
      <c r="E224" s="51">
        <v>0</v>
      </c>
      <c r="F224" s="51">
        <v>-0.01</v>
      </c>
    </row>
    <row r="225" spans="2:16" x14ac:dyDescent="0.3">
      <c r="B225" t="s">
        <v>283</v>
      </c>
      <c r="C225" t="s">
        <v>42</v>
      </c>
      <c r="D225" s="51">
        <v>-7.4999999999999997E-3</v>
      </c>
      <c r="E225" s="51">
        <v>0</v>
      </c>
      <c r="F225" s="51">
        <v>5.0000000000000001E-3</v>
      </c>
    </row>
    <row r="226" spans="2:16" x14ac:dyDescent="0.3">
      <c r="B226" t="s">
        <v>284</v>
      </c>
      <c r="C226" t="s">
        <v>42</v>
      </c>
      <c r="D226" s="51">
        <v>0.01</v>
      </c>
      <c r="E226" s="51">
        <v>0</v>
      </c>
      <c r="F226" s="51">
        <v>-5.0000000000000001E-3</v>
      </c>
    </row>
    <row r="228" spans="2:16" x14ac:dyDescent="0.3">
      <c r="B228" t="s">
        <v>2077</v>
      </c>
      <c r="D228" s="230">
        <v>2</v>
      </c>
    </row>
    <row r="230" spans="2:16" ht="15.6" x14ac:dyDescent="0.3">
      <c r="B230" s="142" t="s">
        <v>2078</v>
      </c>
      <c r="C230" s="142"/>
      <c r="D230" s="142"/>
      <c r="E230" s="142"/>
      <c r="F230" s="142"/>
      <c r="G230" s="142"/>
      <c r="H230" s="142"/>
      <c r="I230" s="142"/>
      <c r="J230" s="142"/>
      <c r="K230" s="142"/>
      <c r="L230" s="142"/>
      <c r="M230" s="142"/>
      <c r="N230" s="142"/>
      <c r="O230" s="142"/>
      <c r="P230" s="142"/>
    </row>
    <row r="231" spans="2:16" x14ac:dyDescent="0.3">
      <c r="B231" t="s">
        <v>2079</v>
      </c>
    </row>
    <row r="232" spans="2:16" x14ac:dyDescent="0.3">
      <c r="B232" s="161" t="s">
        <v>2080</v>
      </c>
      <c r="C232" s="161" t="s">
        <v>89</v>
      </c>
      <c r="D232" s="161" t="s">
        <v>2081</v>
      </c>
    </row>
    <row r="233" spans="2:16" x14ac:dyDescent="0.3">
      <c r="B233" t="s">
        <v>2082</v>
      </c>
      <c r="C233" t="s">
        <v>209</v>
      </c>
      <c r="D233" s="43">
        <v>7</v>
      </c>
    </row>
    <row r="234" spans="2:16" x14ac:dyDescent="0.3">
      <c r="B234" t="s">
        <v>2083</v>
      </c>
      <c r="C234" t="s">
        <v>209</v>
      </c>
      <c r="D234" s="43">
        <v>20</v>
      </c>
    </row>
    <row r="235" spans="2:16" x14ac:dyDescent="0.3">
      <c r="B235" t="s">
        <v>2084</v>
      </c>
      <c r="C235" t="s">
        <v>209</v>
      </c>
      <c r="D235" s="43">
        <v>16</v>
      </c>
    </row>
    <row r="236" spans="2:16" x14ac:dyDescent="0.3">
      <c r="B236" t="s">
        <v>2085</v>
      </c>
      <c r="C236" t="s">
        <v>209</v>
      </c>
      <c r="D236" s="43">
        <v>20</v>
      </c>
    </row>
    <row r="237" spans="2:16" x14ac:dyDescent="0.3">
      <c r="B237" t="s">
        <v>2086</v>
      </c>
      <c r="C237" t="s">
        <v>209</v>
      </c>
      <c r="D237" s="43">
        <v>25</v>
      </c>
    </row>
    <row r="238" spans="2:16" x14ac:dyDescent="0.3">
      <c r="B238" t="s">
        <v>2087</v>
      </c>
      <c r="C238" t="s">
        <v>209</v>
      </c>
      <c r="D238" s="43">
        <v>22</v>
      </c>
    </row>
    <row r="240" spans="2:16" x14ac:dyDescent="0.3">
      <c r="B240" s="161" t="s">
        <v>2088</v>
      </c>
      <c r="C240" s="161" t="s">
        <v>89</v>
      </c>
      <c r="D240" s="161" t="s">
        <v>2081</v>
      </c>
    </row>
    <row r="241" spans="2:16" x14ac:dyDescent="0.3">
      <c r="B241" t="s">
        <v>2089</v>
      </c>
      <c r="C241" t="s">
        <v>42</v>
      </c>
      <c r="D241" s="63">
        <v>0.2</v>
      </c>
    </row>
    <row r="242" spans="2:16" x14ac:dyDescent="0.3">
      <c r="B242" t="s">
        <v>2090</v>
      </c>
      <c r="C242" t="s">
        <v>42</v>
      </c>
      <c r="D242" s="63">
        <v>0.45</v>
      </c>
    </row>
    <row r="243" spans="2:16" x14ac:dyDescent="0.3">
      <c r="B243" t="s">
        <v>2091</v>
      </c>
      <c r="C243" t="s">
        <v>42</v>
      </c>
      <c r="D243" s="63">
        <v>0.15</v>
      </c>
    </row>
    <row r="244" spans="2:16" x14ac:dyDescent="0.3">
      <c r="B244" t="s">
        <v>2092</v>
      </c>
      <c r="C244" t="s">
        <v>42</v>
      </c>
      <c r="D244" s="63">
        <v>0.1</v>
      </c>
    </row>
    <row r="245" spans="2:16" x14ac:dyDescent="0.3">
      <c r="B245" t="s">
        <v>2093</v>
      </c>
      <c r="C245" t="s">
        <v>42</v>
      </c>
      <c r="D245" s="63">
        <v>0.1</v>
      </c>
    </row>
    <row r="246" spans="2:16" x14ac:dyDescent="0.3">
      <c r="B246" t="s">
        <v>2094</v>
      </c>
      <c r="D246" s="232">
        <f ca="1">SUM(D241:D245)</f>
        <v>0</v>
      </c>
    </row>
    <row r="248" spans="2:16" ht="15.6" x14ac:dyDescent="0.3">
      <c r="B248" s="142" t="s">
        <v>2095</v>
      </c>
      <c r="C248" s="142"/>
      <c r="D248" s="142"/>
      <c r="E248" s="142"/>
      <c r="F248" s="142"/>
      <c r="G248" s="142"/>
      <c r="H248" s="142"/>
      <c r="I248" s="142"/>
      <c r="J248" s="142"/>
      <c r="K248" s="142"/>
      <c r="L248" s="142"/>
      <c r="M248" s="142"/>
      <c r="N248" s="142"/>
      <c r="O248" s="142"/>
      <c r="P248" s="142"/>
    </row>
    <row r="249" spans="2:16" x14ac:dyDescent="0.3">
      <c r="B249" s="161" t="s">
        <v>834</v>
      </c>
      <c r="C249" s="161" t="s">
        <v>2096</v>
      </c>
      <c r="D249" s="161" t="s">
        <v>2097</v>
      </c>
      <c r="E249" s="161" t="s">
        <v>2098</v>
      </c>
    </row>
    <row r="250" spans="2:16" x14ac:dyDescent="0.3">
      <c r="B250" t="s">
        <v>841</v>
      </c>
      <c r="C250" s="51">
        <v>0.32</v>
      </c>
      <c r="D250" s="43">
        <v>22</v>
      </c>
      <c r="E250" s="43">
        <v>12</v>
      </c>
    </row>
    <row r="251" spans="2:16" x14ac:dyDescent="0.3">
      <c r="B251" t="s">
        <v>842</v>
      </c>
      <c r="C251" s="51">
        <v>0.55000000000000004</v>
      </c>
      <c r="D251" s="43">
        <v>11</v>
      </c>
    </row>
    <row r="252" spans="2:16" x14ac:dyDescent="0.3">
      <c r="B252" t="s">
        <v>843</v>
      </c>
      <c r="C252" s="51">
        <v>0.22</v>
      </c>
      <c r="D252" s="43">
        <v>6</v>
      </c>
    </row>
    <row r="253" spans="2:16" x14ac:dyDescent="0.3">
      <c r="B253" t="s">
        <v>844</v>
      </c>
      <c r="C253" s="51">
        <v>0.12</v>
      </c>
      <c r="D253" s="43">
        <v>8</v>
      </c>
    </row>
    <row r="255" spans="2:16" ht="15.6" x14ac:dyDescent="0.3">
      <c r="B255" s="142" t="s">
        <v>2099</v>
      </c>
      <c r="C255" s="142"/>
      <c r="D255" s="142"/>
      <c r="E255" s="142"/>
      <c r="F255" s="142"/>
      <c r="G255" s="142"/>
      <c r="H255" s="142"/>
      <c r="I255" s="142"/>
      <c r="J255" s="142"/>
      <c r="K255" s="142"/>
      <c r="L255" s="142"/>
      <c r="M255" s="142"/>
      <c r="N255" s="142"/>
      <c r="O255" s="142"/>
      <c r="P255" s="142"/>
    </row>
    <row r="256" spans="2:16" x14ac:dyDescent="0.3">
      <c r="B256" t="s">
        <v>2100</v>
      </c>
      <c r="C256" t="s">
        <v>95</v>
      </c>
      <c r="D256" s="62">
        <f ca="1">'Escenario Base'!$F$66</f>
        <v>0</v>
      </c>
    </row>
    <row r="257" spans="2:4" x14ac:dyDescent="0.3">
      <c r="B257" t="s">
        <v>2101</v>
      </c>
      <c r="C257" t="s">
        <v>95</v>
      </c>
      <c r="D257" s="62">
        <f ca="1">'Escenario Base'!$F$70</f>
        <v>0</v>
      </c>
    </row>
    <row r="258" spans="2:4" x14ac:dyDescent="0.3">
      <c r="B258" t="s">
        <v>552</v>
      </c>
      <c r="C258" t="s">
        <v>126</v>
      </c>
      <c r="D258" s="61">
        <f ca="1">'Escenario Base'!$F$71</f>
        <v>0</v>
      </c>
    </row>
    <row r="259" spans="2:4" x14ac:dyDescent="0.3">
      <c r="B259" t="s">
        <v>2102</v>
      </c>
      <c r="C259" t="s">
        <v>123</v>
      </c>
      <c r="D259" s="183">
        <f ca="1">'Escenario Pesimista'!$F$72</f>
        <v>0</v>
      </c>
    </row>
    <row r="260" spans="2:4" x14ac:dyDescent="0.3">
      <c r="B260" t="s">
        <v>2103</v>
      </c>
      <c r="C260" t="s">
        <v>123</v>
      </c>
      <c r="D260" s="183">
        <f ca="1">'Escenario Base'!$F$72</f>
        <v>0</v>
      </c>
    </row>
    <row r="261" spans="2:4" x14ac:dyDescent="0.3">
      <c r="B261" t="s">
        <v>2104</v>
      </c>
      <c r="C261" t="s">
        <v>123</v>
      </c>
      <c r="D261" s="183">
        <f ca="1">'Escenario Optimista'!$F$72</f>
        <v>0</v>
      </c>
    </row>
    <row r="262" spans="2:4" x14ac:dyDescent="0.3">
      <c r="B262" t="s">
        <v>2105</v>
      </c>
      <c r="C262" t="s">
        <v>123</v>
      </c>
      <c r="D262" s="183">
        <f ca="1">'01 Summary'!$C$80</f>
        <v>0</v>
      </c>
    </row>
    <row r="263" spans="2:4" x14ac:dyDescent="0.3">
      <c r="B263" t="s">
        <v>717</v>
      </c>
      <c r="C263" t="s">
        <v>123</v>
      </c>
      <c r="D263" s="183">
        <f ca="1">$C$13</f>
        <v>0</v>
      </c>
    </row>
    <row r="264" spans="2:4" x14ac:dyDescent="0.3">
      <c r="B264" t="s">
        <v>1957</v>
      </c>
      <c r="C264" t="s">
        <v>42</v>
      </c>
      <c r="D264" s="233">
        <f ca="1">IF(OR($C$13&lt;=0,NOT(ISNUMBER(D262))),"introducir precio en C13",D262/$C$13-1)</f>
        <v>0</v>
      </c>
    </row>
    <row r="265" spans="2:4" x14ac:dyDescent="0.3">
      <c r="B265" t="s">
        <v>1958</v>
      </c>
      <c r="C265" t="s">
        <v>42</v>
      </c>
      <c r="D265" s="233">
        <f ca="1">IF(OR($C$13&lt;=0,NOT(ISNUMBER(D262))),"introducir precio en C13",1-$C$13/D262)</f>
        <v>0</v>
      </c>
    </row>
    <row r="266" spans="2:4" x14ac:dyDescent="0.3">
      <c r="B266" t="s">
        <v>2106</v>
      </c>
      <c r="C266" t="s">
        <v>42</v>
      </c>
      <c r="D266" s="57">
        <f ca="1">'Escenario Base'!$P$52</f>
        <v>0</v>
      </c>
    </row>
    <row r="267" spans="2:4" x14ac:dyDescent="0.3">
      <c r="B267" t="s">
        <v>2107</v>
      </c>
      <c r="C267" t="s">
        <v>42</v>
      </c>
      <c r="D267" s="57">
        <f ca="1">'Escenario Base'!$P$53</f>
        <v>0</v>
      </c>
    </row>
    <row r="268" spans="2:4" x14ac:dyDescent="0.3">
      <c r="B268" t="s">
        <v>543</v>
      </c>
      <c r="C268" t="s">
        <v>42</v>
      </c>
      <c r="D268" s="57">
        <f ca="1">'Escenario Base'!$F$67</f>
        <v>0</v>
      </c>
    </row>
    <row r="269" spans="2:4" x14ac:dyDescent="0.3">
      <c r="B269" t="s">
        <v>2108</v>
      </c>
      <c r="C269" t="s">
        <v>209</v>
      </c>
      <c r="D269" s="94">
        <f ca="1">'Escenario Base'!$F$68</f>
        <v>0</v>
      </c>
    </row>
    <row r="270" spans="2:4" x14ac:dyDescent="0.3">
      <c r="B270" t="s">
        <v>2092</v>
      </c>
      <c r="C270" t="s">
        <v>123</v>
      </c>
      <c r="D270" s="183">
        <f ca="1">'01 Summary'!$H$67</f>
        <v>0</v>
      </c>
    </row>
    <row r="271" spans="2:4" x14ac:dyDescent="0.3">
      <c r="B271" t="s">
        <v>2093</v>
      </c>
      <c r="C271" t="s">
        <v>123</v>
      </c>
      <c r="D271" s="183">
        <f ca="1">'12 SOTP'!$G$25</f>
        <v>0</v>
      </c>
    </row>
    <row r="273" spans="2:16" ht="15.6" x14ac:dyDescent="0.3">
      <c r="B273" s="142" t="s">
        <v>2109</v>
      </c>
      <c r="C273" s="142"/>
      <c r="D273" s="142"/>
      <c r="E273" s="142"/>
      <c r="F273" s="142"/>
      <c r="G273" s="142"/>
      <c r="H273" s="142"/>
      <c r="I273" s="142"/>
      <c r="J273" s="142"/>
      <c r="K273" s="142"/>
      <c r="L273" s="142"/>
      <c r="M273" s="142"/>
      <c r="N273" s="142"/>
      <c r="O273" s="142"/>
      <c r="P273" s="142"/>
    </row>
    <row r="274" spans="2:16" x14ac:dyDescent="0.3">
      <c r="B274" t="s">
        <v>868</v>
      </c>
      <c r="C274" t="s">
        <v>1701</v>
      </c>
      <c r="D274" s="234">
        <f ca="1">'13 Checks'!$D$5</f>
        <v>0</v>
      </c>
    </row>
    <row r="275" spans="2:16" x14ac:dyDescent="0.3">
      <c r="B275" t="s">
        <v>869</v>
      </c>
      <c r="C275" t="s">
        <v>1701</v>
      </c>
      <c r="D275" s="234">
        <f ca="1">'13 Checks'!$D$6</f>
        <v>0</v>
      </c>
    </row>
    <row r="276" spans="2:16" x14ac:dyDescent="0.3">
      <c r="B276" t="s">
        <v>870</v>
      </c>
      <c r="C276" t="s">
        <v>1701</v>
      </c>
      <c r="D276" s="234">
        <f ca="1">'13 Checks'!$D$7</f>
        <v>0</v>
      </c>
    </row>
    <row r="277" spans="2:16" x14ac:dyDescent="0.3">
      <c r="B277" t="s">
        <v>2110</v>
      </c>
      <c r="D277" s="49">
        <f ca="1">'13 Checks'!$D$8</f>
        <v>0</v>
      </c>
    </row>
    <row r="278" spans="2:16" x14ac:dyDescent="0.3">
      <c r="B278" t="s">
        <v>2111</v>
      </c>
      <c r="D278" s="49">
        <f ca="1">'Escenario Base'!$F$82</f>
        <v>0</v>
      </c>
    </row>
    <row r="279" spans="2:16" x14ac:dyDescent="0.3">
      <c r="B279" t="s">
        <v>2112</v>
      </c>
      <c r="D279" s="49">
        <f ca="1">'01 Summary'!$G$26</f>
        <v>0</v>
      </c>
    </row>
    <row r="280" spans="2:16" x14ac:dyDescent="0.3">
      <c r="B280" t="s">
        <v>2113</v>
      </c>
      <c r="D280" s="49">
        <f ca="1">'01 Summary'!$E$79</f>
        <v>0</v>
      </c>
    </row>
    <row r="281" spans="2:16" x14ac:dyDescent="0.3">
      <c r="B281" t="s">
        <v>2114</v>
      </c>
      <c r="D281" s="49">
        <f ca="1">'01 Summary'!$C$86</f>
        <v>0</v>
      </c>
    </row>
    <row r="282" spans="2:16" x14ac:dyDescent="0.3">
      <c r="B282" t="s">
        <v>2115</v>
      </c>
      <c r="C282" t="s">
        <v>95</v>
      </c>
      <c r="D282" s="62">
        <f ca="1">'03 Historical'!$F$75</f>
        <v>0</v>
      </c>
    </row>
    <row r="283" spans="2:16" x14ac:dyDescent="0.3">
      <c r="B283" t="s">
        <v>2116</v>
      </c>
      <c r="C283" t="s">
        <v>95</v>
      </c>
      <c r="D283" s="62">
        <f ca="1">'03 Historical'!$F$105</f>
        <v>0</v>
      </c>
    </row>
    <row r="284" spans="2:16" x14ac:dyDescent="0.3">
      <c r="B284" t="s">
        <v>2117</v>
      </c>
      <c r="C284" t="s">
        <v>95</v>
      </c>
      <c r="D284" s="62">
        <f ca="1">SUM('05 Three Statement'!$G$61:$P$61)</f>
        <v>0</v>
      </c>
    </row>
    <row r="285" spans="2:16" x14ac:dyDescent="0.3">
      <c r="B285" t="s">
        <v>2118</v>
      </c>
      <c r="C285" t="s">
        <v>95</v>
      </c>
      <c r="D285" s="62">
        <f ca="1">SUM('05 Three Statement'!$G$89:$P$89)</f>
        <v>0</v>
      </c>
    </row>
    <row r="286" spans="2:16" x14ac:dyDescent="0.3">
      <c r="B286" t="s">
        <v>2119</v>
      </c>
      <c r="D286" s="49">
        <f ca="1">'13 Checks'!$F$76</f>
        <v>0</v>
      </c>
    </row>
    <row r="287" spans="2:16" x14ac:dyDescent="0.3">
      <c r="B287" t="s">
        <v>2120</v>
      </c>
      <c r="D287" s="49">
        <f ca="1">'13 Checks'!$F$65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7196-BB91-4CC4-985E-1C1C5B792E2B}">
  <dimension ref="A1:I86"/>
  <sheetViews>
    <sheetView topLeftCell="A22" zoomScale="71" workbookViewId="0"/>
  </sheetViews>
  <sheetFormatPr baseColWidth="10" defaultRowHeight="14.4" x14ac:dyDescent="0.3"/>
  <cols>
    <col min="2" max="2" width="70.33203125" customWidth="1"/>
    <col min="3" max="3" width="37" customWidth="1"/>
    <col min="5" max="5" width="5.5546875" customWidth="1"/>
    <col min="6" max="6" width="114.77734375" customWidth="1"/>
    <col min="7" max="8" width="17.5546875" customWidth="1"/>
    <col min="9" max="9" width="13" customWidth="1"/>
  </cols>
  <sheetData>
    <row r="1" spans="1:9" ht="21" x14ac:dyDescent="0.4">
      <c r="A1" s="110" t="s">
        <v>573</v>
      </c>
    </row>
    <row r="2" spans="1:9" x14ac:dyDescent="0.3">
      <c r="A2" s="14" t="s">
        <v>574</v>
      </c>
    </row>
    <row r="3" spans="1:9" ht="75" customHeight="1" x14ac:dyDescent="0.3">
      <c r="B3" s="227" t="s">
        <v>2009</v>
      </c>
      <c r="C3" s="226"/>
      <c r="D3" s="226"/>
      <c r="E3" s="226"/>
      <c r="F3" s="226"/>
      <c r="G3" s="226"/>
      <c r="H3" s="226"/>
      <c r="I3" s="226"/>
    </row>
    <row r="4" spans="1:9" x14ac:dyDescent="0.3">
      <c r="B4" s="2" t="s">
        <v>575</v>
      </c>
      <c r="C4" s="2"/>
      <c r="E4" s="5" t="s">
        <v>604</v>
      </c>
      <c r="F4" s="16"/>
    </row>
    <row r="5" spans="1:9" ht="28.8" x14ac:dyDescent="0.3">
      <c r="B5" t="s">
        <v>576</v>
      </c>
      <c r="C5" s="49">
        <f ca="1">'00 Panel del Analista'!C8</f>
        <v>0</v>
      </c>
      <c r="E5" s="37">
        <v>1</v>
      </c>
      <c r="F5" s="37" t="s">
        <v>605</v>
      </c>
    </row>
    <row r="6" spans="1:9" ht="28.8" x14ac:dyDescent="0.3">
      <c r="B6" t="s">
        <v>577</v>
      </c>
      <c r="C6" s="49">
        <f ca="1">'00 Panel del Analista'!C9</f>
        <v>0</v>
      </c>
      <c r="E6" s="37">
        <v>2</v>
      </c>
      <c r="F6" s="37" t="s">
        <v>606</v>
      </c>
    </row>
    <row r="7" spans="1:9" x14ac:dyDescent="0.3">
      <c r="B7" t="s">
        <v>318</v>
      </c>
      <c r="C7" s="49">
        <f ca="1">'00 Panel del Analista'!C10</f>
        <v>0</v>
      </c>
      <c r="E7" s="37">
        <v>3</v>
      </c>
      <c r="F7" s="37" t="s">
        <v>607</v>
      </c>
    </row>
    <row r="8" spans="1:9" x14ac:dyDescent="0.3">
      <c r="B8" t="s">
        <v>316</v>
      </c>
      <c r="C8" s="49">
        <f ca="1">'00 Panel del Analista'!C11</f>
        <v>0</v>
      </c>
      <c r="E8" s="37">
        <v>4</v>
      </c>
      <c r="F8" s="37" t="s">
        <v>608</v>
      </c>
    </row>
    <row r="9" spans="1:9" x14ac:dyDescent="0.3">
      <c r="B9" t="s">
        <v>578</v>
      </c>
      <c r="C9" s="49">
        <f ca="1">'00 Panel del Analista'!C12</f>
        <v>0</v>
      </c>
      <c r="E9" s="37">
        <v>5</v>
      </c>
      <c r="F9" s="37" t="s">
        <v>609</v>
      </c>
    </row>
    <row r="10" spans="1:9" ht="15.6" x14ac:dyDescent="0.3">
      <c r="B10" s="40" t="s">
        <v>579</v>
      </c>
      <c r="C10" s="169">
        <f ca="1">'00 Panel del Analista'!C13</f>
        <v>0</v>
      </c>
      <c r="E10" s="37">
        <v>6</v>
      </c>
      <c r="F10" s="37" t="s">
        <v>610</v>
      </c>
    </row>
    <row r="11" spans="1:9" x14ac:dyDescent="0.3">
      <c r="E11" s="37">
        <v>7</v>
      </c>
      <c r="F11" s="37" t="s">
        <v>611</v>
      </c>
    </row>
    <row r="12" spans="1:9" x14ac:dyDescent="0.3">
      <c r="B12" s="2" t="s">
        <v>580</v>
      </c>
      <c r="C12" s="2"/>
      <c r="E12" s="90" t="s">
        <v>2008</v>
      </c>
    </row>
    <row r="13" spans="1:9" x14ac:dyDescent="0.3">
      <c r="B13" t="s">
        <v>581</v>
      </c>
      <c r="C13" s="49" t="str">
        <f>'09 Escenarios'!C5</f>
        <v>BASE</v>
      </c>
      <c r="E13" s="2" t="s">
        <v>1962</v>
      </c>
      <c r="F13" s="1"/>
      <c r="G13" s="1"/>
      <c r="H13" s="1"/>
      <c r="I13" s="1"/>
    </row>
    <row r="14" spans="1:9" ht="409.6" x14ac:dyDescent="0.3">
      <c r="B14" s="3" t="s">
        <v>582</v>
      </c>
      <c r="C14" s="68">
        <f>'06 DCF'!F44</f>
        <v>608375.19047210505</v>
      </c>
      <c r="E14" s="114" t="s">
        <v>1963</v>
      </c>
    </row>
    <row r="15" spans="1:9" x14ac:dyDescent="0.3">
      <c r="B15" s="3" t="s">
        <v>583</v>
      </c>
      <c r="C15" s="68">
        <f>'06 DCF'!F53-'06 DCF'!F44</f>
        <v>-111860.35499999998</v>
      </c>
      <c r="E15" s="161" t="s">
        <v>292</v>
      </c>
      <c r="F15" s="161" t="s">
        <v>1964</v>
      </c>
      <c r="G15" s="161" t="s">
        <v>1695</v>
      </c>
      <c r="H15" s="161" t="s">
        <v>1965</v>
      </c>
      <c r="I15" s="161" t="s">
        <v>89</v>
      </c>
    </row>
    <row r="16" spans="1:9" x14ac:dyDescent="0.3">
      <c r="B16" s="3" t="s">
        <v>584</v>
      </c>
      <c r="C16" s="68">
        <f>'06 DCF'!F53</f>
        <v>496514.83547210507</v>
      </c>
      <c r="E16" s="162" t="s">
        <v>839</v>
      </c>
      <c r="F16" s="191">
        <f ca="1">'Escenario Pesimista'!$F$66</f>
        <v>0</v>
      </c>
      <c r="G16" s="191">
        <f ca="1">'Escenario Base'!$F$66</f>
        <v>0</v>
      </c>
      <c r="H16" s="191">
        <f ca="1">'Escenario Optimista'!$F$66</f>
        <v>0</v>
      </c>
      <c r="I16" s="163" t="s">
        <v>95</v>
      </c>
    </row>
    <row r="17" spans="2:9" x14ac:dyDescent="0.3">
      <c r="B17" t="s">
        <v>552</v>
      </c>
      <c r="C17" s="21">
        <f>'06 DCF'!F54</f>
        <v>2934</v>
      </c>
      <c r="E17" s="164" t="s">
        <v>1696</v>
      </c>
      <c r="F17" s="192">
        <f ca="1">'Escenario Pesimista'!$F$70</f>
        <v>0</v>
      </c>
      <c r="G17" s="192">
        <f ca="1">'Escenario Base'!$F$70</f>
        <v>0</v>
      </c>
      <c r="H17" s="192">
        <f ca="1">'Escenario Optimista'!$F$70</f>
        <v>0</v>
      </c>
      <c r="I17" s="165" t="s">
        <v>95</v>
      </c>
    </row>
    <row r="18" spans="2:9" ht="18" x14ac:dyDescent="0.35">
      <c r="B18" s="111" t="s">
        <v>585</v>
      </c>
      <c r="C18" s="170">
        <f>'06 DCF'!F55</f>
        <v>169.22796028360773</v>
      </c>
      <c r="E18" s="195" t="s">
        <v>1697</v>
      </c>
      <c r="F18" s="196">
        <f ca="1">'Escenario Pesimista'!$F$72</f>
        <v>0</v>
      </c>
      <c r="G18" s="196">
        <f ca="1">'Escenario Base'!$F$72</f>
        <v>0</v>
      </c>
      <c r="H18" s="196">
        <f ca="1">'Escenario Optimista'!$F$72</f>
        <v>0</v>
      </c>
      <c r="I18" s="197" t="s">
        <v>123</v>
      </c>
    </row>
    <row r="19" spans="2:9" x14ac:dyDescent="0.3">
      <c r="B19" t="s">
        <v>586</v>
      </c>
      <c r="C19" s="19" t="str">
        <f>IF($C$10&lt;=0,"◄ introducir el precio en C10",'06 DCF'!F57)</f>
        <v>◄ introducir el precio en C10</v>
      </c>
      <c r="E19" s="164" t="s">
        <v>476</v>
      </c>
      <c r="F19" s="166">
        <f ca="1">'Escenario Pesimista'!$P$52</f>
        <v>0</v>
      </c>
      <c r="G19" s="166">
        <f ca="1">'Escenario Base'!$P$52</f>
        <v>0</v>
      </c>
      <c r="H19" s="166">
        <f ca="1">'Escenario Optimista'!$P$52</f>
        <v>0</v>
      </c>
      <c r="I19" s="165" t="s">
        <v>42</v>
      </c>
    </row>
    <row r="20" spans="2:9" x14ac:dyDescent="0.3">
      <c r="B20" t="s">
        <v>587</v>
      </c>
      <c r="C20" s="19" t="str">
        <f>IF($C$10&lt;=0,"◄ introducir el precio en C10",'06 DCF'!F58)</f>
        <v>◄ introducir el precio en C10</v>
      </c>
      <c r="E20" s="164" t="s">
        <v>1698</v>
      </c>
      <c r="F20" s="166">
        <f ca="1">'Escenario Pesimista'!$P$53</f>
        <v>0</v>
      </c>
      <c r="G20" s="166">
        <f ca="1">'Escenario Base'!$P$53</f>
        <v>0</v>
      </c>
      <c r="H20" s="166">
        <f ca="1">'Escenario Optimista'!$P$53</f>
        <v>0</v>
      </c>
      <c r="I20" s="165" t="s">
        <v>42</v>
      </c>
    </row>
    <row r="21" spans="2:9" x14ac:dyDescent="0.3">
      <c r="E21" s="164" t="s">
        <v>299</v>
      </c>
      <c r="F21" s="166">
        <f ca="1">'Escenario Pesimista'!$F$67</f>
        <v>0</v>
      </c>
      <c r="G21" s="166">
        <f ca="1">'Escenario Base'!$F$67</f>
        <v>0</v>
      </c>
      <c r="H21" s="166">
        <f ca="1">'Escenario Optimista'!$F$67</f>
        <v>0</v>
      </c>
      <c r="I21" s="165" t="s">
        <v>42</v>
      </c>
    </row>
    <row r="22" spans="2:9" x14ac:dyDescent="0.3">
      <c r="B22" s="2" t="s">
        <v>588</v>
      </c>
      <c r="C22" s="2"/>
      <c r="E22" s="164" t="s">
        <v>1699</v>
      </c>
      <c r="F22" s="193">
        <f ca="1">'Escenario Pesimista'!$F$68</f>
        <v>0</v>
      </c>
      <c r="G22" s="193">
        <f ca="1">'Escenario Base'!$F$68</f>
        <v>0</v>
      </c>
      <c r="H22" s="193">
        <f ca="1">'Escenario Optimista'!$F$68</f>
        <v>0</v>
      </c>
      <c r="I22" s="165" t="s">
        <v>209</v>
      </c>
    </row>
    <row r="23" spans="2:9" x14ac:dyDescent="0.3">
      <c r="B23" t="s">
        <v>589</v>
      </c>
      <c r="C23" s="90" t="s">
        <v>1694</v>
      </c>
      <c r="E23" s="164" t="s">
        <v>1700</v>
      </c>
      <c r="F23" s="192">
        <f ca="1">'Escenario Pesimista'!$F$75</f>
        <v>0</v>
      </c>
      <c r="G23" s="192">
        <f ca="1">'Escenario Base'!$F$75</f>
        <v>0</v>
      </c>
      <c r="H23" s="192">
        <f ca="1">'Escenario Optimista'!$F$75</f>
        <v>0</v>
      </c>
      <c r="I23" s="165" t="s">
        <v>95</v>
      </c>
    </row>
    <row r="24" spans="2:9" x14ac:dyDescent="0.3">
      <c r="E24" s="76" t="s">
        <v>298</v>
      </c>
      <c r="F24" s="194">
        <f ca="1">'Escenario Pesimista'!$F$74</f>
        <v>0</v>
      </c>
      <c r="G24" s="194">
        <f ca="1">'Escenario Base'!$F$74</f>
        <v>0</v>
      </c>
      <c r="H24" s="194">
        <f ca="1">'Escenario Optimista'!$F$74</f>
        <v>0</v>
      </c>
      <c r="I24" s="167" t="s">
        <v>42</v>
      </c>
    </row>
    <row r="25" spans="2:9" x14ac:dyDescent="0.3">
      <c r="B25" s="2" t="s">
        <v>590</v>
      </c>
      <c r="C25" s="2"/>
      <c r="E25" s="198" t="s">
        <v>1966</v>
      </c>
      <c r="F25" s="22"/>
      <c r="G25" s="22">
        <f ca="1">'Escenario Base'!$F$82</f>
        <v>0</v>
      </c>
    </row>
    <row r="26" spans="2:9" x14ac:dyDescent="0.3">
      <c r="B26" t="s">
        <v>523</v>
      </c>
      <c r="C26" s="57">
        <f>'07 WACC'!C38</f>
        <v>8.7495000000000003E-2</v>
      </c>
      <c r="E26" s="198" t="s">
        <v>1967</v>
      </c>
      <c r="F26" s="22"/>
      <c r="G26" s="22">
        <f ca="1">IF(AND($F$18&lt;$G$18,$G$18&lt;$H$18),"OK","FALLO: los escenarios no están ordenados")</f>
        <v>0</v>
      </c>
    </row>
    <row r="27" spans="2:9" x14ac:dyDescent="0.3">
      <c r="B27" t="s">
        <v>481</v>
      </c>
      <c r="C27" s="57">
        <f>'06 DCF'!F26</f>
        <v>0.03</v>
      </c>
    </row>
    <row r="28" spans="2:9" x14ac:dyDescent="0.3">
      <c r="B28" t="s">
        <v>526</v>
      </c>
      <c r="C28" s="57">
        <f>'06 DCF'!F27</f>
        <v>0.24</v>
      </c>
    </row>
    <row r="29" spans="2:9" x14ac:dyDescent="0.3">
      <c r="B29" t="s">
        <v>483</v>
      </c>
      <c r="C29" s="57">
        <f>'07 WACC'!C43</f>
        <v>5.7495000000000004E-2</v>
      </c>
    </row>
    <row r="30" spans="2:9" x14ac:dyDescent="0.3">
      <c r="B30" t="s">
        <v>543</v>
      </c>
      <c r="C30" s="57">
        <f>'06 DCF'!F45</f>
        <v>0.66008836605271526</v>
      </c>
    </row>
    <row r="31" spans="2:9" x14ac:dyDescent="0.3">
      <c r="B31" t="s">
        <v>591</v>
      </c>
      <c r="C31" s="69">
        <f>'06 DCF'!F62</f>
        <v>9.5110381206135504</v>
      </c>
    </row>
    <row r="32" spans="2:9" x14ac:dyDescent="0.3">
      <c r="B32" t="s">
        <v>568</v>
      </c>
      <c r="C32" s="69">
        <f>'06 DCF'!F71</f>
        <v>19.168668172919059</v>
      </c>
    </row>
    <row r="33" spans="2:3" x14ac:dyDescent="0.3">
      <c r="B33" t="s">
        <v>569</v>
      </c>
      <c r="C33" s="69">
        <f>'06 DCF'!F72</f>
        <v>9.032100456850884</v>
      </c>
    </row>
    <row r="34" spans="2:3" x14ac:dyDescent="0.3">
      <c r="C34" s="49"/>
    </row>
    <row r="35" spans="2:3" x14ac:dyDescent="0.3">
      <c r="B35" s="2" t="s">
        <v>592</v>
      </c>
      <c r="C35" s="112"/>
    </row>
    <row r="36" spans="2:3" x14ac:dyDescent="0.3">
      <c r="B36" t="s">
        <v>593</v>
      </c>
      <c r="C36" s="62">
        <f>'03 Historical'!F11</f>
        <v>67357</v>
      </c>
    </row>
    <row r="37" spans="2:3" x14ac:dyDescent="0.3">
      <c r="B37" t="s">
        <v>200</v>
      </c>
      <c r="C37" s="57">
        <f>'03 Historical'!F121</f>
        <v>0.1734873429850694</v>
      </c>
    </row>
    <row r="38" spans="2:3" x14ac:dyDescent="0.3">
      <c r="B38" t="s">
        <v>511</v>
      </c>
      <c r="C38" s="62">
        <f>'03 Historical'!F127</f>
        <v>22444</v>
      </c>
    </row>
    <row r="39" spans="2:3" x14ac:dyDescent="0.3">
      <c r="B39" t="s">
        <v>417</v>
      </c>
      <c r="C39" s="57">
        <f>'03 Historical'!F128</f>
        <v>0.33320961444244845</v>
      </c>
    </row>
    <row r="40" spans="2:3" x14ac:dyDescent="0.3">
      <c r="B40" t="s">
        <v>206</v>
      </c>
      <c r="C40" s="62">
        <f>'03 Historical'!F129</f>
        <v>55663</v>
      </c>
    </row>
    <row r="41" spans="2:3" x14ac:dyDescent="0.3">
      <c r="B41" t="s">
        <v>207</v>
      </c>
      <c r="C41" s="57">
        <f>'03 Historical'!F130</f>
        <v>0.8263877547990558</v>
      </c>
    </row>
    <row r="42" spans="2:3" x14ac:dyDescent="0.3">
      <c r="B42" t="s">
        <v>594</v>
      </c>
      <c r="C42" s="62">
        <f>'03 Historical'!F85</f>
        <v>31977</v>
      </c>
    </row>
    <row r="43" spans="2:3" x14ac:dyDescent="0.3">
      <c r="B43" t="s">
        <v>210</v>
      </c>
      <c r="C43" s="62">
        <f>'03 Historical'!F132</f>
        <v>-23686</v>
      </c>
    </row>
    <row r="44" spans="2:3" x14ac:dyDescent="0.3">
      <c r="B44" t="s">
        <v>595</v>
      </c>
      <c r="C44" s="62">
        <f>'03 Historical'!F137</f>
        <v>105348</v>
      </c>
    </row>
    <row r="45" spans="2:3" x14ac:dyDescent="0.3">
      <c r="B45" t="s">
        <v>217</v>
      </c>
      <c r="C45" s="69">
        <f>'03 Historical'!F138</f>
        <v>3.3193017833511878</v>
      </c>
    </row>
    <row r="46" spans="2:3" x14ac:dyDescent="0.3">
      <c r="B46" t="s">
        <v>596</v>
      </c>
      <c r="C46" s="62">
        <f>'03 Historical'!F117</f>
        <v>638000</v>
      </c>
    </row>
    <row r="48" spans="2:3" x14ac:dyDescent="0.3">
      <c r="B48" s="2" t="s">
        <v>597</v>
      </c>
      <c r="C48" s="2"/>
    </row>
    <row r="49" spans="2:8" x14ac:dyDescent="0.3">
      <c r="B49" s="13" t="s">
        <v>598</v>
      </c>
      <c r="C49" s="13" t="str">
        <f>IF('03 Historical'!F75=0,"OK","FALLO")</f>
        <v>OK</v>
      </c>
    </row>
    <row r="50" spans="2:8" x14ac:dyDescent="0.3">
      <c r="B50" s="13" t="s">
        <v>599</v>
      </c>
      <c r="C50" s="13" t="str">
        <f>'06 DCF'!F67</f>
        <v>OK</v>
      </c>
    </row>
    <row r="51" spans="2:8" x14ac:dyDescent="0.3">
      <c r="B51" s="13" t="s">
        <v>600</v>
      </c>
      <c r="C51" s="13" t="str">
        <f>'06 DCF'!F75</f>
        <v>OK</v>
      </c>
    </row>
    <row r="52" spans="2:8" x14ac:dyDescent="0.3">
      <c r="B52" s="13" t="s">
        <v>601</v>
      </c>
      <c r="C52" s="13" t="str">
        <f>'06 DCF'!F70</f>
        <v>OK</v>
      </c>
    </row>
    <row r="53" spans="2:8" x14ac:dyDescent="0.3">
      <c r="B53" s="13" t="s">
        <v>602</v>
      </c>
      <c r="C53" s="13" t="str">
        <f>'06 DCF'!F69</f>
        <v>OK</v>
      </c>
    </row>
    <row r="54" spans="2:8" x14ac:dyDescent="0.3">
      <c r="B54" s="13" t="s">
        <v>603</v>
      </c>
      <c r="C54" s="13" t="str">
        <f>"Ver hoja '13 Checks'"</f>
        <v>Ver hoja '13 Checks'</v>
      </c>
    </row>
    <row r="56" spans="2:8" x14ac:dyDescent="0.3">
      <c r="B56" s="199" t="s">
        <v>2010</v>
      </c>
      <c r="C56" s="8"/>
      <c r="D56" s="8"/>
      <c r="E56" s="8"/>
      <c r="F56" s="8"/>
      <c r="G56" s="8"/>
      <c r="H56" s="8"/>
    </row>
    <row r="57" spans="2:8" ht="86.4" x14ac:dyDescent="0.3">
      <c r="B57" s="155" t="s">
        <v>1925</v>
      </c>
      <c r="C57" s="200"/>
      <c r="D57" s="200"/>
      <c r="E57" s="200"/>
      <c r="F57" s="200"/>
      <c r="G57" s="200"/>
      <c r="H57" s="200"/>
    </row>
    <row r="58" spans="2:8" x14ac:dyDescent="0.3">
      <c r="B58" s="201" t="s">
        <v>1926</v>
      </c>
      <c r="C58" s="201" t="s">
        <v>292</v>
      </c>
      <c r="D58" s="201" t="s">
        <v>1927</v>
      </c>
      <c r="E58" s="201" t="s">
        <v>1928</v>
      </c>
      <c r="F58" s="201" t="s">
        <v>1929</v>
      </c>
      <c r="G58" s="201" t="s">
        <v>1930</v>
      </c>
      <c r="H58" s="201" t="s">
        <v>1931</v>
      </c>
    </row>
    <row r="59" spans="2:8" x14ac:dyDescent="0.3">
      <c r="B59" s="202" t="s">
        <v>1932</v>
      </c>
      <c r="C59" s="200" t="s">
        <v>1933</v>
      </c>
      <c r="D59" s="203">
        <f ca="1">'04 Operating Model'!G11</f>
        <v>0</v>
      </c>
      <c r="E59" s="204">
        <f ca="1">'00 Panel del Analista'!D233</f>
        <v>0</v>
      </c>
      <c r="F59" s="203">
        <f ca="1">D59*E59</f>
        <v>0</v>
      </c>
      <c r="G59" s="203">
        <f ca="1">F59+SUM('06 DCF'!$F$46:$F$52)</f>
        <v>0</v>
      </c>
      <c r="H59" s="205">
        <f ca="1">G59/'02 Assumptions'!$C$69</f>
        <v>0</v>
      </c>
    </row>
    <row r="60" spans="2:8" x14ac:dyDescent="0.3">
      <c r="B60" s="202" t="s">
        <v>1934</v>
      </c>
      <c r="C60" s="200" t="s">
        <v>1935</v>
      </c>
      <c r="D60" s="203">
        <f ca="1">'04 Operating Model'!G39</f>
        <v>0</v>
      </c>
      <c r="E60" s="204">
        <f ca="1">'00 Panel del Analista'!D234</f>
        <v>0</v>
      </c>
      <c r="F60" s="203">
        <f ca="1">D60*E60</f>
        <v>0</v>
      </c>
      <c r="G60" s="203">
        <f ca="1">F60+SUM('06 DCF'!$F$46:$F$52)</f>
        <v>0</v>
      </c>
      <c r="H60" s="205">
        <f ca="1">G60/'02 Assumptions'!$C$69</f>
        <v>0</v>
      </c>
    </row>
    <row r="61" spans="2:8" x14ac:dyDescent="0.3">
      <c r="B61" s="202" t="s">
        <v>1936</v>
      </c>
      <c r="C61" s="200" t="s">
        <v>1937</v>
      </c>
      <c r="D61" s="203">
        <f ca="1">'04 Operating Model'!I39</f>
        <v>0</v>
      </c>
      <c r="E61" s="204">
        <f ca="1">'00 Panel del Analista'!D235</f>
        <v>0</v>
      </c>
      <c r="F61" s="203">
        <f ca="1">D61*E61</f>
        <v>0</v>
      </c>
      <c r="G61" s="203">
        <f ca="1">F61+SUM('06 DCF'!$F$46:$F$52)</f>
        <v>0</v>
      </c>
      <c r="H61" s="205">
        <f ca="1">G61/'02 Assumptions'!$C$69</f>
        <v>0</v>
      </c>
    </row>
    <row r="62" spans="2:8" x14ac:dyDescent="0.3">
      <c r="B62" s="202" t="s">
        <v>1938</v>
      </c>
      <c r="C62" s="200" t="s">
        <v>1939</v>
      </c>
      <c r="D62" s="203">
        <f ca="1">'04 Operating Model'!I29</f>
        <v>0</v>
      </c>
      <c r="E62" s="204">
        <f ca="1">'00 Panel del Analista'!D236</f>
        <v>0</v>
      </c>
      <c r="F62" s="203">
        <f ca="1">D62*E62</f>
        <v>0</v>
      </c>
      <c r="G62" s="203">
        <f ca="1">F62+SUM('06 DCF'!$F$46:$F$52)</f>
        <v>0</v>
      </c>
      <c r="H62" s="205">
        <f ca="1">G62/'02 Assumptions'!$C$69</f>
        <v>0</v>
      </c>
    </row>
    <row r="63" spans="2:8" x14ac:dyDescent="0.3">
      <c r="B63" s="202" t="s">
        <v>1940</v>
      </c>
      <c r="C63" s="200" t="s">
        <v>1941</v>
      </c>
      <c r="D63" s="203">
        <f ca="1">'06 DCF'!K15</f>
        <v>0</v>
      </c>
      <c r="E63" s="204">
        <f ca="1">'00 Panel del Analista'!D237</f>
        <v>0</v>
      </c>
      <c r="F63" s="203">
        <f ca="1">D63*E63</f>
        <v>0</v>
      </c>
      <c r="G63" s="203">
        <f ca="1">F63+SUM('06 DCF'!$F$46:$F$52)</f>
        <v>0</v>
      </c>
      <c r="H63" s="205">
        <f ca="1">G63/'02 Assumptions'!$C$69</f>
        <v>0</v>
      </c>
    </row>
    <row r="64" spans="2:8" x14ac:dyDescent="0.3">
      <c r="B64" s="202" t="s">
        <v>1942</v>
      </c>
      <c r="C64" s="200" t="s">
        <v>1943</v>
      </c>
      <c r="D64" s="203">
        <f ca="1">'05 Three Statement'!I16</f>
        <v>0</v>
      </c>
      <c r="E64" s="204">
        <f ca="1">'00 Panel del Analista'!D238</f>
        <v>0</v>
      </c>
      <c r="F64" s="200" t="s">
        <v>1924</v>
      </c>
      <c r="G64" s="203">
        <f ca="1">D64*E64</f>
        <v>0</v>
      </c>
      <c r="H64" s="205">
        <f ca="1">G64/'02 Assumptions'!$C$69</f>
        <v>0</v>
      </c>
    </row>
    <row r="65" spans="2:8" x14ac:dyDescent="0.3">
      <c r="B65" s="200"/>
      <c r="C65" s="200"/>
      <c r="D65" s="200"/>
      <c r="E65" s="200"/>
      <c r="F65" s="200"/>
      <c r="G65" s="200"/>
      <c r="H65" s="205"/>
    </row>
    <row r="66" spans="2:8" x14ac:dyDescent="0.3">
      <c r="B66" s="206" t="s">
        <v>1944</v>
      </c>
      <c r="C66" s="207"/>
      <c r="D66" s="207"/>
      <c r="E66" s="207"/>
      <c r="F66" s="207"/>
      <c r="G66" s="207"/>
      <c r="H66" s="208">
        <f ca="1">AVERAGE(H59:H64)</f>
        <v>0</v>
      </c>
    </row>
    <row r="67" spans="2:8" x14ac:dyDescent="0.3">
      <c r="B67" s="209" t="s">
        <v>1945</v>
      </c>
      <c r="C67" s="210"/>
      <c r="D67" s="210"/>
      <c r="E67" s="210"/>
      <c r="F67" s="210"/>
      <c r="G67" s="210"/>
      <c r="H67" s="211">
        <f ca="1">MEDIAN(H59:H64)</f>
        <v>0</v>
      </c>
    </row>
    <row r="68" spans="2:8" x14ac:dyDescent="0.3">
      <c r="B68" s="202" t="s">
        <v>1946</v>
      </c>
      <c r="C68" s="200"/>
      <c r="D68" s="200"/>
      <c r="E68" s="200"/>
      <c r="F68" s="200"/>
      <c r="G68" s="205">
        <f ca="1">MIN(H59:H64)</f>
        <v>0</v>
      </c>
      <c r="H68" s="205">
        <f ca="1">MAX(H59:H64)</f>
        <v>0</v>
      </c>
    </row>
    <row r="69" spans="2:8" x14ac:dyDescent="0.3">
      <c r="B69" s="202" t="s">
        <v>1947</v>
      </c>
      <c r="C69" s="200"/>
      <c r="D69" s="200"/>
      <c r="E69" s="200"/>
      <c r="F69" s="200"/>
      <c r="G69" s="200"/>
      <c r="H69" s="205">
        <f ca="1">'06 DCF'!$F$55</f>
        <v>0</v>
      </c>
    </row>
    <row r="70" spans="2:8" x14ac:dyDescent="0.3">
      <c r="B70" s="200"/>
      <c r="C70" s="200"/>
      <c r="D70" s="200"/>
      <c r="E70" s="200"/>
      <c r="F70" s="200"/>
      <c r="G70" s="200"/>
      <c r="H70" s="200"/>
    </row>
    <row r="71" spans="2:8" x14ac:dyDescent="0.3">
      <c r="B71" s="199" t="s">
        <v>2011</v>
      </c>
      <c r="C71" s="8"/>
      <c r="D71" s="8"/>
      <c r="E71" s="8"/>
      <c r="F71" s="8"/>
      <c r="G71" s="8"/>
      <c r="H71" s="8"/>
    </row>
    <row r="72" spans="2:8" ht="72" x14ac:dyDescent="0.3">
      <c r="B72" s="212" t="s">
        <v>1948</v>
      </c>
      <c r="C72" s="200"/>
      <c r="D72" s="200"/>
      <c r="E72" s="200"/>
      <c r="F72" s="200"/>
      <c r="G72" s="200"/>
      <c r="H72" s="200"/>
    </row>
    <row r="73" spans="2:8" x14ac:dyDescent="0.3">
      <c r="B73" s="201" t="s">
        <v>1926</v>
      </c>
      <c r="C73" s="201" t="s">
        <v>1931</v>
      </c>
      <c r="D73" s="201" t="s">
        <v>1949</v>
      </c>
      <c r="E73" s="201" t="s">
        <v>1950</v>
      </c>
      <c r="F73" s="200"/>
      <c r="G73" s="200"/>
      <c r="H73" s="200"/>
    </row>
    <row r="74" spans="2:8" x14ac:dyDescent="0.3">
      <c r="B74" s="202" t="s">
        <v>1951</v>
      </c>
      <c r="C74" s="205">
        <f ca="1">'Escenario Pesimista'!$F$72</f>
        <v>0</v>
      </c>
      <c r="D74" s="213">
        <f ca="1">'00 Panel del Analista'!D241</f>
        <v>0</v>
      </c>
      <c r="E74" s="205">
        <f ca="1">C74*D74</f>
        <v>0</v>
      </c>
      <c r="F74" s="200"/>
      <c r="G74" s="200"/>
      <c r="H74" s="200"/>
    </row>
    <row r="75" spans="2:8" x14ac:dyDescent="0.3">
      <c r="B75" s="202" t="s">
        <v>1952</v>
      </c>
      <c r="C75" s="205">
        <f ca="1">'Escenario Base'!$F$72</f>
        <v>0</v>
      </c>
      <c r="D75" s="213">
        <f ca="1">'00 Panel del Analista'!D242</f>
        <v>0</v>
      </c>
      <c r="E75" s="205">
        <f ca="1">C75*D75</f>
        <v>0</v>
      </c>
      <c r="F75" s="200"/>
      <c r="G75" s="200"/>
      <c r="H75" s="200"/>
    </row>
    <row r="76" spans="2:8" x14ac:dyDescent="0.3">
      <c r="B76" s="202" t="s">
        <v>1953</v>
      </c>
      <c r="C76" s="205">
        <f ca="1">'Escenario Optimista'!$F$72</f>
        <v>0</v>
      </c>
      <c r="D76" s="213">
        <f ca="1">'00 Panel del Analista'!D243</f>
        <v>0</v>
      </c>
      <c r="E76" s="205">
        <f ca="1">C76*D76</f>
        <v>0</v>
      </c>
      <c r="F76" s="200"/>
      <c r="G76" s="200"/>
      <c r="H76" s="200"/>
    </row>
    <row r="77" spans="2:8" x14ac:dyDescent="0.3">
      <c r="B77" s="202" t="s">
        <v>1954</v>
      </c>
      <c r="C77" s="205">
        <f ca="1">$H$67</f>
        <v>0</v>
      </c>
      <c r="D77" s="213">
        <f ca="1">'00 Panel del Analista'!D244</f>
        <v>0</v>
      </c>
      <c r="E77" s="205">
        <f ca="1">C77*D77</f>
        <v>0</v>
      </c>
      <c r="F77" s="200"/>
      <c r="G77" s="200"/>
      <c r="H77" s="200"/>
    </row>
    <row r="78" spans="2:8" x14ac:dyDescent="0.3">
      <c r="B78" s="202" t="s">
        <v>1521</v>
      </c>
      <c r="C78" s="205">
        <f ca="1">'12 SOTP'!$G$25</f>
        <v>0</v>
      </c>
      <c r="D78" s="213">
        <f ca="1">'00 Panel del Analista'!D245</f>
        <v>0</v>
      </c>
      <c r="E78" s="205">
        <f ca="1">C78*D78</f>
        <v>0</v>
      </c>
      <c r="F78" s="200"/>
      <c r="G78" s="200"/>
      <c r="H78" s="200"/>
    </row>
    <row r="79" spans="2:8" x14ac:dyDescent="0.3">
      <c r="B79" s="202" t="s">
        <v>1955</v>
      </c>
      <c r="C79" s="202"/>
      <c r="D79" s="214">
        <f ca="1">SUM(D74:D78)</f>
        <v>0</v>
      </c>
      <c r="E79" s="202">
        <f ca="1">IF(ABS(D79-1)&lt;0.0001,"OK","FALLO: los pesos deben sumar 100%")</f>
        <v>0</v>
      </c>
      <c r="F79" s="200"/>
      <c r="G79" s="200"/>
      <c r="H79" s="200"/>
    </row>
    <row r="80" spans="2:8" ht="17.399999999999999" x14ac:dyDescent="0.3">
      <c r="B80" s="215" t="s">
        <v>1956</v>
      </c>
      <c r="C80" s="216">
        <f ca="1">IF(ABS($D$79-1)&gt;0.0001,"corregir los pesos",SUMPRODUCT(C74:C78,D74:D78))</f>
        <v>0</v>
      </c>
      <c r="D80" s="200"/>
      <c r="E80" s="200"/>
      <c r="F80" s="200"/>
      <c r="G80" s="200"/>
      <c r="H80" s="200"/>
    </row>
    <row r="81" spans="2:8" x14ac:dyDescent="0.3">
      <c r="B81" s="202" t="s">
        <v>717</v>
      </c>
      <c r="C81" s="205">
        <f ca="1">$C$10</f>
        <v>0</v>
      </c>
      <c r="D81" s="200"/>
      <c r="E81" s="200"/>
      <c r="F81" s="200"/>
      <c r="G81" s="200"/>
      <c r="H81" s="200"/>
    </row>
    <row r="82" spans="2:8" x14ac:dyDescent="0.3">
      <c r="B82" s="202" t="s">
        <v>1957</v>
      </c>
      <c r="C82" s="217">
        <f ca="1">IF(OR($C$10&lt;=0,NOT(ISNUMBER($C$80))),"introducir precio",$C$80/$C$10-1)</f>
        <v>0</v>
      </c>
      <c r="D82" s="200"/>
      <c r="E82" s="200"/>
      <c r="F82" s="200"/>
      <c r="G82" s="200"/>
      <c r="H82" s="200"/>
    </row>
    <row r="83" spans="2:8" x14ac:dyDescent="0.3">
      <c r="B83" s="202" t="s">
        <v>1958</v>
      </c>
      <c r="C83" s="217">
        <f ca="1">IF(OR($C$10&lt;=0,NOT(ISNUMBER($C$80))),"introducir precio",1-$C$10/$C$80)</f>
        <v>0</v>
      </c>
      <c r="D83" s="200"/>
      <c r="E83" s="200"/>
      <c r="F83" s="200"/>
      <c r="G83" s="200"/>
      <c r="H83" s="200"/>
    </row>
    <row r="84" spans="2:8" x14ac:dyDescent="0.3">
      <c r="B84" s="202" t="s">
        <v>1959</v>
      </c>
      <c r="C84" s="205">
        <f ca="1">MIN(C74:C78)</f>
        <v>0</v>
      </c>
      <c r="D84" s="205">
        <f ca="1">MAX(C74:C78)</f>
        <v>0</v>
      </c>
      <c r="E84" s="200"/>
      <c r="F84" s="200"/>
      <c r="G84" s="200"/>
      <c r="H84" s="200"/>
    </row>
    <row r="85" spans="2:8" x14ac:dyDescent="0.3">
      <c r="B85" s="202" t="s">
        <v>1960</v>
      </c>
      <c r="C85" s="218">
        <f ca="1">IFERROR(D84/C84,"n/a")</f>
        <v>0</v>
      </c>
      <c r="D85" s="200"/>
      <c r="E85" s="200"/>
      <c r="F85" s="200"/>
      <c r="G85" s="200"/>
      <c r="H85" s="200"/>
    </row>
    <row r="86" spans="2:8" x14ac:dyDescent="0.3">
      <c r="B86" s="219" t="s">
        <v>1961</v>
      </c>
      <c r="C86" s="219">
        <f ca="1">IF(NOT(ISNUMBER($C$85)),"n/a",IF($C$85&gt;2.5,"AVISO: los métodos discrepan más de 2,5 veces. El precio objetivo ponderado promedia resultados incompatibles: presentar el RANGO, no el punto.","OK"))</f>
        <v>0</v>
      </c>
      <c r="D86" s="200"/>
      <c r="E86" s="200"/>
      <c r="F86" s="200"/>
      <c r="G86" s="200"/>
      <c r="H86" s="20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073D-8AE7-48F4-9CF0-7D961FA652E2}">
  <dimension ref="A1:Q106"/>
  <sheetViews>
    <sheetView workbookViewId="0"/>
  </sheetViews>
  <sheetFormatPr baseColWidth="10" defaultRowHeight="14.4" x14ac:dyDescent="0.3"/>
  <cols>
    <col min="2" max="2" width="61.109375" customWidth="1"/>
    <col min="3" max="3" width="166.6640625" customWidth="1"/>
    <col min="4" max="17" width="15.21875" customWidth="1"/>
  </cols>
  <sheetData>
    <row r="1" spans="1:17" ht="18" x14ac:dyDescent="0.35">
      <c r="A1" s="4" t="s">
        <v>300</v>
      </c>
    </row>
    <row r="2" spans="1:17" x14ac:dyDescent="0.3">
      <c r="A2" s="14" t="s">
        <v>301</v>
      </c>
    </row>
    <row r="4" spans="1:17" ht="43.2" x14ac:dyDescent="0.3">
      <c r="B4" s="48" t="s">
        <v>71</v>
      </c>
      <c r="C4" s="48" t="s">
        <v>89</v>
      </c>
      <c r="D4" s="48">
        <f ca="1">'00 Panel del Analista'!D14</f>
        <v>0</v>
      </c>
      <c r="E4" s="48">
        <f ca="1">'00 Panel del Analista'!E14</f>
        <v>0</v>
      </c>
      <c r="F4" s="48">
        <f ca="1">'00 Panel del Analista'!F14</f>
        <v>0</v>
      </c>
      <c r="G4" s="48">
        <f ca="1">'00 Panel del Analista'!G14</f>
        <v>0</v>
      </c>
      <c r="H4" s="48">
        <f ca="1">'00 Panel del Analista'!H14</f>
        <v>0</v>
      </c>
      <c r="I4" s="48">
        <f ca="1">'00 Panel del Analista'!I14</f>
        <v>0</v>
      </c>
      <c r="J4" s="48">
        <f ca="1">'00 Panel del Analista'!J14</f>
        <v>0</v>
      </c>
      <c r="K4" s="48">
        <f ca="1">'00 Panel del Analista'!K14</f>
        <v>0</v>
      </c>
      <c r="L4" s="48">
        <f ca="1">'00 Panel del Analista'!L14</f>
        <v>0</v>
      </c>
      <c r="M4" s="48">
        <f ca="1">'00 Panel del Analista'!M14</f>
        <v>0</v>
      </c>
      <c r="N4" s="48">
        <f ca="1">'00 Panel del Analista'!N14</f>
        <v>0</v>
      </c>
      <c r="O4" s="48">
        <f ca="1">'00 Panel del Analista'!O14</f>
        <v>0</v>
      </c>
      <c r="P4" s="48">
        <f ca="1">'00 Panel del Analista'!P14</f>
        <v>0</v>
      </c>
      <c r="Q4" s="48" t="s">
        <v>312</v>
      </c>
    </row>
    <row r="6" spans="1:17" x14ac:dyDescent="0.3">
      <c r="B6" s="5" t="s">
        <v>313</v>
      </c>
      <c r="C6" s="5"/>
      <c r="D6" s="5"/>
      <c r="E6" s="5"/>
      <c r="F6" s="5"/>
      <c r="G6" s="5"/>
      <c r="H6" s="5"/>
      <c r="I6" s="5"/>
      <c r="J6" s="5"/>
      <c r="K6" s="5"/>
      <c r="L6" s="5"/>
      <c r="M6" s="5"/>
      <c r="N6" s="5"/>
      <c r="O6" s="5"/>
      <c r="P6" s="5"/>
    </row>
    <row r="7" spans="1:17" x14ac:dyDescent="0.3">
      <c r="B7" t="s">
        <v>314</v>
      </c>
      <c r="C7" s="49">
        <f>'09 Escenarios'!C4</f>
        <v>2</v>
      </c>
    </row>
    <row r="8" spans="1:17" x14ac:dyDescent="0.3">
      <c r="B8" t="s">
        <v>315</v>
      </c>
      <c r="C8" s="49" t="str">
        <f>'09 Escenarios'!C5</f>
        <v>BASE</v>
      </c>
    </row>
    <row r="9" spans="1:17" x14ac:dyDescent="0.3">
      <c r="B9" t="s">
        <v>316</v>
      </c>
      <c r="C9" s="42">
        <f ca="1">'00 Panel del Analista'!C11</f>
        <v>0</v>
      </c>
    </row>
    <row r="10" spans="1:17" x14ac:dyDescent="0.3">
      <c r="B10" t="s">
        <v>318</v>
      </c>
      <c r="C10" s="42">
        <f ca="1">'00 Panel del Analista'!C10</f>
        <v>0</v>
      </c>
    </row>
    <row r="11" spans="1:17" x14ac:dyDescent="0.3">
      <c r="B11" t="s">
        <v>320</v>
      </c>
      <c r="C11" s="42">
        <f ca="1">'00 Panel del Analista'!D186</f>
        <v>0</v>
      </c>
    </row>
    <row r="12" spans="1:17" x14ac:dyDescent="0.3">
      <c r="B12" t="s">
        <v>322</v>
      </c>
      <c r="C12" s="42">
        <f ca="1">'00 Panel del Analista'!D187</f>
        <v>0</v>
      </c>
    </row>
    <row r="13" spans="1:17" x14ac:dyDescent="0.3">
      <c r="B13" t="s">
        <v>323</v>
      </c>
      <c r="C13" s="42">
        <f ca="1">'00 Panel del Analista'!D188</f>
        <v>0</v>
      </c>
    </row>
    <row r="14" spans="1:17" x14ac:dyDescent="0.3">
      <c r="B14" t="s">
        <v>324</v>
      </c>
      <c r="C14" s="42" t="s">
        <v>325</v>
      </c>
    </row>
    <row r="15" spans="1:17" x14ac:dyDescent="0.3">
      <c r="B15" t="s">
        <v>326</v>
      </c>
      <c r="C15" s="42" t="s">
        <v>327</v>
      </c>
    </row>
    <row r="16" spans="1:17" x14ac:dyDescent="0.3">
      <c r="B16" t="s">
        <v>328</v>
      </c>
      <c r="C16" s="42">
        <f ca="1">'00 Panel del Analista'!C12</f>
        <v>0</v>
      </c>
    </row>
    <row r="18" spans="2:17" x14ac:dyDescent="0.3">
      <c r="B18" s="5" t="s">
        <v>330</v>
      </c>
      <c r="C18" s="5"/>
      <c r="D18" s="5"/>
      <c r="E18" s="5"/>
      <c r="F18" s="5"/>
      <c r="G18" s="5"/>
      <c r="H18" s="5"/>
      <c r="I18" s="5"/>
      <c r="J18" s="5"/>
      <c r="K18" s="5"/>
      <c r="L18" s="5"/>
      <c r="M18" s="5"/>
      <c r="N18" s="5"/>
      <c r="O18" s="5"/>
      <c r="P18" s="5"/>
    </row>
    <row r="19" spans="2:17" x14ac:dyDescent="0.3">
      <c r="B19" t="s">
        <v>331</v>
      </c>
      <c r="C19" t="s">
        <v>42</v>
      </c>
      <c r="G19" s="53">
        <f ca="1">'00 Panel del Analista'!G165</f>
        <v>0</v>
      </c>
      <c r="H19" s="53">
        <f ca="1">'00 Panel del Analista'!H165</f>
        <v>0</v>
      </c>
      <c r="I19" s="53">
        <f ca="1">'00 Panel del Analista'!I165</f>
        <v>0</v>
      </c>
      <c r="J19" s="53">
        <f ca="1">'00 Panel del Analista'!J165</f>
        <v>0</v>
      </c>
      <c r="K19" s="53">
        <f ca="1">'00 Panel del Analista'!K165</f>
        <v>0</v>
      </c>
      <c r="L19" s="53">
        <f ca="1">'00 Panel del Analista'!L165</f>
        <v>0</v>
      </c>
      <c r="M19" s="53">
        <f ca="1">'00 Panel del Analista'!M165</f>
        <v>0</v>
      </c>
      <c r="N19" s="53">
        <f ca="1">'00 Panel del Analista'!N165</f>
        <v>0</v>
      </c>
      <c r="O19" s="53">
        <f ca="1">'00 Panel del Analista'!O165</f>
        <v>0</v>
      </c>
      <c r="P19" s="53">
        <f ca="1">'00 Panel del Analista'!P165</f>
        <v>0</v>
      </c>
    </row>
    <row r="20" spans="2:17" x14ac:dyDescent="0.3">
      <c r="B20" t="s">
        <v>1685</v>
      </c>
      <c r="C20" t="s">
        <v>42</v>
      </c>
      <c r="G20" s="52">
        <f>G19*'09 Escenarios'!$G$9+$C$104</f>
        <v>0.5</v>
      </c>
      <c r="H20" s="52">
        <f>H19*'09 Escenarios'!$G$9+$C$104</f>
        <v>0.38</v>
      </c>
      <c r="I20" s="52">
        <f>I19*'09 Escenarios'!$G$9+$C$104</f>
        <v>0.28000000000000003</v>
      </c>
      <c r="J20" s="52">
        <f>J19*'09 Escenarios'!$G$9+$C$104</f>
        <v>0.21</v>
      </c>
      <c r="K20" s="52">
        <f>K19*'09 Escenarios'!$G$9+$C$104</f>
        <v>0.16</v>
      </c>
      <c r="L20" s="52">
        <f>L19*'09 Escenarios'!$G$9+$C$104</f>
        <v>0.12</v>
      </c>
      <c r="M20" s="52">
        <f>M19*'09 Escenarios'!$G$9+$C$104</f>
        <v>0.09</v>
      </c>
      <c r="N20" s="52">
        <f>N19*'09 Escenarios'!$G$9+$C$104</f>
        <v>7.0000000000000007E-2</v>
      </c>
      <c r="O20" s="52">
        <f>O19*'09 Escenarios'!$G$9+$C$104</f>
        <v>0.05</v>
      </c>
      <c r="P20" s="52">
        <f>P19*'09 Escenarios'!$G$9+$C$104</f>
        <v>0.04</v>
      </c>
    </row>
    <row r="21" spans="2:17" x14ac:dyDescent="0.3">
      <c r="B21" t="s">
        <v>332</v>
      </c>
      <c r="C21" t="s">
        <v>42</v>
      </c>
      <c r="G21" s="51">
        <f ca="1">'00 Panel del Analista'!G166</f>
        <v>0</v>
      </c>
      <c r="H21" s="51">
        <f ca="1">'00 Panel del Analista'!H166</f>
        <v>0</v>
      </c>
      <c r="I21" s="51">
        <f ca="1">'00 Panel del Analista'!I166</f>
        <v>0</v>
      </c>
      <c r="J21" s="51">
        <f ca="1">'00 Panel del Analista'!J166</f>
        <v>0</v>
      </c>
      <c r="K21" s="51">
        <f ca="1">'00 Panel del Analista'!K166</f>
        <v>0</v>
      </c>
      <c r="L21" s="51">
        <f ca="1">'00 Panel del Analista'!L166</f>
        <v>0</v>
      </c>
      <c r="M21" s="51">
        <f ca="1">'00 Panel del Analista'!M166</f>
        <v>0</v>
      </c>
      <c r="N21" s="51">
        <f ca="1">'00 Panel del Analista'!N166</f>
        <v>0</v>
      </c>
      <c r="O21" s="51">
        <f ca="1">'00 Panel del Analista'!O166</f>
        <v>0</v>
      </c>
      <c r="P21" s="51">
        <f ca="1">'00 Panel del Analista'!P166</f>
        <v>0</v>
      </c>
    </row>
    <row r="22" spans="2:17" x14ac:dyDescent="0.3">
      <c r="B22" t="s">
        <v>333</v>
      </c>
      <c r="C22" t="s">
        <v>42</v>
      </c>
      <c r="G22" s="52">
        <f>G21+'09 Escenarios'!$G$10+$C$104</f>
        <v>0</v>
      </c>
      <c r="H22" s="52">
        <f>H21+'09 Escenarios'!$G$10+$C$104</f>
        <v>-0.01</v>
      </c>
      <c r="I22" s="52">
        <f>I21+'09 Escenarios'!$G$10+$C$104</f>
        <v>-0.01</v>
      </c>
      <c r="J22" s="52">
        <f>J21+'09 Escenarios'!$G$10+$C$104</f>
        <v>0</v>
      </c>
      <c r="K22" s="52">
        <f>K21+'09 Escenarios'!$G$10+$C$104</f>
        <v>0</v>
      </c>
      <c r="L22" s="52">
        <f>L21+'09 Escenarios'!$G$10+$C$104</f>
        <v>0.01</v>
      </c>
      <c r="M22" s="52">
        <f>M21+'09 Escenarios'!$G$10+$C$104</f>
        <v>0.01</v>
      </c>
      <c r="N22" s="52">
        <f>N21+'09 Escenarios'!$G$10+$C$104</f>
        <v>0.01</v>
      </c>
      <c r="O22" s="52">
        <f>O21+'09 Escenarios'!$G$10+$C$104</f>
        <v>0.01</v>
      </c>
      <c r="P22" s="52">
        <f>P21+'09 Escenarios'!$G$10+$C$104</f>
        <v>0.01</v>
      </c>
    </row>
    <row r="23" spans="2:17" x14ac:dyDescent="0.3">
      <c r="B23" t="s">
        <v>334</v>
      </c>
      <c r="C23" t="s">
        <v>42</v>
      </c>
      <c r="G23" s="51">
        <f ca="1">'00 Panel del Analista'!G167</f>
        <v>0</v>
      </c>
      <c r="H23" s="51">
        <f ca="1">'00 Panel del Analista'!H167</f>
        <v>0</v>
      </c>
      <c r="I23" s="51">
        <f ca="1">'00 Panel del Analista'!I167</f>
        <v>0</v>
      </c>
      <c r="J23" s="51">
        <f ca="1">'00 Panel del Analista'!J167</f>
        <v>0</v>
      </c>
      <c r="K23" s="51">
        <f ca="1">'00 Panel del Analista'!K167</f>
        <v>0</v>
      </c>
      <c r="L23" s="51">
        <f ca="1">'00 Panel del Analista'!L167</f>
        <v>0</v>
      </c>
      <c r="M23" s="51">
        <f ca="1">'00 Panel del Analista'!M167</f>
        <v>0</v>
      </c>
      <c r="N23" s="51">
        <f ca="1">'00 Panel del Analista'!N167</f>
        <v>0</v>
      </c>
      <c r="O23" s="51">
        <f ca="1">'00 Panel del Analista'!O167</f>
        <v>0</v>
      </c>
      <c r="P23" s="51">
        <f ca="1">'00 Panel del Analista'!P167</f>
        <v>0</v>
      </c>
    </row>
    <row r="24" spans="2:17" x14ac:dyDescent="0.3">
      <c r="B24" t="s">
        <v>335</v>
      </c>
      <c r="C24" t="s">
        <v>42</v>
      </c>
      <c r="G24" s="52">
        <f>G23+'09 Escenarios'!$G$10+$C$104</f>
        <v>-0.02</v>
      </c>
      <c r="H24" s="52">
        <f>H23+'09 Escenarios'!$G$10+$C$104</f>
        <v>-0.02</v>
      </c>
      <c r="I24" s="52">
        <f>I23+'09 Escenarios'!$G$10+$C$104</f>
        <v>-0.01</v>
      </c>
      <c r="J24" s="52">
        <f>J23+'09 Escenarios'!$G$10+$C$104</f>
        <v>-0.01</v>
      </c>
      <c r="K24" s="52">
        <f>K23+'09 Escenarios'!$G$10+$C$104</f>
        <v>0</v>
      </c>
      <c r="L24" s="52">
        <f>L23+'09 Escenarios'!$G$10+$C$104</f>
        <v>0</v>
      </c>
      <c r="M24" s="52">
        <f>M23+'09 Escenarios'!$G$10+$C$104</f>
        <v>0</v>
      </c>
      <c r="N24" s="52">
        <f>N23+'09 Escenarios'!$G$10+$C$104</f>
        <v>0</v>
      </c>
      <c r="O24" s="52">
        <f>O23+'09 Escenarios'!$G$10+$C$104</f>
        <v>0</v>
      </c>
      <c r="P24" s="52">
        <f>P23+'09 Escenarios'!$G$10+$C$104</f>
        <v>0</v>
      </c>
    </row>
    <row r="25" spans="2:17" x14ac:dyDescent="0.3">
      <c r="B25" t="s">
        <v>336</v>
      </c>
      <c r="C25" t="s">
        <v>42</v>
      </c>
      <c r="G25" s="51">
        <f ca="1">'00 Panel del Analista'!G168</f>
        <v>0</v>
      </c>
      <c r="H25" s="51">
        <f ca="1">'00 Panel del Analista'!H168</f>
        <v>0</v>
      </c>
      <c r="I25" s="51">
        <f ca="1">'00 Panel del Analista'!I168</f>
        <v>0</v>
      </c>
      <c r="J25" s="51">
        <f ca="1">'00 Panel del Analista'!J168</f>
        <v>0</v>
      </c>
      <c r="K25" s="51">
        <f ca="1">'00 Panel del Analista'!K168</f>
        <v>0</v>
      </c>
      <c r="L25" s="51">
        <f ca="1">'00 Panel del Analista'!L168</f>
        <v>0</v>
      </c>
      <c r="M25" s="51">
        <f ca="1">'00 Panel del Analista'!M168</f>
        <v>0</v>
      </c>
      <c r="N25" s="51">
        <f ca="1">'00 Panel del Analista'!N168</f>
        <v>0</v>
      </c>
      <c r="O25" s="51">
        <f ca="1">'00 Panel del Analista'!O168</f>
        <v>0</v>
      </c>
      <c r="P25" s="51">
        <f ca="1">'00 Panel del Analista'!P168</f>
        <v>0</v>
      </c>
    </row>
    <row r="26" spans="2:17" x14ac:dyDescent="0.3">
      <c r="B26" t="s">
        <v>337</v>
      </c>
      <c r="C26" t="s">
        <v>42</v>
      </c>
      <c r="G26" s="52">
        <f>G25+'09 Escenarios'!$G$10+$C$104</f>
        <v>0.08</v>
      </c>
      <c r="H26" s="52">
        <f>H25+'09 Escenarios'!$G$10+$C$104</f>
        <v>7.0000000000000007E-2</v>
      </c>
      <c r="I26" s="52">
        <f>I25+'09 Escenarios'!$G$10+$C$104</f>
        <v>0.06</v>
      </c>
      <c r="J26" s="52">
        <f>J25+'09 Escenarios'!$G$10+$C$104</f>
        <v>0.05</v>
      </c>
      <c r="K26" s="52">
        <f>K25+'09 Escenarios'!$G$10+$C$104</f>
        <v>0.04</v>
      </c>
      <c r="L26" s="52">
        <f>L25+'09 Escenarios'!$G$10+$C$104</f>
        <v>0.03</v>
      </c>
      <c r="M26" s="52">
        <f>M25+'09 Escenarios'!$G$10+$C$104</f>
        <v>0.03</v>
      </c>
      <c r="N26" s="52">
        <f>N25+'09 Escenarios'!$G$10+$C$104</f>
        <v>0.03</v>
      </c>
      <c r="O26" s="52">
        <f>O25+'09 Escenarios'!$G$10+$C$104</f>
        <v>0.03</v>
      </c>
      <c r="P26" s="52">
        <f>P25+'09 Escenarios'!$G$10+$C$104</f>
        <v>0.03</v>
      </c>
    </row>
    <row r="28" spans="2:17" x14ac:dyDescent="0.3">
      <c r="B28" s="5" t="s">
        <v>338</v>
      </c>
      <c r="C28" s="5"/>
      <c r="D28" s="5"/>
      <c r="E28" s="5"/>
      <c r="F28" s="5"/>
      <c r="G28" s="5"/>
      <c r="H28" s="5"/>
      <c r="I28" s="5"/>
      <c r="J28" s="5"/>
      <c r="K28" s="5"/>
      <c r="L28" s="5"/>
      <c r="M28" s="5"/>
      <c r="N28" s="5"/>
      <c r="O28" s="5"/>
      <c r="P28" s="5"/>
    </row>
    <row r="29" spans="2:17" x14ac:dyDescent="0.3">
      <c r="B29" t="s">
        <v>339</v>
      </c>
      <c r="C29" t="s">
        <v>42</v>
      </c>
      <c r="G29" s="53">
        <f ca="1">'00 Panel del Analista'!G169</f>
        <v>0</v>
      </c>
      <c r="H29" s="53">
        <f ca="1">'00 Panel del Analista'!H169</f>
        <v>0</v>
      </c>
      <c r="I29" s="53">
        <f ca="1">'00 Panel del Analista'!I169</f>
        <v>0</v>
      </c>
      <c r="J29" s="53">
        <f ca="1">'00 Panel del Analista'!J169</f>
        <v>0</v>
      </c>
      <c r="K29" s="53">
        <f ca="1">'00 Panel del Analista'!K169</f>
        <v>0</v>
      </c>
      <c r="L29" s="53">
        <f ca="1">'00 Panel del Analista'!L169</f>
        <v>0</v>
      </c>
      <c r="M29" s="53">
        <f ca="1">'00 Panel del Analista'!M169</f>
        <v>0</v>
      </c>
      <c r="N29" s="53">
        <f ca="1">'00 Panel del Analista'!N169</f>
        <v>0</v>
      </c>
      <c r="O29" s="53">
        <f ca="1">'00 Panel del Analista'!O169</f>
        <v>0</v>
      </c>
      <c r="P29" s="53">
        <f ca="1">'00 Panel del Analista'!P169</f>
        <v>0</v>
      </c>
    </row>
    <row r="30" spans="2:17" x14ac:dyDescent="0.3">
      <c r="B30" t="s">
        <v>340</v>
      </c>
      <c r="C30" t="s">
        <v>42</v>
      </c>
      <c r="G30" s="52">
        <f>G29+'09 Escenarios'!$G$11</f>
        <v>0.61</v>
      </c>
      <c r="H30" s="52">
        <f>H29+'09 Escenarios'!$G$11</f>
        <v>0.57999999999999996</v>
      </c>
      <c r="I30" s="52">
        <f>I29+'09 Escenarios'!$G$11</f>
        <v>0.56499999999999995</v>
      </c>
      <c r="J30" s="52">
        <f>J29+'09 Escenarios'!$G$11</f>
        <v>0.56000000000000005</v>
      </c>
      <c r="K30" s="52">
        <f>K29+'09 Escenarios'!$G$11</f>
        <v>0.56000000000000005</v>
      </c>
      <c r="L30" s="52">
        <f>L29+'09 Escenarios'!$G$11</f>
        <v>0.56499999999999995</v>
      </c>
      <c r="M30" s="52">
        <f>M29+'09 Escenarios'!$G$11</f>
        <v>0.56999999999999995</v>
      </c>
      <c r="N30" s="52">
        <f>N29+'09 Escenarios'!$G$11</f>
        <v>0.57499999999999996</v>
      </c>
      <c r="O30" s="52">
        <f>O29+'09 Escenarios'!$G$11</f>
        <v>0.57999999999999996</v>
      </c>
      <c r="P30" s="52">
        <f>P29+'09 Escenarios'!$G$11</f>
        <v>0.57999999999999996</v>
      </c>
    </row>
    <row r="31" spans="2:17" x14ac:dyDescent="0.3">
      <c r="B31" t="s">
        <v>341</v>
      </c>
      <c r="C31" t="s">
        <v>42</v>
      </c>
      <c r="G31" s="51">
        <f ca="1">'00 Panel del Analista'!G170</f>
        <v>0</v>
      </c>
      <c r="H31" s="51">
        <f ca="1">'00 Panel del Analista'!H170</f>
        <v>0</v>
      </c>
      <c r="I31" s="51">
        <f ca="1">'00 Panel del Analista'!I170</f>
        <v>0</v>
      </c>
      <c r="J31" s="51">
        <f ca="1">'00 Panel del Analista'!J170</f>
        <v>0</v>
      </c>
      <c r="K31" s="51">
        <f ca="1">'00 Panel del Analista'!K170</f>
        <v>0</v>
      </c>
      <c r="L31" s="51">
        <f ca="1">'00 Panel del Analista'!L170</f>
        <v>0</v>
      </c>
      <c r="M31" s="51">
        <f ca="1">'00 Panel del Analista'!M170</f>
        <v>0</v>
      </c>
      <c r="N31" s="51">
        <f ca="1">'00 Panel del Analista'!N170</f>
        <v>0</v>
      </c>
      <c r="O31" s="51">
        <f ca="1">'00 Panel del Analista'!O170</f>
        <v>0</v>
      </c>
      <c r="P31" s="51">
        <f ca="1">'00 Panel del Analista'!P170</f>
        <v>0</v>
      </c>
    </row>
    <row r="32" spans="2:17" x14ac:dyDescent="0.3">
      <c r="B32" t="s">
        <v>342</v>
      </c>
      <c r="C32" t="s">
        <v>42</v>
      </c>
      <c r="G32" s="52">
        <f>G31+'09 Escenarios'!$G$12*$Q$32</f>
        <v>0.12</v>
      </c>
      <c r="H32" s="52">
        <f>H31+'09 Escenarios'!$G$12*$Q$32</f>
        <v>0.113</v>
      </c>
      <c r="I32" s="52">
        <f>I31+'09 Escenarios'!$G$12*$Q$32</f>
        <v>0.108</v>
      </c>
      <c r="J32" s="52">
        <f>J31+'09 Escenarios'!$G$12*$Q$32</f>
        <v>0.104</v>
      </c>
      <c r="K32" s="52">
        <f>K31+'09 Escenarios'!$G$12*$Q$32</f>
        <v>0.10100000000000001</v>
      </c>
      <c r="L32" s="52">
        <f>L31+'09 Escenarios'!$G$12*$Q$32</f>
        <v>9.9000000000000005E-2</v>
      </c>
      <c r="M32" s="52">
        <f>M31+'09 Escenarios'!$G$12*$Q$32</f>
        <v>9.8000000000000004E-2</v>
      </c>
      <c r="N32" s="52">
        <f>N31+'09 Escenarios'!$G$12*$Q$32</f>
        <v>9.7000000000000003E-2</v>
      </c>
      <c r="O32" s="52">
        <f>O31+'09 Escenarios'!$G$12*$Q$32</f>
        <v>9.7000000000000003E-2</v>
      </c>
      <c r="P32" s="52">
        <f>P31+'09 Escenarios'!$G$12*$Q$32</f>
        <v>9.7000000000000003E-2</v>
      </c>
      <c r="Q32" s="63">
        <f ca="1">'00 Panel del Analista'!D202</f>
        <v>0</v>
      </c>
    </row>
    <row r="33" spans="2:17" x14ac:dyDescent="0.3">
      <c r="B33" t="s">
        <v>343</v>
      </c>
      <c r="C33" t="s">
        <v>42</v>
      </c>
      <c r="G33" s="51">
        <f ca="1">'00 Panel del Analista'!G171</f>
        <v>0</v>
      </c>
      <c r="H33" s="51">
        <f ca="1">'00 Panel del Analista'!H171</f>
        <v>0</v>
      </c>
      <c r="I33" s="51">
        <f ca="1">'00 Panel del Analista'!I171</f>
        <v>0</v>
      </c>
      <c r="J33" s="51">
        <f ca="1">'00 Panel del Analista'!J171</f>
        <v>0</v>
      </c>
      <c r="K33" s="51">
        <f ca="1">'00 Panel del Analista'!K171</f>
        <v>0</v>
      </c>
      <c r="L33" s="51">
        <f ca="1">'00 Panel del Analista'!L171</f>
        <v>0</v>
      </c>
      <c r="M33" s="51">
        <f ca="1">'00 Panel del Analista'!M171</f>
        <v>0</v>
      </c>
      <c r="N33" s="51">
        <f ca="1">'00 Panel del Analista'!N171</f>
        <v>0</v>
      </c>
      <c r="O33" s="51">
        <f ca="1">'00 Panel del Analista'!O171</f>
        <v>0</v>
      </c>
      <c r="P33" s="51">
        <f ca="1">'00 Panel del Analista'!P171</f>
        <v>0</v>
      </c>
      <c r="Q33" s="64"/>
    </row>
    <row r="34" spans="2:17" x14ac:dyDescent="0.3">
      <c r="B34" t="s">
        <v>344</v>
      </c>
      <c r="C34" t="s">
        <v>42</v>
      </c>
      <c r="G34" s="52">
        <f>G33+'09 Escenarios'!$G$12*$Q$34</f>
        <v>0.14499999999999999</v>
      </c>
      <c r="H34" s="52">
        <f>H33+'09 Escenarios'!$G$12*$Q$34</f>
        <v>0.14000000000000001</v>
      </c>
      <c r="I34" s="52">
        <f>I33+'09 Escenarios'!$G$12*$Q$34</f>
        <v>0.13600000000000001</v>
      </c>
      <c r="J34" s="52">
        <f>J33+'09 Escenarios'!$G$12*$Q$34</f>
        <v>0.13300000000000001</v>
      </c>
      <c r="K34" s="52">
        <f>K33+'09 Escenarios'!$G$12*$Q$34</f>
        <v>0.13100000000000001</v>
      </c>
      <c r="L34" s="52">
        <f>L33+'09 Escenarios'!$G$12*$Q$34</f>
        <v>0.13</v>
      </c>
      <c r="M34" s="52">
        <f>M33+'09 Escenarios'!$G$12*$Q$34</f>
        <v>0.129</v>
      </c>
      <c r="N34" s="52">
        <f>N33+'09 Escenarios'!$G$12*$Q$34</f>
        <v>0.128</v>
      </c>
      <c r="O34" s="52">
        <f>O33+'09 Escenarios'!$G$12*$Q$34</f>
        <v>0.128</v>
      </c>
      <c r="P34" s="52">
        <f>P33+'09 Escenarios'!$G$12*$Q$34</f>
        <v>0.128</v>
      </c>
      <c r="Q34" s="63">
        <f ca="1">'00 Panel del Analista'!D203</f>
        <v>0</v>
      </c>
    </row>
    <row r="35" spans="2:17" x14ac:dyDescent="0.3">
      <c r="B35" t="s">
        <v>345</v>
      </c>
      <c r="C35" t="s">
        <v>42</v>
      </c>
      <c r="G35" s="51">
        <f ca="1">'00 Panel del Analista'!G172</f>
        <v>0</v>
      </c>
      <c r="H35" s="51">
        <f ca="1">'00 Panel del Analista'!H172</f>
        <v>0</v>
      </c>
      <c r="I35" s="51">
        <f ca="1">'00 Panel del Analista'!I172</f>
        <v>0</v>
      </c>
      <c r="J35" s="51">
        <f ca="1">'00 Panel del Analista'!J172</f>
        <v>0</v>
      </c>
      <c r="K35" s="51">
        <f ca="1">'00 Panel del Analista'!K172</f>
        <v>0</v>
      </c>
      <c r="L35" s="51">
        <f ca="1">'00 Panel del Analista'!L172</f>
        <v>0</v>
      </c>
      <c r="M35" s="51">
        <f ca="1">'00 Panel del Analista'!M172</f>
        <v>0</v>
      </c>
      <c r="N35" s="51">
        <f ca="1">'00 Panel del Analista'!N172</f>
        <v>0</v>
      </c>
      <c r="O35" s="51">
        <f ca="1">'00 Panel del Analista'!O172</f>
        <v>0</v>
      </c>
      <c r="P35" s="51">
        <f ca="1">'00 Panel del Analista'!P172</f>
        <v>0</v>
      </c>
      <c r="Q35" s="64"/>
    </row>
    <row r="36" spans="2:17" x14ac:dyDescent="0.3">
      <c r="B36" t="s">
        <v>346</v>
      </c>
      <c r="C36" t="s">
        <v>42</v>
      </c>
      <c r="G36" s="52">
        <f>G35+'09 Escenarios'!$G$12*$Q$36</f>
        <v>2.1999999999999999E-2</v>
      </c>
      <c r="H36" s="52">
        <f>H35+'09 Escenarios'!$G$12*$Q$36</f>
        <v>2.1000000000000001E-2</v>
      </c>
      <c r="I36" s="52">
        <f>I35+'09 Escenarios'!$G$12*$Q$36</f>
        <v>0.02</v>
      </c>
      <c r="J36" s="52">
        <f>J35+'09 Escenarios'!$G$12*$Q$36</f>
        <v>1.9E-2</v>
      </c>
      <c r="K36" s="52">
        <f>K35+'09 Escenarios'!$G$12*$Q$36</f>
        <v>1.9E-2</v>
      </c>
      <c r="L36" s="52">
        <f>L35+'09 Escenarios'!$G$12*$Q$36</f>
        <v>1.7999999999999999E-2</v>
      </c>
      <c r="M36" s="52">
        <f>M35+'09 Escenarios'!$G$12*$Q$36</f>
        <v>1.7999999999999999E-2</v>
      </c>
      <c r="N36" s="52">
        <f>N35+'09 Escenarios'!$G$12*$Q$36</f>
        <v>1.7999999999999999E-2</v>
      </c>
      <c r="O36" s="52">
        <f>O35+'09 Escenarios'!$G$12*$Q$36</f>
        <v>1.7999999999999999E-2</v>
      </c>
      <c r="P36" s="52">
        <f>P35+'09 Escenarios'!$G$12*$Q$36</f>
        <v>1.7999999999999999E-2</v>
      </c>
      <c r="Q36" s="63">
        <f ca="1">'00 Panel del Analista'!D204</f>
        <v>0</v>
      </c>
    </row>
    <row r="37" spans="2:17" x14ac:dyDescent="0.3">
      <c r="B37" t="s">
        <v>347</v>
      </c>
      <c r="C37" t="s">
        <v>95</v>
      </c>
      <c r="G37" s="54">
        <f ca="1">'00 Panel del Analista'!G173</f>
        <v>0</v>
      </c>
      <c r="H37" s="54">
        <f ca="1">'00 Panel del Analista'!H173</f>
        <v>0</v>
      </c>
      <c r="I37" s="54">
        <f ca="1">'00 Panel del Analista'!I173</f>
        <v>0</v>
      </c>
      <c r="J37" s="54">
        <f ca="1">'00 Panel del Analista'!J173</f>
        <v>0</v>
      </c>
      <c r="K37" s="54">
        <f ca="1">'00 Panel del Analista'!K173</f>
        <v>0</v>
      </c>
      <c r="L37" s="54">
        <f ca="1">'00 Panel del Analista'!L173</f>
        <v>0</v>
      </c>
      <c r="M37" s="54">
        <f ca="1">'00 Panel del Analista'!M173</f>
        <v>0</v>
      </c>
      <c r="N37" s="54">
        <f ca="1">'00 Panel del Analista'!N173</f>
        <v>0</v>
      </c>
      <c r="O37" s="54">
        <f ca="1">'00 Panel del Analista'!O173</f>
        <v>0</v>
      </c>
      <c r="P37" s="54">
        <f ca="1">'00 Panel del Analista'!P173</f>
        <v>0</v>
      </c>
    </row>
    <row r="38" spans="2:17" x14ac:dyDescent="0.3">
      <c r="B38" t="s">
        <v>348</v>
      </c>
      <c r="C38" t="s">
        <v>95</v>
      </c>
      <c r="G38" s="54">
        <f ca="1">'00 Panel del Analista'!G174</f>
        <v>0</v>
      </c>
      <c r="H38" s="54">
        <f ca="1">'00 Panel del Analista'!H174</f>
        <v>0</v>
      </c>
      <c r="I38" s="54">
        <f ca="1">'00 Panel del Analista'!I174</f>
        <v>0</v>
      </c>
      <c r="J38" s="54">
        <f ca="1">'00 Panel del Analista'!J174</f>
        <v>0</v>
      </c>
      <c r="K38" s="54">
        <f ca="1">'00 Panel del Analista'!K174</f>
        <v>0</v>
      </c>
      <c r="L38" s="54">
        <f ca="1">'00 Panel del Analista'!L174</f>
        <v>0</v>
      </c>
      <c r="M38" s="54">
        <f ca="1">'00 Panel del Analista'!M174</f>
        <v>0</v>
      </c>
      <c r="N38" s="54">
        <f ca="1">'00 Panel del Analista'!N174</f>
        <v>0</v>
      </c>
      <c r="O38" s="54">
        <f ca="1">'00 Panel del Analista'!O174</f>
        <v>0</v>
      </c>
      <c r="P38" s="54">
        <f ca="1">'00 Panel del Analista'!P174</f>
        <v>0</v>
      </c>
    </row>
    <row r="40" spans="2:17" x14ac:dyDescent="0.3">
      <c r="B40" s="5" t="s">
        <v>349</v>
      </c>
      <c r="C40" s="5"/>
      <c r="D40" s="5"/>
      <c r="E40" s="5"/>
      <c r="F40" s="5"/>
      <c r="G40" s="5"/>
      <c r="H40" s="5"/>
      <c r="I40" s="5"/>
      <c r="J40" s="5"/>
      <c r="K40" s="5"/>
      <c r="L40" s="5"/>
      <c r="M40" s="5"/>
      <c r="N40" s="5"/>
      <c r="O40" s="5"/>
      <c r="P40" s="5"/>
    </row>
    <row r="41" spans="2:17" x14ac:dyDescent="0.3">
      <c r="B41" t="s">
        <v>350</v>
      </c>
      <c r="C41" t="s">
        <v>42</v>
      </c>
      <c r="G41" s="53">
        <f ca="1">'00 Panel del Analista'!G175</f>
        <v>0</v>
      </c>
      <c r="H41" s="53">
        <f ca="1">'00 Panel del Analista'!H175</f>
        <v>0</v>
      </c>
      <c r="I41" s="53">
        <f ca="1">'00 Panel del Analista'!I175</f>
        <v>0</v>
      </c>
      <c r="J41" s="53">
        <f ca="1">'00 Panel del Analista'!J175</f>
        <v>0</v>
      </c>
      <c r="K41" s="53">
        <f ca="1">'00 Panel del Analista'!K175</f>
        <v>0</v>
      </c>
      <c r="L41" s="53">
        <f ca="1">'00 Panel del Analista'!L175</f>
        <v>0</v>
      </c>
      <c r="M41" s="53">
        <f ca="1">'00 Panel del Analista'!M175</f>
        <v>0</v>
      </c>
      <c r="N41" s="53">
        <f ca="1">'00 Panel del Analista'!N175</f>
        <v>0</v>
      </c>
      <c r="O41" s="53">
        <f ca="1">'00 Panel del Analista'!O175</f>
        <v>0</v>
      </c>
      <c r="P41" s="53">
        <f ca="1">'00 Panel del Analista'!P175</f>
        <v>0</v>
      </c>
    </row>
    <row r="42" spans="2:17" x14ac:dyDescent="0.3">
      <c r="B42" t="s">
        <v>351</v>
      </c>
      <c r="C42" t="s">
        <v>42</v>
      </c>
      <c r="G42" s="52">
        <f>G41*'09 Escenarios'!$G$13</f>
        <v>0.6</v>
      </c>
      <c r="H42" s="52">
        <f>H41*'09 Escenarios'!$G$13</f>
        <v>0.4</v>
      </c>
      <c r="I42" s="52">
        <f>I41*'09 Escenarios'!$G$13</f>
        <v>0.28000000000000003</v>
      </c>
      <c r="J42" s="52">
        <f>J41*'09 Escenarios'!$G$13</f>
        <v>0.21</v>
      </c>
      <c r="K42" s="52">
        <f>K41*'09 Escenarios'!$G$13</f>
        <v>0.16</v>
      </c>
      <c r="L42" s="52">
        <f>L41*'09 Escenarios'!$G$13</f>
        <v>0.14000000000000001</v>
      </c>
      <c r="M42" s="52">
        <f>M41*'09 Escenarios'!$G$13</f>
        <v>0.13</v>
      </c>
      <c r="N42" s="52">
        <f>N41*'09 Escenarios'!$G$13</f>
        <v>0.125</v>
      </c>
      <c r="O42" s="52">
        <f>O41*'09 Escenarios'!$G$13</f>
        <v>0.12</v>
      </c>
      <c r="P42" s="52">
        <f>P41*'09 Escenarios'!$G$13</f>
        <v>0.11799999999999999</v>
      </c>
    </row>
    <row r="43" spans="2:17" x14ac:dyDescent="0.3">
      <c r="B43" t="s">
        <v>352</v>
      </c>
      <c r="C43" s="58">
        <f ca="1">'00 Panel del Analista'!D189</f>
        <v>0</v>
      </c>
    </row>
    <row r="44" spans="2:17" x14ac:dyDescent="0.3">
      <c r="B44" t="s">
        <v>353</v>
      </c>
      <c r="C44" t="s">
        <v>321</v>
      </c>
      <c r="F44" s="59">
        <f>('03 Historical'!E48+'03 Historical'!F129/2)/'03 Historical'!F79</f>
        <v>9.3602912239275877</v>
      </c>
    </row>
    <row r="46" spans="2:17" x14ac:dyDescent="0.3">
      <c r="B46" s="5" t="s">
        <v>354</v>
      </c>
      <c r="C46" s="5"/>
      <c r="D46" s="5"/>
      <c r="E46" s="5"/>
      <c r="F46" s="5"/>
      <c r="G46" s="5"/>
      <c r="H46" s="5"/>
      <c r="I46" s="5"/>
      <c r="J46" s="5"/>
      <c r="K46" s="5"/>
      <c r="L46" s="5"/>
      <c r="M46" s="5"/>
      <c r="N46" s="5"/>
      <c r="O46" s="5"/>
      <c r="P46" s="5"/>
    </row>
    <row r="47" spans="2:17" x14ac:dyDescent="0.3">
      <c r="B47" t="s">
        <v>355</v>
      </c>
      <c r="C47" t="s">
        <v>213</v>
      </c>
      <c r="G47" s="45">
        <f ca="1">'00 Panel del Analista'!G176</f>
        <v>0</v>
      </c>
      <c r="H47" s="45">
        <f ca="1">'00 Panel del Analista'!H176</f>
        <v>0</v>
      </c>
      <c r="I47" s="45">
        <f ca="1">'00 Panel del Analista'!I176</f>
        <v>0</v>
      </c>
      <c r="J47" s="45">
        <f ca="1">'00 Panel del Analista'!J176</f>
        <v>0</v>
      </c>
      <c r="K47" s="45">
        <f ca="1">'00 Panel del Analista'!K176</f>
        <v>0</v>
      </c>
      <c r="L47" s="45">
        <f ca="1">'00 Panel del Analista'!L176</f>
        <v>0</v>
      </c>
      <c r="M47" s="45">
        <f ca="1">'00 Panel del Analista'!M176</f>
        <v>0</v>
      </c>
      <c r="N47" s="45">
        <f ca="1">'00 Panel del Analista'!N176</f>
        <v>0</v>
      </c>
      <c r="O47" s="45">
        <f ca="1">'00 Panel del Analista'!O176</f>
        <v>0</v>
      </c>
      <c r="P47" s="45">
        <f ca="1">'00 Panel del Analista'!P176</f>
        <v>0</v>
      </c>
    </row>
    <row r="48" spans="2:17" x14ac:dyDescent="0.3">
      <c r="B48" t="s">
        <v>356</v>
      </c>
      <c r="C48" t="s">
        <v>213</v>
      </c>
      <c r="G48" s="55">
        <f>G47+'09 Escenarios'!$G$14</f>
        <v>56</v>
      </c>
      <c r="H48" s="55">
        <f>H47+'09 Escenarios'!$G$14</f>
        <v>55</v>
      </c>
      <c r="I48" s="55">
        <f>I47+'09 Escenarios'!$G$14</f>
        <v>54</v>
      </c>
      <c r="J48" s="55">
        <f>J47+'09 Escenarios'!$G$14</f>
        <v>53</v>
      </c>
      <c r="K48" s="55">
        <f>K47+'09 Escenarios'!$G$14</f>
        <v>52</v>
      </c>
      <c r="L48" s="55">
        <f>L47+'09 Escenarios'!$G$14</f>
        <v>52</v>
      </c>
      <c r="M48" s="55">
        <f>M47+'09 Escenarios'!$G$14</f>
        <v>52</v>
      </c>
      <c r="N48" s="55">
        <f>N47+'09 Escenarios'!$G$14</f>
        <v>52</v>
      </c>
      <c r="O48" s="55">
        <f>O47+'09 Escenarios'!$G$14</f>
        <v>52</v>
      </c>
      <c r="P48" s="55">
        <f>P47+'09 Escenarios'!$G$14</f>
        <v>52</v>
      </c>
    </row>
    <row r="49" spans="2:16" x14ac:dyDescent="0.3">
      <c r="B49" t="s">
        <v>357</v>
      </c>
      <c r="C49" t="s">
        <v>42</v>
      </c>
      <c r="G49" s="51">
        <f ca="1">'00 Panel del Analista'!G177</f>
        <v>0</v>
      </c>
      <c r="H49" s="51">
        <f ca="1">'00 Panel del Analista'!H177</f>
        <v>0</v>
      </c>
      <c r="I49" s="51">
        <f ca="1">'00 Panel del Analista'!I177</f>
        <v>0</v>
      </c>
      <c r="J49" s="51">
        <f ca="1">'00 Panel del Analista'!J177</f>
        <v>0</v>
      </c>
      <c r="K49" s="51">
        <f ca="1">'00 Panel del Analista'!K177</f>
        <v>0</v>
      </c>
      <c r="L49" s="51">
        <f ca="1">'00 Panel del Analista'!L177</f>
        <v>0</v>
      </c>
      <c r="M49" s="51">
        <f ca="1">'00 Panel del Analista'!M177</f>
        <v>0</v>
      </c>
      <c r="N49" s="51">
        <f ca="1">'00 Panel del Analista'!N177</f>
        <v>0</v>
      </c>
      <c r="O49" s="51">
        <f ca="1">'00 Panel del Analista'!O177</f>
        <v>0</v>
      </c>
      <c r="P49" s="51">
        <f ca="1">'00 Panel del Analista'!P177</f>
        <v>0</v>
      </c>
    </row>
    <row r="50" spans="2:16" x14ac:dyDescent="0.3">
      <c r="B50" t="s">
        <v>215</v>
      </c>
      <c r="C50" t="s">
        <v>42</v>
      </c>
      <c r="G50" s="51">
        <f ca="1">'00 Panel del Analista'!G178</f>
        <v>0</v>
      </c>
      <c r="H50" s="51">
        <f ca="1">'00 Panel del Analista'!H178</f>
        <v>0</v>
      </c>
      <c r="I50" s="51">
        <f ca="1">'00 Panel del Analista'!I178</f>
        <v>0</v>
      </c>
      <c r="J50" s="51">
        <f ca="1">'00 Panel del Analista'!J178</f>
        <v>0</v>
      </c>
      <c r="K50" s="51">
        <f ca="1">'00 Panel del Analista'!K178</f>
        <v>0</v>
      </c>
      <c r="L50" s="51">
        <f ca="1">'00 Panel del Analista'!L178</f>
        <v>0</v>
      </c>
      <c r="M50" s="51">
        <f ca="1">'00 Panel del Analista'!M178</f>
        <v>0</v>
      </c>
      <c r="N50" s="51">
        <f ca="1">'00 Panel del Analista'!N178</f>
        <v>0</v>
      </c>
      <c r="O50" s="51">
        <f ca="1">'00 Panel del Analista'!O178</f>
        <v>0</v>
      </c>
      <c r="P50" s="51">
        <f ca="1">'00 Panel del Analista'!P178</f>
        <v>0</v>
      </c>
    </row>
    <row r="51" spans="2:16" x14ac:dyDescent="0.3">
      <c r="B51" t="s">
        <v>358</v>
      </c>
      <c r="C51" t="s">
        <v>42</v>
      </c>
      <c r="G51" s="51">
        <f ca="1">'00 Panel del Analista'!G179</f>
        <v>0</v>
      </c>
      <c r="H51" s="51">
        <f ca="1">'00 Panel del Analista'!H179</f>
        <v>0</v>
      </c>
      <c r="I51" s="51">
        <f ca="1">'00 Panel del Analista'!I179</f>
        <v>0</v>
      </c>
      <c r="J51" s="51">
        <f ca="1">'00 Panel del Analista'!J179</f>
        <v>0</v>
      </c>
      <c r="K51" s="51">
        <f ca="1">'00 Panel del Analista'!K179</f>
        <v>0</v>
      </c>
      <c r="L51" s="51">
        <f ca="1">'00 Panel del Analista'!L179</f>
        <v>0</v>
      </c>
      <c r="M51" s="51">
        <f ca="1">'00 Panel del Analista'!M179</f>
        <v>0</v>
      </c>
      <c r="N51" s="51">
        <f ca="1">'00 Panel del Analista'!N179</f>
        <v>0</v>
      </c>
      <c r="O51" s="51">
        <f ca="1">'00 Panel del Analista'!O179</f>
        <v>0</v>
      </c>
      <c r="P51" s="51">
        <f ca="1">'00 Panel del Analista'!P179</f>
        <v>0</v>
      </c>
    </row>
    <row r="52" spans="2:16" x14ac:dyDescent="0.3">
      <c r="B52" t="s">
        <v>359</v>
      </c>
      <c r="C52" t="s">
        <v>42</v>
      </c>
      <c r="G52" s="51">
        <f ca="1">'00 Panel del Analista'!G180</f>
        <v>0</v>
      </c>
      <c r="H52" s="51">
        <f ca="1">'00 Panel del Analista'!H180</f>
        <v>0</v>
      </c>
      <c r="I52" s="51">
        <f ca="1">'00 Panel del Analista'!I180</f>
        <v>0</v>
      </c>
      <c r="J52" s="51">
        <f ca="1">'00 Panel del Analista'!J180</f>
        <v>0</v>
      </c>
      <c r="K52" s="51">
        <f ca="1">'00 Panel del Analista'!K180</f>
        <v>0</v>
      </c>
      <c r="L52" s="51">
        <f ca="1">'00 Panel del Analista'!L180</f>
        <v>0</v>
      </c>
      <c r="M52" s="51">
        <f ca="1">'00 Panel del Analista'!M180</f>
        <v>0</v>
      </c>
      <c r="N52" s="51">
        <f ca="1">'00 Panel del Analista'!N180</f>
        <v>0</v>
      </c>
      <c r="O52" s="51">
        <f ca="1">'00 Panel del Analista'!O180</f>
        <v>0</v>
      </c>
      <c r="P52" s="51">
        <f ca="1">'00 Panel del Analista'!P180</f>
        <v>0</v>
      </c>
    </row>
    <row r="53" spans="2:16" x14ac:dyDescent="0.3">
      <c r="B53" t="s">
        <v>360</v>
      </c>
      <c r="C53" t="s">
        <v>42</v>
      </c>
      <c r="G53" s="51">
        <f ca="1">'00 Panel del Analista'!G181</f>
        <v>0</v>
      </c>
      <c r="H53" s="51">
        <f ca="1">'00 Panel del Analista'!H181</f>
        <v>0</v>
      </c>
      <c r="I53" s="51">
        <f ca="1">'00 Panel del Analista'!I181</f>
        <v>0</v>
      </c>
      <c r="J53" s="51">
        <f ca="1">'00 Panel del Analista'!J181</f>
        <v>0</v>
      </c>
      <c r="K53" s="51">
        <f ca="1">'00 Panel del Analista'!K181</f>
        <v>0</v>
      </c>
      <c r="L53" s="51">
        <f ca="1">'00 Panel del Analista'!L181</f>
        <v>0</v>
      </c>
      <c r="M53" s="51">
        <f ca="1">'00 Panel del Analista'!M181</f>
        <v>0</v>
      </c>
      <c r="N53" s="51">
        <f ca="1">'00 Panel del Analista'!N181</f>
        <v>0</v>
      </c>
      <c r="O53" s="51">
        <f ca="1">'00 Panel del Analista'!O181</f>
        <v>0</v>
      </c>
      <c r="P53" s="51">
        <f ca="1">'00 Panel del Analista'!P181</f>
        <v>0</v>
      </c>
    </row>
    <row r="55" spans="2:16" x14ac:dyDescent="0.3">
      <c r="B55" s="5" t="s">
        <v>361</v>
      </c>
      <c r="C55" s="5"/>
      <c r="D55" s="5"/>
      <c r="E55" s="5"/>
      <c r="F55" s="5"/>
      <c r="G55" s="5"/>
      <c r="H55" s="5"/>
      <c r="I55" s="5"/>
      <c r="J55" s="5"/>
      <c r="K55" s="5"/>
      <c r="L55" s="5"/>
      <c r="M55" s="5"/>
      <c r="N55" s="5"/>
      <c r="O55" s="5"/>
      <c r="P55" s="5"/>
    </row>
    <row r="56" spans="2:16" x14ac:dyDescent="0.3">
      <c r="B56" t="s">
        <v>362</v>
      </c>
      <c r="C56" t="s">
        <v>42</v>
      </c>
      <c r="G56" s="53">
        <f ca="1">'00 Panel del Analista'!G182</f>
        <v>0</v>
      </c>
      <c r="H56" s="53">
        <f ca="1">'00 Panel del Analista'!H182</f>
        <v>0</v>
      </c>
      <c r="I56" s="53">
        <f ca="1">'00 Panel del Analista'!I182</f>
        <v>0</v>
      </c>
      <c r="J56" s="53">
        <f ca="1">'00 Panel del Analista'!J182</f>
        <v>0</v>
      </c>
      <c r="K56" s="53">
        <f ca="1">'00 Panel del Analista'!K182</f>
        <v>0</v>
      </c>
      <c r="L56" s="53">
        <f ca="1">'00 Panel del Analista'!L182</f>
        <v>0</v>
      </c>
      <c r="M56" s="53">
        <f ca="1">'00 Panel del Analista'!M182</f>
        <v>0</v>
      </c>
      <c r="N56" s="53">
        <f ca="1">'00 Panel del Analista'!N182</f>
        <v>0</v>
      </c>
      <c r="O56" s="53">
        <f ca="1">'00 Panel del Analista'!O182</f>
        <v>0</v>
      </c>
      <c r="P56" s="53">
        <f ca="1">'00 Panel del Analista'!P182</f>
        <v>0</v>
      </c>
    </row>
    <row r="57" spans="2:16" x14ac:dyDescent="0.3">
      <c r="B57" t="s">
        <v>363</v>
      </c>
      <c r="C57" t="s">
        <v>42</v>
      </c>
      <c r="G57" s="52">
        <f>G56+'09 Escenarios'!$G$15</f>
        <v>0.14000000000000001</v>
      </c>
      <c r="H57" s="52">
        <f>H56+'09 Escenarios'!$G$15</f>
        <v>0.15</v>
      </c>
      <c r="I57" s="52">
        <f>I56+'09 Escenarios'!$G$15</f>
        <v>0.16</v>
      </c>
      <c r="J57" s="52">
        <f>J56+'09 Escenarios'!$G$15</f>
        <v>0.17</v>
      </c>
      <c r="K57" s="52">
        <f>K56+'09 Escenarios'!$G$15</f>
        <v>0.18</v>
      </c>
      <c r="L57" s="52">
        <f>L56+'09 Escenarios'!$G$15</f>
        <v>0.19</v>
      </c>
      <c r="M57" s="52">
        <f>M56+'09 Escenarios'!$G$15</f>
        <v>0.19</v>
      </c>
      <c r="N57" s="52">
        <f>N56+'09 Escenarios'!$G$15</f>
        <v>0.19</v>
      </c>
      <c r="O57" s="52">
        <f>O56+'09 Escenarios'!$G$15</f>
        <v>0.19</v>
      </c>
      <c r="P57" s="52">
        <f>P56+'09 Escenarios'!$G$15</f>
        <v>0.19</v>
      </c>
    </row>
    <row r="58" spans="2:16" x14ac:dyDescent="0.3">
      <c r="B58" t="s">
        <v>364</v>
      </c>
      <c r="C58" s="51">
        <f ca="1">'00 Panel del Analista'!D190</f>
        <v>0</v>
      </c>
    </row>
    <row r="59" spans="2:16" x14ac:dyDescent="0.3">
      <c r="B59" t="s">
        <v>365</v>
      </c>
      <c r="C59" t="s">
        <v>42</v>
      </c>
      <c r="F59" s="57">
        <f>'03 Historical'!F33</f>
        <v>0.12616344481947428</v>
      </c>
    </row>
    <row r="61" spans="2:16" x14ac:dyDescent="0.3">
      <c r="B61" s="5" t="s">
        <v>366</v>
      </c>
      <c r="C61" s="5"/>
      <c r="D61" s="5"/>
      <c r="E61" s="5"/>
      <c r="F61" s="5"/>
      <c r="G61" s="5"/>
      <c r="H61" s="5"/>
      <c r="I61" s="5"/>
      <c r="J61" s="5"/>
      <c r="K61" s="5"/>
      <c r="L61" s="5"/>
      <c r="M61" s="5"/>
      <c r="N61" s="5"/>
      <c r="O61" s="5"/>
      <c r="P61" s="5"/>
    </row>
    <row r="62" spans="2:16" x14ac:dyDescent="0.3">
      <c r="B62" t="s">
        <v>367</v>
      </c>
      <c r="C62" s="53">
        <f ca="1">'00 Panel del Analista'!D191</f>
        <v>0</v>
      </c>
    </row>
    <row r="63" spans="2:16" x14ac:dyDescent="0.3">
      <c r="B63" t="s">
        <v>368</v>
      </c>
      <c r="C63" s="56">
        <f>C62+'09 Escenarios'!$G$16</f>
        <v>0.03</v>
      </c>
    </row>
    <row r="64" spans="2:16" x14ac:dyDescent="0.3">
      <c r="B64" t="s">
        <v>369</v>
      </c>
      <c r="C64" s="60">
        <f ca="1">'00 Panel del Analista'!D192</f>
        <v>0</v>
      </c>
    </row>
    <row r="65" spans="2:16" x14ac:dyDescent="0.3">
      <c r="B65" t="s">
        <v>370</v>
      </c>
      <c r="C65" s="51">
        <f ca="1">'00 Panel del Analista'!D193</f>
        <v>0</v>
      </c>
    </row>
    <row r="66" spans="2:16" x14ac:dyDescent="0.3">
      <c r="B66" t="s">
        <v>447</v>
      </c>
      <c r="C66" s="88">
        <f ca="1">'00 Panel del Analista'!D194</f>
        <v>0</v>
      </c>
    </row>
    <row r="67" spans="2:16" x14ac:dyDescent="0.3">
      <c r="B67" s="5" t="s">
        <v>371</v>
      </c>
      <c r="C67" s="5"/>
      <c r="D67" s="5"/>
      <c r="E67" s="5"/>
      <c r="F67" s="5"/>
      <c r="G67" s="5"/>
      <c r="H67" s="5"/>
      <c r="I67" s="5"/>
      <c r="J67" s="5"/>
      <c r="K67" s="5"/>
      <c r="L67" s="5"/>
      <c r="M67" s="5"/>
      <c r="N67" s="5"/>
      <c r="O67" s="5"/>
      <c r="P67" s="5"/>
    </row>
    <row r="68" spans="2:16" x14ac:dyDescent="0.3">
      <c r="B68" t="s">
        <v>372</v>
      </c>
      <c r="C68" s="51">
        <f ca="1">'00 Panel del Analista'!D195</f>
        <v>0</v>
      </c>
    </row>
    <row r="69" spans="2:16" x14ac:dyDescent="0.3">
      <c r="B69" t="s">
        <v>1663</v>
      </c>
      <c r="C69" s="61">
        <f>'03 Historical'!F118+('03 Historical'!F40-'03 Historical'!F39)</f>
        <v>2934</v>
      </c>
    </row>
    <row r="70" spans="2:16" x14ac:dyDescent="0.3">
      <c r="B70" t="s">
        <v>373</v>
      </c>
      <c r="C70" s="62">
        <f>'03 Historical'!F110</f>
        <v>129541</v>
      </c>
    </row>
    <row r="71" spans="2:16" x14ac:dyDescent="0.3">
      <c r="B71" t="s">
        <v>374</v>
      </c>
      <c r="C71" s="62">
        <f>'03 Historical'!F112</f>
        <v>7701</v>
      </c>
    </row>
    <row r="72" spans="2:16" x14ac:dyDescent="0.3">
      <c r="B72" t="s">
        <v>129</v>
      </c>
      <c r="C72" s="62">
        <f>'03 Historical'!F43</f>
        <v>31289</v>
      </c>
    </row>
    <row r="73" spans="2:16" x14ac:dyDescent="0.3">
      <c r="B73" t="s">
        <v>130</v>
      </c>
      <c r="C73" s="62">
        <f>'03 Historical'!F44</f>
        <v>605</v>
      </c>
    </row>
    <row r="74" spans="2:16" x14ac:dyDescent="0.3">
      <c r="B74" t="s">
        <v>157</v>
      </c>
      <c r="C74" s="62">
        <f>'03 Historical'!F72</f>
        <v>548</v>
      </c>
    </row>
    <row r="75" spans="2:16" x14ac:dyDescent="0.3">
      <c r="B75" t="s">
        <v>375</v>
      </c>
      <c r="C75" s="62">
        <f>'03 Historical'!F67</f>
        <v>4954</v>
      </c>
    </row>
    <row r="76" spans="2:16" x14ac:dyDescent="0.3">
      <c r="B76" t="s">
        <v>376</v>
      </c>
      <c r="C76" s="62">
        <f>'03 Historical'!F113</f>
        <v>30190</v>
      </c>
    </row>
    <row r="79" spans="2:16" x14ac:dyDescent="0.3">
      <c r="B79" s="5" t="s">
        <v>377</v>
      </c>
      <c r="C79" s="16"/>
    </row>
    <row r="80" spans="2:16" x14ac:dyDescent="0.3">
      <c r="B80" s="2" t="s">
        <v>71</v>
      </c>
      <c r="C80" s="2" t="s">
        <v>378</v>
      </c>
    </row>
    <row r="81" spans="2:16" ht="230.4" x14ac:dyDescent="0.3">
      <c r="B81" s="37" t="s">
        <v>379</v>
      </c>
      <c r="C81" s="37" t="s">
        <v>380</v>
      </c>
    </row>
    <row r="82" spans="2:16" ht="144" x14ac:dyDescent="0.3">
      <c r="B82" s="37" t="s">
        <v>381</v>
      </c>
      <c r="C82" s="37" t="s">
        <v>382</v>
      </c>
    </row>
    <row r="83" spans="2:16" ht="230.4" x14ac:dyDescent="0.3">
      <c r="B83" s="37" t="s">
        <v>383</v>
      </c>
      <c r="C83" s="37" t="s">
        <v>384</v>
      </c>
    </row>
    <row r="84" spans="2:16" ht="129.6" x14ac:dyDescent="0.3">
      <c r="B84" s="37" t="s">
        <v>385</v>
      </c>
      <c r="C84" s="37" t="s">
        <v>386</v>
      </c>
    </row>
    <row r="85" spans="2:16" ht="115.2" x14ac:dyDescent="0.3">
      <c r="B85" s="37" t="s">
        <v>387</v>
      </c>
      <c r="C85" s="37" t="s">
        <v>388</v>
      </c>
    </row>
    <row r="86" spans="2:16" ht="187.2" x14ac:dyDescent="0.3">
      <c r="B86" s="37" t="s">
        <v>389</v>
      </c>
      <c r="C86" s="37" t="s">
        <v>390</v>
      </c>
    </row>
    <row r="87" spans="2:16" ht="144" x14ac:dyDescent="0.3">
      <c r="B87" s="37" t="s">
        <v>391</v>
      </c>
      <c r="C87" s="37" t="s">
        <v>392</v>
      </c>
    </row>
    <row r="88" spans="2:16" ht="172.8" x14ac:dyDescent="0.3">
      <c r="B88" s="37" t="s">
        <v>393</v>
      </c>
      <c r="C88" s="37" t="s">
        <v>394</v>
      </c>
    </row>
    <row r="89" spans="2:16" ht="144" x14ac:dyDescent="0.3">
      <c r="B89" s="37" t="s">
        <v>395</v>
      </c>
      <c r="C89" s="37" t="s">
        <v>396</v>
      </c>
    </row>
    <row r="90" spans="2:16" ht="129.6" x14ac:dyDescent="0.3">
      <c r="B90" s="37" t="s">
        <v>397</v>
      </c>
      <c r="C90" s="37" t="s">
        <v>398</v>
      </c>
    </row>
    <row r="91" spans="2:16" ht="129.6" x14ac:dyDescent="0.3">
      <c r="B91" s="37" t="s">
        <v>399</v>
      </c>
      <c r="C91" s="37" t="s">
        <v>400</v>
      </c>
    </row>
    <row r="92" spans="2:16" ht="115.2" x14ac:dyDescent="0.3">
      <c r="B92" s="37" t="s">
        <v>401</v>
      </c>
      <c r="C92" s="37" t="s">
        <v>402</v>
      </c>
    </row>
    <row r="94" spans="2:16" ht="28.8" x14ac:dyDescent="0.3">
      <c r="B94" s="113" t="s">
        <v>612</v>
      </c>
      <c r="C94" s="16"/>
      <c r="D94" s="16"/>
      <c r="E94" s="16"/>
      <c r="F94" s="16"/>
      <c r="G94" s="16"/>
      <c r="H94" s="16"/>
      <c r="I94" s="16"/>
      <c r="J94" s="16"/>
      <c r="K94" s="16"/>
      <c r="L94" s="16"/>
      <c r="M94" s="16"/>
      <c r="N94" s="16"/>
      <c r="O94" s="16"/>
      <c r="P94" s="16"/>
    </row>
    <row r="95" spans="2:16" x14ac:dyDescent="0.3">
      <c r="B95" t="s">
        <v>211</v>
      </c>
      <c r="C95" t="s">
        <v>42</v>
      </c>
      <c r="G95" s="87">
        <f ca="1">'00 Panel del Analista'!G183</f>
        <v>0</v>
      </c>
      <c r="H95" s="87">
        <f ca="1">'00 Panel del Analista'!H183</f>
        <v>0</v>
      </c>
      <c r="I95" s="87">
        <f ca="1">'00 Panel del Analista'!I183</f>
        <v>0</v>
      </c>
      <c r="J95" s="87">
        <f ca="1">'00 Panel del Analista'!J183</f>
        <v>0</v>
      </c>
      <c r="K95" s="87">
        <f ca="1">'00 Panel del Analista'!K183</f>
        <v>0</v>
      </c>
      <c r="L95" s="87">
        <f ca="1">'00 Panel del Analista'!L183</f>
        <v>0</v>
      </c>
      <c r="M95" s="87">
        <f ca="1">'00 Panel del Analista'!M183</f>
        <v>0</v>
      </c>
      <c r="N95" s="87">
        <f ca="1">'00 Panel del Analista'!N183</f>
        <v>0</v>
      </c>
      <c r="O95" s="87">
        <f ca="1">'00 Panel del Analista'!O183</f>
        <v>0</v>
      </c>
      <c r="P95" s="87">
        <f ca="1">'00 Panel del Analista'!P183</f>
        <v>0</v>
      </c>
    </row>
    <row r="96" spans="2:16" x14ac:dyDescent="0.3">
      <c r="B96" t="s">
        <v>613</v>
      </c>
      <c r="C96" s="87">
        <f ca="1">'00 Panel del Analista'!D196</f>
        <v>0</v>
      </c>
    </row>
    <row r="97" spans="2:3" x14ac:dyDescent="0.3">
      <c r="B97" t="s">
        <v>614</v>
      </c>
      <c r="C97" s="87">
        <f ca="1">'00 Panel del Analista'!D197</f>
        <v>0</v>
      </c>
    </row>
    <row r="98" spans="2:3" x14ac:dyDescent="0.3">
      <c r="B98" t="s">
        <v>615</v>
      </c>
      <c r="C98" s="87">
        <f ca="1">'00 Panel del Analista'!D198</f>
        <v>0</v>
      </c>
    </row>
    <row r="99" spans="2:3" x14ac:dyDescent="0.3">
      <c r="B99" t="s">
        <v>616</v>
      </c>
      <c r="C99" s="87">
        <f ca="1">'00 Panel del Analista'!D199</f>
        <v>0</v>
      </c>
    </row>
    <row r="100" spans="2:3" x14ac:dyDescent="0.3">
      <c r="B100" t="s">
        <v>617</v>
      </c>
      <c r="C100" s="54">
        <f ca="1">'00 Panel del Analista'!D200</f>
        <v>0</v>
      </c>
    </row>
    <row r="101" spans="2:3" x14ac:dyDescent="0.3">
      <c r="B101" t="s">
        <v>618</v>
      </c>
      <c r="C101" s="62">
        <f>SUM(G37:P37)</f>
        <v>4890</v>
      </c>
    </row>
    <row r="102" spans="2:3" x14ac:dyDescent="0.3">
      <c r="B102" t="s">
        <v>619</v>
      </c>
      <c r="C102" s="62">
        <f>'03 Historical'!F52-C101</f>
        <v>6853</v>
      </c>
    </row>
    <row r="103" spans="2:3" ht="57.6" x14ac:dyDescent="0.3">
      <c r="B103" s="114" t="s">
        <v>620</v>
      </c>
    </row>
    <row r="104" spans="2:3" x14ac:dyDescent="0.3">
      <c r="B104" t="s">
        <v>678</v>
      </c>
      <c r="C104" s="116">
        <f ca="1">'00 Panel del Analista'!D201</f>
        <v>0</v>
      </c>
    </row>
    <row r="105" spans="2:3" ht="57.6" x14ac:dyDescent="0.3">
      <c r="B105" s="114" t="s">
        <v>679</v>
      </c>
    </row>
    <row r="106" spans="2:3" ht="100.8" x14ac:dyDescent="0.3">
      <c r="B106" s="114" t="s">
        <v>1664</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C4B5-718C-4BF0-8592-771C76887685}">
  <dimension ref="A1:P157"/>
  <sheetViews>
    <sheetView zoomScale="45" workbookViewId="0">
      <pane xSplit="3" topLeftCell="D1" activePane="topRight" state="frozen"/>
      <selection pane="topRight"/>
    </sheetView>
  </sheetViews>
  <sheetFormatPr baseColWidth="10" defaultRowHeight="14.4" x14ac:dyDescent="0.3"/>
  <cols>
    <col min="2" max="2" width="61.109375" customWidth="1"/>
    <col min="3" max="3" width="10.21875" customWidth="1"/>
    <col min="4" max="5" width="17.5546875" customWidth="1"/>
    <col min="6" max="6" width="55.5546875" customWidth="1"/>
    <col min="7" max="7" width="79.6640625" customWidth="1"/>
  </cols>
  <sheetData>
    <row r="1" spans="1:16" ht="18" x14ac:dyDescent="0.35">
      <c r="A1" s="4" t="s">
        <v>86</v>
      </c>
    </row>
    <row r="2" spans="1:16" x14ac:dyDescent="0.3">
      <c r="A2" s="14" t="s">
        <v>87</v>
      </c>
    </row>
    <row r="4" spans="1:16" x14ac:dyDescent="0.3">
      <c r="B4" s="15" t="s">
        <v>88</v>
      </c>
      <c r="C4" s="15" t="s">
        <v>89</v>
      </c>
      <c r="D4" s="15">
        <f ca="1">'00 Panel del Analista'!D14</f>
        <v>0</v>
      </c>
      <c r="E4" s="15">
        <f ca="1">'00 Panel del Analista'!E14</f>
        <v>0</v>
      </c>
      <c r="F4" s="15">
        <f ca="1">'00 Panel del Analista'!F14</f>
        <v>0</v>
      </c>
      <c r="G4">
        <f ca="1">'00 Panel del Analista'!G14</f>
        <v>0</v>
      </c>
      <c r="H4">
        <f ca="1">'00 Panel del Analista'!H14</f>
        <v>0</v>
      </c>
      <c r="I4">
        <f ca="1">'00 Panel del Analista'!I14</f>
        <v>0</v>
      </c>
      <c r="J4">
        <f ca="1">'00 Panel del Analista'!J14</f>
        <v>0</v>
      </c>
      <c r="K4">
        <f ca="1">'00 Panel del Analista'!K14</f>
        <v>0</v>
      </c>
      <c r="L4">
        <f ca="1">'00 Panel del Analista'!L14</f>
        <v>0</v>
      </c>
      <c r="M4">
        <f ca="1">'00 Panel del Analista'!M14</f>
        <v>0</v>
      </c>
      <c r="N4">
        <f ca="1">'00 Panel del Analista'!N14</f>
        <v>0</v>
      </c>
      <c r="O4">
        <f ca="1">'00 Panel del Analista'!O14</f>
        <v>0</v>
      </c>
      <c r="P4">
        <f ca="1">'00 Panel del Analista'!P14</f>
        <v>0</v>
      </c>
    </row>
    <row r="6" spans="1:16" x14ac:dyDescent="0.3">
      <c r="B6" s="5" t="s">
        <v>93</v>
      </c>
      <c r="C6" s="5"/>
      <c r="D6" s="27"/>
      <c r="E6" s="27"/>
      <c r="F6" s="27"/>
    </row>
    <row r="7" spans="1:16" x14ac:dyDescent="0.3">
      <c r="B7" t="s">
        <v>94</v>
      </c>
      <c r="C7" t="s">
        <v>95</v>
      </c>
      <c r="D7" s="28">
        <f ca="1">'00 Panel del Analista'!D18</f>
        <v>0</v>
      </c>
      <c r="E7" s="28">
        <f ca="1">'00 Panel del Analista'!E18</f>
        <v>0</v>
      </c>
      <c r="F7" s="28">
        <f ca="1">'00 Panel del Analista'!F18</f>
        <v>0</v>
      </c>
    </row>
    <row r="8" spans="1:16" x14ac:dyDescent="0.3">
      <c r="B8" t="s">
        <v>96</v>
      </c>
      <c r="C8" t="s">
        <v>95</v>
      </c>
      <c r="D8" s="28">
        <f ca="1">'00 Panel del Analista'!D19</f>
        <v>0</v>
      </c>
      <c r="E8" s="28">
        <f ca="1">'00 Panel del Analista'!E19</f>
        <v>0</v>
      </c>
      <c r="F8" s="28">
        <f ca="1">'00 Panel del Analista'!F19</f>
        <v>0</v>
      </c>
    </row>
    <row r="9" spans="1:16" x14ac:dyDescent="0.3">
      <c r="B9" t="s">
        <v>97</v>
      </c>
      <c r="C9" t="s">
        <v>95</v>
      </c>
      <c r="D9" s="28">
        <f ca="1">'00 Panel del Analista'!D20</f>
        <v>0</v>
      </c>
      <c r="E9" s="28">
        <f ca="1">'00 Panel del Analista'!E20</f>
        <v>0</v>
      </c>
      <c r="F9" s="28">
        <f ca="1">'00 Panel del Analista'!F20</f>
        <v>0</v>
      </c>
    </row>
    <row r="10" spans="1:16" x14ac:dyDescent="0.3">
      <c r="B10" t="s">
        <v>98</v>
      </c>
      <c r="C10" t="s">
        <v>95</v>
      </c>
      <c r="D10" s="28">
        <f ca="1">'00 Panel del Analista'!D21</f>
        <v>0</v>
      </c>
      <c r="E10" s="28">
        <f ca="1">'00 Panel del Analista'!E21</f>
        <v>0</v>
      </c>
      <c r="F10" s="28">
        <f ca="1">'00 Panel del Analista'!F21</f>
        <v>0</v>
      </c>
    </row>
    <row r="11" spans="1:16" x14ac:dyDescent="0.3">
      <c r="B11" s="3" t="s">
        <v>99</v>
      </c>
      <c r="C11" s="3" t="s">
        <v>95</v>
      </c>
      <c r="D11" s="29">
        <f>SUM(D7:D10)</f>
        <v>52961</v>
      </c>
      <c r="E11" s="29">
        <f>SUM(E7:E10)</f>
        <v>57399</v>
      </c>
      <c r="F11" s="29">
        <f>SUM(F7:F10)</f>
        <v>67357</v>
      </c>
    </row>
    <row r="12" spans="1:16" x14ac:dyDescent="0.3">
      <c r="D12" s="6"/>
      <c r="E12" s="6"/>
      <c r="F12" s="6"/>
    </row>
    <row r="13" spans="1:16" x14ac:dyDescent="0.3">
      <c r="B13" t="s">
        <v>100</v>
      </c>
      <c r="C13" t="s">
        <v>95</v>
      </c>
      <c r="D13" s="28">
        <f ca="1">'00 Panel del Analista'!D24</f>
        <v>0</v>
      </c>
      <c r="E13" s="28">
        <f ca="1">'00 Panel del Analista'!E24</f>
        <v>0</v>
      </c>
      <c r="F13" s="28">
        <f ca="1">'00 Panel del Analista'!F24</f>
        <v>0</v>
      </c>
    </row>
    <row r="14" spans="1:16" x14ac:dyDescent="0.3">
      <c r="B14" t="s">
        <v>101</v>
      </c>
      <c r="C14" t="s">
        <v>95</v>
      </c>
      <c r="D14" s="28">
        <f ca="1">'00 Panel del Analista'!D25</f>
        <v>0</v>
      </c>
      <c r="E14" s="28">
        <f ca="1">'00 Panel del Analista'!E25</f>
        <v>0</v>
      </c>
      <c r="F14" s="28">
        <f ca="1">'00 Panel del Analista'!F25</f>
        <v>0</v>
      </c>
    </row>
    <row r="15" spans="1:16" x14ac:dyDescent="0.3">
      <c r="B15" t="s">
        <v>102</v>
      </c>
      <c r="C15" t="s">
        <v>95</v>
      </c>
      <c r="D15" s="28">
        <f ca="1">'00 Panel del Analista'!D26</f>
        <v>0</v>
      </c>
      <c r="E15" s="28">
        <f ca="1">'00 Panel del Analista'!E26</f>
        <v>0</v>
      </c>
      <c r="F15" s="28">
        <f ca="1">'00 Panel del Analista'!F26</f>
        <v>0</v>
      </c>
    </row>
    <row r="16" spans="1:16" x14ac:dyDescent="0.3">
      <c r="B16" s="3" t="s">
        <v>103</v>
      </c>
      <c r="C16" s="3" t="s">
        <v>95</v>
      </c>
      <c r="D16" s="29">
        <f>SUM(D13:D15)</f>
        <v>15143</v>
      </c>
      <c r="E16" s="29">
        <f>SUM(E13:E15)</f>
        <v>16927</v>
      </c>
      <c r="F16" s="29">
        <f>SUM(F13:F15)</f>
        <v>23021</v>
      </c>
    </row>
    <row r="17" spans="2:6" x14ac:dyDescent="0.3">
      <c r="B17" s="3" t="s">
        <v>104</v>
      </c>
      <c r="C17" s="3" t="s">
        <v>95</v>
      </c>
      <c r="D17" s="29">
        <f>D11-D16</f>
        <v>37818</v>
      </c>
      <c r="E17" s="29">
        <f>E11-E16</f>
        <v>40472</v>
      </c>
      <c r="F17" s="29">
        <f>F11-F16</f>
        <v>44336</v>
      </c>
    </row>
    <row r="18" spans="2:6" x14ac:dyDescent="0.3">
      <c r="B18" t="s">
        <v>105</v>
      </c>
      <c r="C18" t="s">
        <v>42</v>
      </c>
      <c r="D18" s="30">
        <f>D17/D11</f>
        <v>0.71407261947470779</v>
      </c>
      <c r="E18" s="30">
        <f>E17/E11</f>
        <v>0.70509939197547</v>
      </c>
      <c r="F18" s="30">
        <f>F17/F11</f>
        <v>0.65822408955268197</v>
      </c>
    </row>
    <row r="19" spans="2:6" x14ac:dyDescent="0.3">
      <c r="D19" s="6"/>
      <c r="E19" s="6"/>
      <c r="F19" s="6"/>
    </row>
    <row r="20" spans="2:6" x14ac:dyDescent="0.3">
      <c r="B20" t="s">
        <v>106</v>
      </c>
      <c r="C20" t="s">
        <v>95</v>
      </c>
      <c r="D20" s="28">
        <f ca="1">'00 Panel del Analista'!D31</f>
        <v>0</v>
      </c>
      <c r="E20" s="28">
        <f ca="1">'00 Panel del Analista'!E31</f>
        <v>0</v>
      </c>
      <c r="F20" s="28">
        <f ca="1">'00 Panel del Analista'!F31</f>
        <v>0</v>
      </c>
    </row>
    <row r="21" spans="2:6" x14ac:dyDescent="0.3">
      <c r="B21" t="s">
        <v>107</v>
      </c>
      <c r="C21" t="s">
        <v>95</v>
      </c>
      <c r="D21" s="28">
        <f ca="1">'00 Panel del Analista'!D32</f>
        <v>0</v>
      </c>
      <c r="E21" s="28">
        <f ca="1">'00 Panel del Analista'!E32</f>
        <v>0</v>
      </c>
      <c r="F21" s="28">
        <f ca="1">'00 Panel del Analista'!F32</f>
        <v>0</v>
      </c>
    </row>
    <row r="22" spans="2:6" x14ac:dyDescent="0.3">
      <c r="B22" t="s">
        <v>108</v>
      </c>
      <c r="C22" t="s">
        <v>95</v>
      </c>
      <c r="D22" s="28">
        <f ca="1">'00 Panel del Analista'!D33</f>
        <v>0</v>
      </c>
      <c r="E22" s="28">
        <f ca="1">'00 Panel del Analista'!E33</f>
        <v>0</v>
      </c>
      <c r="F22" s="28">
        <f ca="1">'00 Panel del Analista'!F33</f>
        <v>0</v>
      </c>
    </row>
    <row r="23" spans="2:6" x14ac:dyDescent="0.3">
      <c r="B23" t="s">
        <v>109</v>
      </c>
      <c r="C23" t="s">
        <v>95</v>
      </c>
      <c r="D23" s="28">
        <f ca="1">'00 Panel del Analista'!D34</f>
        <v>0</v>
      </c>
      <c r="E23" s="28">
        <f ca="1">'00 Panel del Analista'!E34</f>
        <v>0</v>
      </c>
      <c r="F23" s="28">
        <f ca="1">'00 Panel del Analista'!F34</f>
        <v>0</v>
      </c>
    </row>
    <row r="24" spans="2:6" x14ac:dyDescent="0.3">
      <c r="B24" t="s">
        <v>110</v>
      </c>
      <c r="C24" t="s">
        <v>95</v>
      </c>
      <c r="D24" s="28">
        <f ca="1">'00 Panel del Analista'!D35</f>
        <v>0</v>
      </c>
      <c r="E24" s="28">
        <f ca="1">'00 Panel del Analista'!E35</f>
        <v>0</v>
      </c>
      <c r="F24" s="28">
        <f ca="1">'00 Panel del Analista'!F35</f>
        <v>0</v>
      </c>
    </row>
    <row r="25" spans="2:6" x14ac:dyDescent="0.3">
      <c r="B25" s="3" t="s">
        <v>111</v>
      </c>
      <c r="C25" s="3" t="s">
        <v>95</v>
      </c>
      <c r="D25" s="29">
        <f>D16+SUM(D20:D24)</f>
        <v>37608</v>
      </c>
      <c r="E25" s="29">
        <f>E16+SUM(E20:E24)</f>
        <v>39721</v>
      </c>
      <c r="F25" s="29">
        <f>F16+SUM(F20:F24)</f>
        <v>46751</v>
      </c>
    </row>
    <row r="26" spans="2:6" x14ac:dyDescent="0.3">
      <c r="B26" s="3" t="s">
        <v>112</v>
      </c>
      <c r="C26" s="3" t="s">
        <v>95</v>
      </c>
      <c r="D26" s="29">
        <f>D11-D25</f>
        <v>15353</v>
      </c>
      <c r="E26" s="29">
        <f>E11-E25</f>
        <v>17678</v>
      </c>
      <c r="F26" s="29">
        <f>F11-F25</f>
        <v>20606</v>
      </c>
    </row>
    <row r="27" spans="2:6" x14ac:dyDescent="0.3">
      <c r="B27" t="s">
        <v>113</v>
      </c>
      <c r="C27" t="s">
        <v>42</v>
      </c>
      <c r="D27" s="30">
        <f>D26/D11</f>
        <v>0.28989256245161532</v>
      </c>
      <c r="E27" s="30">
        <f>E26/E11</f>
        <v>0.30798445965957594</v>
      </c>
      <c r="F27" s="30">
        <f>F26/F11</f>
        <v>0.30592217586887777</v>
      </c>
    </row>
    <row r="28" spans="2:6" x14ac:dyDescent="0.3">
      <c r="D28" s="6"/>
      <c r="E28" s="6"/>
      <c r="F28" s="6"/>
    </row>
    <row r="29" spans="2:6" x14ac:dyDescent="0.3">
      <c r="B29" t="s">
        <v>114</v>
      </c>
      <c r="C29" t="s">
        <v>95</v>
      </c>
      <c r="D29" s="28">
        <f ca="1">'00 Panel del Analista'!D40</f>
        <v>0</v>
      </c>
      <c r="E29" s="28">
        <f ca="1">'00 Panel del Analista'!E40</f>
        <v>0</v>
      </c>
      <c r="F29" s="28">
        <f ca="1">'00 Panel del Analista'!F40</f>
        <v>0</v>
      </c>
    </row>
    <row r="30" spans="2:6" x14ac:dyDescent="0.3">
      <c r="B30" t="s">
        <v>115</v>
      </c>
      <c r="C30" t="s">
        <v>95</v>
      </c>
      <c r="D30" s="28">
        <f ca="1">'00 Panel del Analista'!D41</f>
        <v>0</v>
      </c>
      <c r="E30" s="28">
        <f ca="1">'00 Panel del Analista'!E41</f>
        <v>0</v>
      </c>
      <c r="F30" s="28">
        <f ca="1">'00 Panel del Analista'!F41</f>
        <v>0</v>
      </c>
    </row>
    <row r="31" spans="2:6" x14ac:dyDescent="0.3">
      <c r="B31" s="3" t="s">
        <v>116</v>
      </c>
      <c r="C31" s="3" t="s">
        <v>95</v>
      </c>
      <c r="D31" s="29">
        <f>D26-D29+D30</f>
        <v>11741</v>
      </c>
      <c r="E31" s="29">
        <f>E26-E29+E30</f>
        <v>14160</v>
      </c>
      <c r="F31" s="29">
        <f>F26-F29+F30</f>
        <v>19554</v>
      </c>
    </row>
    <row r="32" spans="2:6" x14ac:dyDescent="0.3">
      <c r="B32" t="s">
        <v>117</v>
      </c>
      <c r="C32" t="s">
        <v>95</v>
      </c>
      <c r="D32" s="28">
        <f ca="1">'00 Panel del Analista'!D43</f>
        <v>0</v>
      </c>
      <c r="E32" s="28">
        <f ca="1">'00 Panel del Analista'!E43</f>
        <v>0</v>
      </c>
      <c r="F32" s="28">
        <f ca="1">'00 Panel del Analista'!F43</f>
        <v>0</v>
      </c>
    </row>
    <row r="33" spans="2:6" x14ac:dyDescent="0.3">
      <c r="B33" t="s">
        <v>118</v>
      </c>
      <c r="C33" t="s">
        <v>42</v>
      </c>
      <c r="D33" s="30">
        <f>D32/D31</f>
        <v>0.10850864491951281</v>
      </c>
      <c r="E33" s="30">
        <f>E32/E31</f>
        <v>0.12125706214689265</v>
      </c>
      <c r="F33" s="30">
        <f>F32/F31</f>
        <v>0.12616344481947428</v>
      </c>
    </row>
    <row r="34" spans="2:6" x14ac:dyDescent="0.3">
      <c r="B34" s="3" t="s">
        <v>119</v>
      </c>
      <c r="C34" s="3" t="s">
        <v>95</v>
      </c>
      <c r="D34" s="29">
        <f>D31-D32</f>
        <v>10467</v>
      </c>
      <c r="E34" s="29">
        <f>E31-E32</f>
        <v>12443</v>
      </c>
      <c r="F34" s="29">
        <f>F31-F32</f>
        <v>17087</v>
      </c>
    </row>
    <row r="35" spans="2:6" x14ac:dyDescent="0.3">
      <c r="B35" t="s">
        <v>120</v>
      </c>
      <c r="C35" t="s">
        <v>95</v>
      </c>
      <c r="D35" s="28">
        <f ca="1">'00 Panel del Analista'!D46</f>
        <v>0</v>
      </c>
      <c r="E35" s="28">
        <f ca="1">'00 Panel del Analista'!E46</f>
        <v>0</v>
      </c>
      <c r="F35" s="28">
        <f ca="1">'00 Panel del Analista'!F46</f>
        <v>0</v>
      </c>
    </row>
    <row r="36" spans="2:6" x14ac:dyDescent="0.3">
      <c r="B36" s="3" t="s">
        <v>121</v>
      </c>
      <c r="C36" s="3" t="s">
        <v>95</v>
      </c>
      <c r="D36" s="29">
        <f>D34-D35</f>
        <v>10467</v>
      </c>
      <c r="E36" s="29">
        <f>E34-E35</f>
        <v>12443</v>
      </c>
      <c r="F36" s="29">
        <f>F34-F35</f>
        <v>16984</v>
      </c>
    </row>
    <row r="37" spans="2:6" x14ac:dyDescent="0.3">
      <c r="B37" t="s">
        <v>122</v>
      </c>
      <c r="C37" t="s">
        <v>123</v>
      </c>
      <c r="D37" s="171">
        <f ca="1">'00 Panel del Analista'!D48</f>
        <v>0</v>
      </c>
      <c r="E37" s="171">
        <f ca="1">'00 Panel del Analista'!E48</f>
        <v>0</v>
      </c>
      <c r="F37" s="171">
        <f ca="1">'00 Panel del Analista'!F48</f>
        <v>0</v>
      </c>
    </row>
    <row r="38" spans="2:6" x14ac:dyDescent="0.3">
      <c r="B38" t="s">
        <v>124</v>
      </c>
      <c r="C38" t="s">
        <v>123</v>
      </c>
      <c r="D38" s="171">
        <f ca="1">'00 Panel del Analista'!D49</f>
        <v>0</v>
      </c>
      <c r="E38" s="171">
        <f ca="1">'00 Panel del Analista'!E49</f>
        <v>0</v>
      </c>
      <c r="F38" s="171">
        <f ca="1">'00 Panel del Analista'!F49</f>
        <v>0</v>
      </c>
    </row>
    <row r="39" spans="2:6" x14ac:dyDescent="0.3">
      <c r="B39" t="s">
        <v>125</v>
      </c>
      <c r="C39" t="s">
        <v>126</v>
      </c>
      <c r="D39" s="31">
        <f ca="1">'00 Panel del Analista'!D50</f>
        <v>0</v>
      </c>
      <c r="E39" s="31">
        <f ca="1">'00 Panel del Analista'!E50</f>
        <v>0</v>
      </c>
      <c r="F39" s="31">
        <f ca="1">'00 Panel del Analista'!F50</f>
        <v>0</v>
      </c>
    </row>
    <row r="40" spans="2:6" x14ac:dyDescent="0.3">
      <c r="B40" t="s">
        <v>127</v>
      </c>
      <c r="C40" t="s">
        <v>126</v>
      </c>
      <c r="D40" s="31">
        <f ca="1">'00 Panel del Analista'!D51</f>
        <v>0</v>
      </c>
      <c r="E40" s="31">
        <f ca="1">'00 Panel del Analista'!E51</f>
        <v>0</v>
      </c>
      <c r="F40" s="31">
        <f ca="1">'00 Panel del Analista'!F51</f>
        <v>0</v>
      </c>
    </row>
    <row r="41" spans="2:6" x14ac:dyDescent="0.3">
      <c r="D41" s="6"/>
      <c r="E41" s="6"/>
      <c r="F41" s="6"/>
    </row>
    <row r="42" spans="2:6" x14ac:dyDescent="0.3">
      <c r="B42" s="5" t="s">
        <v>128</v>
      </c>
      <c r="C42" s="5"/>
      <c r="D42" s="27"/>
      <c r="E42" s="27"/>
      <c r="F42" s="27"/>
    </row>
    <row r="43" spans="2:6" x14ac:dyDescent="0.3">
      <c r="B43" t="s">
        <v>129</v>
      </c>
      <c r="C43" t="s">
        <v>95</v>
      </c>
      <c r="D43" s="28"/>
      <c r="E43" s="28">
        <f ca="1">'00 Panel del Analista'!E54</f>
        <v>0</v>
      </c>
      <c r="F43" s="28">
        <f ca="1">'00 Panel del Analista'!F54</f>
        <v>0</v>
      </c>
    </row>
    <row r="44" spans="2:6" x14ac:dyDescent="0.3">
      <c r="B44" t="s">
        <v>130</v>
      </c>
      <c r="C44" t="s">
        <v>95</v>
      </c>
      <c r="D44" s="28"/>
      <c r="E44" s="28">
        <f ca="1">'00 Panel del Analista'!E55</f>
        <v>0</v>
      </c>
      <c r="F44" s="28">
        <f ca="1">'00 Panel del Analista'!F55</f>
        <v>0</v>
      </c>
    </row>
    <row r="45" spans="2:6" x14ac:dyDescent="0.3">
      <c r="B45" t="s">
        <v>131</v>
      </c>
      <c r="C45" t="s">
        <v>95</v>
      </c>
      <c r="D45" s="28"/>
      <c r="E45" s="28">
        <f ca="1">'00 Panel del Analista'!E56</f>
        <v>0</v>
      </c>
      <c r="F45" s="28">
        <f ca="1">'00 Panel del Analista'!F56</f>
        <v>0</v>
      </c>
    </row>
    <row r="46" spans="2:6" x14ac:dyDescent="0.3">
      <c r="B46" t="s">
        <v>132</v>
      </c>
      <c r="C46" t="s">
        <v>95</v>
      </c>
      <c r="D46" s="28"/>
      <c r="E46" s="28">
        <f ca="1">'00 Panel del Analista'!E57</f>
        <v>0</v>
      </c>
      <c r="F46" s="28">
        <f ca="1">'00 Panel del Analista'!F57</f>
        <v>0</v>
      </c>
    </row>
    <row r="47" spans="2:6" x14ac:dyDescent="0.3">
      <c r="B47" s="3" t="s">
        <v>133</v>
      </c>
      <c r="C47" s="3" t="s">
        <v>95</v>
      </c>
      <c r="D47" s="29"/>
      <c r="E47" s="29">
        <f>SUM(E43:E46)</f>
        <v>24579</v>
      </c>
      <c r="F47" s="29">
        <f>SUM(F43:F46)</f>
        <v>46567</v>
      </c>
    </row>
    <row r="48" spans="2:6" x14ac:dyDescent="0.3">
      <c r="B48" t="s">
        <v>134</v>
      </c>
      <c r="C48" t="s">
        <v>95</v>
      </c>
      <c r="D48" s="28"/>
      <c r="E48" s="28">
        <f ca="1">'00 Panel del Analista'!E59</f>
        <v>0</v>
      </c>
      <c r="F48" s="28">
        <f ca="1">'00 Panel del Analista'!F59</f>
        <v>0</v>
      </c>
    </row>
    <row r="49" spans="2:6" x14ac:dyDescent="0.3">
      <c r="B49" t="s">
        <v>135</v>
      </c>
      <c r="C49" t="s">
        <v>95</v>
      </c>
      <c r="D49" s="28"/>
      <c r="E49" s="28">
        <f ca="1">'00 Panel del Analista'!E60</f>
        <v>0</v>
      </c>
      <c r="F49" s="28">
        <f ca="1">'00 Panel del Analista'!F60</f>
        <v>0</v>
      </c>
    </row>
    <row r="50" spans="2:6" x14ac:dyDescent="0.3">
      <c r="B50" t="s">
        <v>136</v>
      </c>
      <c r="C50" t="s">
        <v>95</v>
      </c>
      <c r="D50" s="28"/>
      <c r="E50" s="28">
        <f ca="1">'00 Panel del Analista'!E61</f>
        <v>0</v>
      </c>
      <c r="F50" s="28">
        <f ca="1">'00 Panel del Analista'!F61</f>
        <v>0</v>
      </c>
    </row>
    <row r="51" spans="2:6" x14ac:dyDescent="0.3">
      <c r="B51" t="s">
        <v>137</v>
      </c>
      <c r="C51" t="s">
        <v>95</v>
      </c>
      <c r="D51" s="28"/>
      <c r="E51" s="28">
        <f ca="1">'00 Panel del Analista'!E62</f>
        <v>0</v>
      </c>
      <c r="F51" s="28">
        <f ca="1">'00 Panel del Analista'!F62</f>
        <v>0</v>
      </c>
    </row>
    <row r="52" spans="2:6" x14ac:dyDescent="0.3">
      <c r="B52" t="s">
        <v>138</v>
      </c>
      <c r="C52" t="s">
        <v>95</v>
      </c>
      <c r="D52" s="28"/>
      <c r="E52" s="28">
        <f ca="1">'00 Panel del Analista'!E63</f>
        <v>0</v>
      </c>
      <c r="F52" s="28">
        <f ca="1">'00 Panel del Analista'!F63</f>
        <v>0</v>
      </c>
    </row>
    <row r="53" spans="2:6" x14ac:dyDescent="0.3">
      <c r="B53" s="3" t="s">
        <v>139</v>
      </c>
      <c r="C53" s="3" t="s">
        <v>95</v>
      </c>
      <c r="D53" s="29"/>
      <c r="E53" s="29">
        <f>SUM(E48:E52)</f>
        <v>143782</v>
      </c>
      <c r="F53" s="29">
        <f>SUM(F48:F52)</f>
        <v>215192</v>
      </c>
    </row>
    <row r="54" spans="2:6" x14ac:dyDescent="0.3">
      <c r="B54" s="3" t="s">
        <v>140</v>
      </c>
      <c r="C54" s="3" t="s">
        <v>95</v>
      </c>
      <c r="D54" s="29"/>
      <c r="E54" s="29">
        <f>E47+E53</f>
        <v>168361</v>
      </c>
      <c r="F54" s="29">
        <f>F47+F53</f>
        <v>261759</v>
      </c>
    </row>
    <row r="55" spans="2:6" x14ac:dyDescent="0.3">
      <c r="D55" s="6"/>
      <c r="E55" s="6"/>
      <c r="F55" s="6"/>
    </row>
    <row r="56" spans="2:6" x14ac:dyDescent="0.3">
      <c r="B56" t="s">
        <v>141</v>
      </c>
      <c r="C56" t="s">
        <v>95</v>
      </c>
      <c r="D56" s="28"/>
      <c r="E56" s="28">
        <f ca="1">'00 Panel del Analista'!E67</f>
        <v>0</v>
      </c>
      <c r="F56" s="28">
        <f ca="1">'00 Panel del Analista'!F67</f>
        <v>0</v>
      </c>
    </row>
    <row r="57" spans="2:6" x14ac:dyDescent="0.3">
      <c r="B57" t="s">
        <v>142</v>
      </c>
      <c r="C57" t="s">
        <v>95</v>
      </c>
      <c r="D57" s="28"/>
      <c r="E57" s="28">
        <f ca="1">'00 Panel del Analista'!E68</f>
        <v>0</v>
      </c>
      <c r="F57" s="28">
        <f ca="1">'00 Panel del Analista'!F68</f>
        <v>0</v>
      </c>
    </row>
    <row r="58" spans="2:6" x14ac:dyDescent="0.3">
      <c r="B58" t="s">
        <v>143</v>
      </c>
      <c r="C58" t="s">
        <v>95</v>
      </c>
      <c r="D58" s="28"/>
      <c r="E58" s="28">
        <f ca="1">'00 Panel del Analista'!E69</f>
        <v>0</v>
      </c>
      <c r="F58" s="28">
        <f ca="1">'00 Panel del Analista'!F69</f>
        <v>0</v>
      </c>
    </row>
    <row r="59" spans="2:6" x14ac:dyDescent="0.3">
      <c r="B59" t="s">
        <v>144</v>
      </c>
      <c r="C59" t="s">
        <v>95</v>
      </c>
      <c r="D59" s="28"/>
      <c r="E59" s="28">
        <f ca="1">'00 Panel del Analista'!E70</f>
        <v>0</v>
      </c>
      <c r="F59" s="28">
        <f ca="1">'00 Panel del Analista'!F70</f>
        <v>0</v>
      </c>
    </row>
    <row r="60" spans="2:6" x14ac:dyDescent="0.3">
      <c r="B60" t="s">
        <v>145</v>
      </c>
      <c r="C60" t="s">
        <v>95</v>
      </c>
      <c r="D60" s="28"/>
      <c r="E60" s="28">
        <f ca="1">'00 Panel del Analista'!E71</f>
        <v>0</v>
      </c>
      <c r="F60" s="28">
        <f ca="1">'00 Panel del Analista'!F71</f>
        <v>0</v>
      </c>
    </row>
    <row r="61" spans="2:6" x14ac:dyDescent="0.3">
      <c r="B61" s="3" t="s">
        <v>146</v>
      </c>
      <c r="C61" s="3" t="s">
        <v>95</v>
      </c>
      <c r="D61" s="29"/>
      <c r="E61" s="29">
        <f>SUM(E56:E60)</f>
        <v>32643</v>
      </c>
      <c r="F61" s="29">
        <f>SUM(F56:F60)</f>
        <v>41764</v>
      </c>
    </row>
    <row r="62" spans="2:6" x14ac:dyDescent="0.3">
      <c r="B62" t="s">
        <v>147</v>
      </c>
      <c r="C62" t="s">
        <v>95</v>
      </c>
      <c r="D62" s="28"/>
      <c r="E62" s="28">
        <f ca="1">'00 Panel del Analista'!E73</f>
        <v>0</v>
      </c>
      <c r="F62" s="28">
        <f ca="1">'00 Panel del Analista'!F73</f>
        <v>0</v>
      </c>
    </row>
    <row r="63" spans="2:6" x14ac:dyDescent="0.3">
      <c r="B63" t="s">
        <v>148</v>
      </c>
      <c r="C63" t="s">
        <v>95</v>
      </c>
      <c r="D63" s="28"/>
      <c r="E63" s="28">
        <f ca="1">'00 Panel del Analista'!E74</f>
        <v>0</v>
      </c>
      <c r="F63" s="28">
        <f ca="1">'00 Panel del Analista'!F74</f>
        <v>0</v>
      </c>
    </row>
    <row r="64" spans="2:6" x14ac:dyDescent="0.3">
      <c r="B64" t="s">
        <v>149</v>
      </c>
      <c r="C64" t="s">
        <v>95</v>
      </c>
      <c r="D64" s="28"/>
      <c r="E64" s="28">
        <f ca="1">'00 Panel del Analista'!E75</f>
        <v>0</v>
      </c>
      <c r="F64" s="28">
        <f ca="1">'00 Panel del Analista'!F75</f>
        <v>0</v>
      </c>
    </row>
    <row r="65" spans="2:6" x14ac:dyDescent="0.3">
      <c r="B65" t="s">
        <v>150</v>
      </c>
      <c r="C65" t="s">
        <v>95</v>
      </c>
      <c r="D65" s="28"/>
      <c r="E65" s="28">
        <f ca="1">'00 Panel del Analista'!E76</f>
        <v>0</v>
      </c>
      <c r="F65" s="28">
        <f ca="1">'00 Panel del Analista'!F76</f>
        <v>0</v>
      </c>
    </row>
    <row r="66" spans="2:6" x14ac:dyDescent="0.3">
      <c r="B66" s="3" t="s">
        <v>151</v>
      </c>
      <c r="C66" s="3" t="s">
        <v>95</v>
      </c>
      <c r="D66" s="29"/>
      <c r="E66" s="29">
        <f>SUM(E62:E65)</f>
        <v>114749</v>
      </c>
      <c r="F66" s="29">
        <f>SUM(F62:F65)</f>
        <v>176939</v>
      </c>
    </row>
    <row r="67" spans="2:6" x14ac:dyDescent="0.3">
      <c r="B67" t="s">
        <v>152</v>
      </c>
      <c r="C67" t="s">
        <v>95</v>
      </c>
      <c r="D67" s="28"/>
      <c r="E67" s="28">
        <f ca="1">'00 Panel del Analista'!E78</f>
        <v>0</v>
      </c>
      <c r="F67" s="28">
        <f ca="1">'00 Panel del Analista'!F78</f>
        <v>0</v>
      </c>
    </row>
    <row r="68" spans="2:6" x14ac:dyDescent="0.3">
      <c r="B68" t="s">
        <v>153</v>
      </c>
      <c r="C68" t="s">
        <v>95</v>
      </c>
      <c r="D68" s="28"/>
      <c r="E68" s="28">
        <f ca="1">'00 Panel del Analista'!E79</f>
        <v>0</v>
      </c>
      <c r="F68" s="28">
        <f ca="1">'00 Panel del Analista'!F79</f>
        <v>0</v>
      </c>
    </row>
    <row r="69" spans="2:6" x14ac:dyDescent="0.3">
      <c r="B69" t="s">
        <v>154</v>
      </c>
      <c r="C69" t="s">
        <v>95</v>
      </c>
      <c r="D69" s="28"/>
      <c r="E69" s="28">
        <f ca="1">'00 Panel del Analista'!E80</f>
        <v>0</v>
      </c>
      <c r="F69" s="28">
        <f ca="1">'00 Panel del Analista'!F80</f>
        <v>0</v>
      </c>
    </row>
    <row r="70" spans="2:6" x14ac:dyDescent="0.3">
      <c r="B70" t="s">
        <v>155</v>
      </c>
      <c r="C70" t="s">
        <v>95</v>
      </c>
      <c r="D70" s="28"/>
      <c r="E70" s="28">
        <f ca="1">'00 Panel del Analista'!E81</f>
        <v>0</v>
      </c>
      <c r="F70" s="28">
        <f ca="1">'00 Panel del Analista'!F81</f>
        <v>0</v>
      </c>
    </row>
    <row r="71" spans="2:6" x14ac:dyDescent="0.3">
      <c r="B71" s="3" t="s">
        <v>156</v>
      </c>
      <c r="C71" s="3" t="s">
        <v>95</v>
      </c>
      <c r="D71" s="29"/>
      <c r="E71" s="29">
        <f>SUM(E67:E70)</f>
        <v>20451</v>
      </c>
      <c r="F71" s="29">
        <f>SUM(F67:F70)</f>
        <v>42508</v>
      </c>
    </row>
    <row r="72" spans="2:6" x14ac:dyDescent="0.3">
      <c r="B72" t="s">
        <v>157</v>
      </c>
      <c r="C72" t="s">
        <v>95</v>
      </c>
      <c r="D72" s="28"/>
      <c r="E72" s="28">
        <f ca="1">'00 Panel del Analista'!E83</f>
        <v>0</v>
      </c>
      <c r="F72" s="28">
        <f ca="1">'00 Panel del Analista'!F83</f>
        <v>0</v>
      </c>
    </row>
    <row r="73" spans="2:6" x14ac:dyDescent="0.3">
      <c r="B73" s="3" t="s">
        <v>158</v>
      </c>
      <c r="C73" s="3" t="s">
        <v>95</v>
      </c>
      <c r="D73" s="29"/>
      <c r="E73" s="29">
        <f>E71+E72</f>
        <v>20969</v>
      </c>
      <c r="F73" s="29">
        <f>F71+F72</f>
        <v>43056</v>
      </c>
    </row>
    <row r="74" spans="2:6" x14ac:dyDescent="0.3">
      <c r="B74" s="3" t="s">
        <v>159</v>
      </c>
      <c r="C74" s="3" t="s">
        <v>95</v>
      </c>
      <c r="D74" s="29"/>
      <c r="E74" s="29">
        <f>E61+E66+E73</f>
        <v>168361</v>
      </c>
      <c r="F74" s="29">
        <f>F61+F66+F73</f>
        <v>261759</v>
      </c>
    </row>
    <row r="75" spans="2:6" x14ac:dyDescent="0.3">
      <c r="B75" s="24" t="s">
        <v>160</v>
      </c>
      <c r="C75" s="24" t="s">
        <v>95</v>
      </c>
      <c r="D75" s="32"/>
      <c r="E75" s="32">
        <f>E54-E74</f>
        <v>0</v>
      </c>
      <c r="F75" s="32">
        <f>F54-F74</f>
        <v>0</v>
      </c>
    </row>
    <row r="76" spans="2:6" x14ac:dyDescent="0.3">
      <c r="D76" s="6"/>
      <c r="E76" s="6"/>
      <c r="F76" s="6"/>
    </row>
    <row r="77" spans="2:6" x14ac:dyDescent="0.3">
      <c r="B77" s="5" t="s">
        <v>161</v>
      </c>
      <c r="C77" s="5"/>
      <c r="D77" s="27"/>
      <c r="E77" s="27"/>
      <c r="F77" s="27"/>
    </row>
    <row r="78" spans="2:6" x14ac:dyDescent="0.3">
      <c r="B78" t="s">
        <v>162</v>
      </c>
      <c r="C78" t="s">
        <v>95</v>
      </c>
      <c r="D78" s="28">
        <f>D34</f>
        <v>10467</v>
      </c>
      <c r="E78" s="28">
        <f>E34</f>
        <v>12443</v>
      </c>
      <c r="F78" s="28">
        <f>F34</f>
        <v>17087</v>
      </c>
    </row>
    <row r="79" spans="2:6" x14ac:dyDescent="0.3">
      <c r="B79" t="s">
        <v>163</v>
      </c>
      <c r="C79" t="s">
        <v>95</v>
      </c>
      <c r="D79" s="28">
        <f ca="1">'00 Panel del Analista'!D90</f>
        <v>0</v>
      </c>
      <c r="E79" s="28">
        <f ca="1">'00 Panel del Analista'!E90</f>
        <v>0</v>
      </c>
      <c r="F79" s="28">
        <f ca="1">'00 Panel del Analista'!F90</f>
        <v>0</v>
      </c>
    </row>
    <row r="80" spans="2:6" x14ac:dyDescent="0.3">
      <c r="B80" t="s">
        <v>109</v>
      </c>
      <c r="C80" t="s">
        <v>95</v>
      </c>
      <c r="D80" s="28">
        <f>D23</f>
        <v>3010</v>
      </c>
      <c r="E80" s="28">
        <f>E23</f>
        <v>2307</v>
      </c>
      <c r="F80" s="28">
        <f>F23</f>
        <v>1671</v>
      </c>
    </row>
    <row r="81" spans="2:6" x14ac:dyDescent="0.3">
      <c r="B81" t="s">
        <v>164</v>
      </c>
      <c r="C81" t="s">
        <v>95</v>
      </c>
      <c r="D81" s="28">
        <f ca="1">'00 Panel del Analista'!D92</f>
        <v>0</v>
      </c>
      <c r="E81" s="28">
        <f ca="1">'00 Panel del Analista'!E92</f>
        <v>0</v>
      </c>
      <c r="F81" s="28">
        <f ca="1">'00 Panel del Analista'!F92</f>
        <v>0</v>
      </c>
    </row>
    <row r="82" spans="2:6" x14ac:dyDescent="0.3">
      <c r="B82" t="s">
        <v>165</v>
      </c>
      <c r="C82" t="s">
        <v>95</v>
      </c>
      <c r="D82" s="28">
        <f ca="1">'00 Panel del Analista'!D93</f>
        <v>0</v>
      </c>
      <c r="E82" s="28">
        <f ca="1">'00 Panel del Analista'!E93</f>
        <v>0</v>
      </c>
      <c r="F82" s="28">
        <f ca="1">'00 Panel del Analista'!F93</f>
        <v>0</v>
      </c>
    </row>
    <row r="83" spans="2:6" x14ac:dyDescent="0.3">
      <c r="B83" t="s">
        <v>166</v>
      </c>
      <c r="C83" t="s">
        <v>95</v>
      </c>
      <c r="D83" s="28">
        <f ca="1">'00 Panel del Analista'!D94</f>
        <v>0</v>
      </c>
      <c r="E83" s="28">
        <f ca="1">'00 Panel del Analista'!E94</f>
        <v>0</v>
      </c>
      <c r="F83" s="28">
        <f ca="1">'00 Panel del Analista'!F94</f>
        <v>0</v>
      </c>
    </row>
    <row r="84" spans="2:6" x14ac:dyDescent="0.3">
      <c r="B84" t="s">
        <v>167</v>
      </c>
      <c r="C84" t="s">
        <v>95</v>
      </c>
      <c r="D84" s="28">
        <f>D85-SUM(D78:D83)</f>
        <v>952</v>
      </c>
      <c r="E84" s="28">
        <f>E85-SUM(E78:E83)</f>
        <v>-166</v>
      </c>
      <c r="F84" s="28">
        <f>F85-SUM(F78:F83)</f>
        <v>-731</v>
      </c>
    </row>
    <row r="85" spans="2:6" x14ac:dyDescent="0.3">
      <c r="B85" s="3" t="s">
        <v>168</v>
      </c>
      <c r="C85" s="3" t="s">
        <v>95</v>
      </c>
      <c r="D85" s="29">
        <f ca="1">'00 Panel del Analista'!D96</f>
        <v>0</v>
      </c>
      <c r="E85" s="29">
        <f ca="1">'00 Panel del Analista'!E96</f>
        <v>0</v>
      </c>
      <c r="F85" s="29">
        <f ca="1">'00 Panel del Analista'!F96</f>
        <v>0</v>
      </c>
    </row>
    <row r="86" spans="2:6" x14ac:dyDescent="0.3">
      <c r="D86" s="6"/>
      <c r="E86" s="6"/>
      <c r="F86" s="6"/>
    </row>
    <row r="87" spans="2:6" x14ac:dyDescent="0.3">
      <c r="B87" t="s">
        <v>169</v>
      </c>
      <c r="C87" t="s">
        <v>95</v>
      </c>
      <c r="D87" s="28">
        <f ca="1">'00 Panel del Analista'!D98</f>
        <v>0</v>
      </c>
      <c r="E87" s="28">
        <f ca="1">'00 Panel del Analista'!E98</f>
        <v>0</v>
      </c>
      <c r="F87" s="28">
        <f ca="1">'00 Panel del Analista'!F98</f>
        <v>0</v>
      </c>
    </row>
    <row r="88" spans="2:6" x14ac:dyDescent="0.3">
      <c r="B88" t="s">
        <v>170</v>
      </c>
      <c r="C88" t="s">
        <v>95</v>
      </c>
      <c r="D88" s="28">
        <f ca="1">'00 Panel del Analista'!D99</f>
        <v>0</v>
      </c>
      <c r="E88" s="28">
        <f ca="1">'00 Panel del Analista'!E99</f>
        <v>0</v>
      </c>
      <c r="F88" s="28">
        <f ca="1">'00 Panel del Analista'!F99</f>
        <v>0</v>
      </c>
    </row>
    <row r="89" spans="2:6" x14ac:dyDescent="0.3">
      <c r="B89" t="s">
        <v>171</v>
      </c>
      <c r="C89" t="s">
        <v>95</v>
      </c>
      <c r="D89" s="28">
        <f ca="1">'00 Panel del Analista'!D100</f>
        <v>0</v>
      </c>
      <c r="E89" s="28">
        <f ca="1">'00 Panel del Analista'!E100</f>
        <v>0</v>
      </c>
      <c r="F89" s="28">
        <f ca="1">'00 Panel del Analista'!F100</f>
        <v>0</v>
      </c>
    </row>
    <row r="90" spans="2:6" x14ac:dyDescent="0.3">
      <c r="B90" t="s">
        <v>172</v>
      </c>
      <c r="C90" t="s">
        <v>95</v>
      </c>
      <c r="D90" s="28">
        <f>D91-SUM(D87:D89)</f>
        <v>0</v>
      </c>
      <c r="E90" s="28">
        <f>E91-SUM(E87:E89)</f>
        <v>0</v>
      </c>
      <c r="F90" s="28">
        <f>F91-SUM(F87:F89)</f>
        <v>0</v>
      </c>
    </row>
    <row r="91" spans="2:6" x14ac:dyDescent="0.3">
      <c r="B91" s="3" t="s">
        <v>173</v>
      </c>
      <c r="C91" s="3" t="s">
        <v>95</v>
      </c>
      <c r="D91" s="29">
        <f ca="1">'00 Panel del Analista'!D102</f>
        <v>0</v>
      </c>
      <c r="E91" s="29">
        <f ca="1">'00 Panel del Analista'!E102</f>
        <v>0</v>
      </c>
      <c r="F91" s="29">
        <f ca="1">'00 Panel del Analista'!F102</f>
        <v>0</v>
      </c>
    </row>
    <row r="92" spans="2:6" x14ac:dyDescent="0.3">
      <c r="D92" s="6"/>
      <c r="E92" s="6"/>
      <c r="F92" s="6"/>
    </row>
    <row r="93" spans="2:6" x14ac:dyDescent="0.3">
      <c r="B93" t="s">
        <v>174</v>
      </c>
      <c r="C93" t="s">
        <v>95</v>
      </c>
      <c r="D93" s="28">
        <f ca="1">'00 Panel del Analista'!D104</f>
        <v>0</v>
      </c>
      <c r="E93" s="28">
        <f ca="1">'00 Panel del Analista'!E104</f>
        <v>0</v>
      </c>
      <c r="F93" s="28">
        <f ca="1">'00 Panel del Analista'!F104</f>
        <v>0</v>
      </c>
    </row>
    <row r="94" spans="2:6" x14ac:dyDescent="0.3">
      <c r="B94" t="s">
        <v>175</v>
      </c>
      <c r="C94" t="s">
        <v>95</v>
      </c>
      <c r="D94" s="28">
        <f ca="1">'00 Panel del Analista'!D105</f>
        <v>0</v>
      </c>
      <c r="E94" s="28">
        <f ca="1">'00 Panel del Analista'!E105</f>
        <v>0</v>
      </c>
      <c r="F94" s="28">
        <f ca="1">'00 Panel del Analista'!F105</f>
        <v>0</v>
      </c>
    </row>
    <row r="95" spans="2:6" x14ac:dyDescent="0.3">
      <c r="B95" t="s">
        <v>176</v>
      </c>
      <c r="C95" t="s">
        <v>95</v>
      </c>
      <c r="D95" s="28">
        <f ca="1">'00 Panel del Analista'!D106</f>
        <v>0</v>
      </c>
      <c r="E95" s="28">
        <f ca="1">'00 Panel del Analista'!E106</f>
        <v>0</v>
      </c>
      <c r="F95" s="28">
        <f ca="1">'00 Panel del Analista'!F106</f>
        <v>0</v>
      </c>
    </row>
    <row r="96" spans="2:6" x14ac:dyDescent="0.3">
      <c r="B96" t="s">
        <v>177</v>
      </c>
      <c r="C96" t="s">
        <v>95</v>
      </c>
      <c r="D96" s="28">
        <f ca="1">'00 Panel del Analista'!D107</f>
        <v>0</v>
      </c>
      <c r="E96" s="28">
        <f ca="1">'00 Panel del Analista'!E107</f>
        <v>0</v>
      </c>
      <c r="F96" s="28">
        <f ca="1">'00 Panel del Analista'!F107</f>
        <v>0</v>
      </c>
    </row>
    <row r="97" spans="2:6" x14ac:dyDescent="0.3">
      <c r="B97" t="s">
        <v>178</v>
      </c>
      <c r="C97" t="s">
        <v>95</v>
      </c>
      <c r="D97" s="28">
        <f ca="1">'00 Panel del Analista'!D108</f>
        <v>0</v>
      </c>
      <c r="E97" s="28">
        <f ca="1">'00 Panel del Analista'!E108</f>
        <v>0</v>
      </c>
      <c r="F97" s="28">
        <f ca="1">'00 Panel del Analista'!F108</f>
        <v>0</v>
      </c>
    </row>
    <row r="98" spans="2:6" x14ac:dyDescent="0.3">
      <c r="B98" t="s">
        <v>179</v>
      </c>
      <c r="C98" t="s">
        <v>95</v>
      </c>
      <c r="D98" s="28">
        <f ca="1">'00 Panel del Analista'!D109</f>
        <v>0</v>
      </c>
      <c r="E98" s="28">
        <f ca="1">'00 Panel del Analista'!E109</f>
        <v>0</v>
      </c>
      <c r="F98" s="28">
        <f ca="1">'00 Panel del Analista'!F109</f>
        <v>0</v>
      </c>
    </row>
    <row r="99" spans="2:6" x14ac:dyDescent="0.3">
      <c r="B99" t="s">
        <v>180</v>
      </c>
      <c r="C99" t="s">
        <v>95</v>
      </c>
      <c r="D99" s="28">
        <f ca="1">'00 Panel del Analista'!D110</f>
        <v>0</v>
      </c>
      <c r="E99" s="28">
        <f ca="1">'00 Panel del Analista'!E110</f>
        <v>0</v>
      </c>
      <c r="F99" s="28">
        <f ca="1">'00 Panel del Analista'!F110</f>
        <v>0</v>
      </c>
    </row>
    <row r="100" spans="2:6" x14ac:dyDescent="0.3">
      <c r="B100" t="s">
        <v>181</v>
      </c>
      <c r="C100" t="s">
        <v>95</v>
      </c>
      <c r="D100" s="28">
        <f ca="1">'00 Panel del Analista'!D111</f>
        <v>0</v>
      </c>
      <c r="E100" s="28">
        <f ca="1">'00 Panel del Analista'!E111</f>
        <v>0</v>
      </c>
      <c r="F100" s="28">
        <f ca="1">'00 Panel del Analista'!F111</f>
        <v>0</v>
      </c>
    </row>
    <row r="101" spans="2:6" x14ac:dyDescent="0.3">
      <c r="B101" t="s">
        <v>182</v>
      </c>
      <c r="C101" t="s">
        <v>95</v>
      </c>
      <c r="D101" s="28">
        <f ca="1">'00 Panel del Analista'!D112</f>
        <v>0</v>
      </c>
      <c r="E101" s="28">
        <f ca="1">'00 Panel del Analista'!E112</f>
        <v>0</v>
      </c>
      <c r="F101" s="28">
        <f ca="1">'00 Panel del Analista'!F112</f>
        <v>0</v>
      </c>
    </row>
    <row r="102" spans="2:6" x14ac:dyDescent="0.3">
      <c r="B102" t="s">
        <v>183</v>
      </c>
      <c r="C102" t="s">
        <v>95</v>
      </c>
      <c r="D102" s="28">
        <f ca="1">'00 Panel del Analista'!D113</f>
        <v>0</v>
      </c>
      <c r="E102" s="28">
        <f ca="1">'00 Panel del Analista'!E113</f>
        <v>0</v>
      </c>
      <c r="F102" s="28">
        <f ca="1">'00 Panel del Analista'!F113</f>
        <v>0</v>
      </c>
    </row>
    <row r="103" spans="2:6" x14ac:dyDescent="0.3">
      <c r="B103" s="3" t="s">
        <v>184</v>
      </c>
      <c r="C103" s="3" t="s">
        <v>95</v>
      </c>
      <c r="D103" s="29">
        <f>SUM(D93:D102)</f>
        <v>-10554</v>
      </c>
      <c r="E103" s="29">
        <f>SUM(E93:E102)</f>
        <v>1098</v>
      </c>
      <c r="F103" s="29">
        <f>SUM(F93:F102)</f>
        <v>40284</v>
      </c>
    </row>
    <row r="104" spans="2:6" x14ac:dyDescent="0.3">
      <c r="B104" t="s">
        <v>185</v>
      </c>
      <c r="C104" t="s">
        <v>95</v>
      </c>
      <c r="D104" s="28"/>
      <c r="E104" s="28">
        <f ca="1">'00 Panel del Analista'!E115</f>
        <v>0</v>
      </c>
      <c r="F104" s="28">
        <f ca="1">'00 Panel del Analista'!F115</f>
        <v>0</v>
      </c>
    </row>
    <row r="105" spans="2:6" x14ac:dyDescent="0.3">
      <c r="B105" s="24" t="s">
        <v>186</v>
      </c>
      <c r="C105" s="24" t="s">
        <v>95</v>
      </c>
      <c r="D105" s="32"/>
      <c r="E105" s="32">
        <f>E103-E104</f>
        <v>0</v>
      </c>
      <c r="F105" s="32">
        <f>F103-F104</f>
        <v>0</v>
      </c>
    </row>
    <row r="106" spans="2:6" x14ac:dyDescent="0.3">
      <c r="B106" s="3" t="s">
        <v>187</v>
      </c>
      <c r="C106" s="3" t="s">
        <v>95</v>
      </c>
      <c r="D106" s="29">
        <f>D85+D91+D103</f>
        <v>759</v>
      </c>
      <c r="E106" s="29">
        <f>E85+E91+E103</f>
        <v>208</v>
      </c>
      <c r="F106" s="29">
        <f>F85+F91+F103</f>
        <v>20407</v>
      </c>
    </row>
    <row r="107" spans="2:6" x14ac:dyDescent="0.3">
      <c r="B107" t="s">
        <v>188</v>
      </c>
      <c r="C107" t="s">
        <v>95</v>
      </c>
      <c r="D107" s="28"/>
      <c r="E107" s="28"/>
      <c r="F107" s="28">
        <f>F43-E43-F106</f>
        <v>96</v>
      </c>
    </row>
    <row r="108" spans="2:6" x14ac:dyDescent="0.3">
      <c r="D108" s="6"/>
      <c r="E108" s="6"/>
      <c r="F108" s="6"/>
    </row>
    <row r="109" spans="2:6" x14ac:dyDescent="0.3">
      <c r="B109" s="5" t="s">
        <v>189</v>
      </c>
      <c r="C109" s="5"/>
      <c r="D109" s="27"/>
      <c r="E109" s="27"/>
      <c r="F109" s="27"/>
    </row>
    <row r="110" spans="2:6" x14ac:dyDescent="0.3">
      <c r="B110" t="s">
        <v>190</v>
      </c>
      <c r="C110" t="s">
        <v>95</v>
      </c>
      <c r="D110" s="28"/>
      <c r="E110" s="28">
        <f ca="1">'00 Panel del Analista'!E121</f>
        <v>0</v>
      </c>
      <c r="F110" s="28">
        <f ca="1">'00 Panel del Analista'!F121</f>
        <v>0</v>
      </c>
    </row>
    <row r="111" spans="2:6" x14ac:dyDescent="0.3">
      <c r="B111" s="22" t="s">
        <v>191</v>
      </c>
      <c r="C111" s="22" t="s">
        <v>95</v>
      </c>
      <c r="D111" s="33"/>
      <c r="E111" s="33">
        <f>E110-E56-E62</f>
        <v>0</v>
      </c>
      <c r="F111" s="33">
        <f>F110-F56-F62</f>
        <v>0</v>
      </c>
    </row>
    <row r="112" spans="2:6" x14ac:dyDescent="0.3">
      <c r="B112" t="s">
        <v>192</v>
      </c>
      <c r="C112" t="s">
        <v>95</v>
      </c>
      <c r="D112" s="28"/>
      <c r="E112" s="28">
        <f ca="1">'00 Panel del Analista'!E123</f>
        <v>0</v>
      </c>
      <c r="F112" s="28">
        <f ca="1">'00 Panel del Analista'!F123</f>
        <v>0</v>
      </c>
    </row>
    <row r="113" spans="2:6" x14ac:dyDescent="0.3">
      <c r="B113" t="s">
        <v>193</v>
      </c>
      <c r="C113" t="s">
        <v>95</v>
      </c>
      <c r="D113" s="28"/>
      <c r="E113" s="28">
        <f ca="1">'00 Panel del Analista'!E124</f>
        <v>0</v>
      </c>
      <c r="F113" s="28">
        <f ca="1">'00 Panel del Analista'!F124</f>
        <v>0</v>
      </c>
    </row>
    <row r="114" spans="2:6" x14ac:dyDescent="0.3">
      <c r="B114" t="s">
        <v>194</v>
      </c>
      <c r="C114" t="s">
        <v>42</v>
      </c>
      <c r="D114" s="30"/>
      <c r="E114" s="30">
        <f ca="1">'00 Panel del Analista'!E125</f>
        <v>0</v>
      </c>
      <c r="F114" s="30">
        <f ca="1">'00 Panel del Analista'!F125</f>
        <v>0</v>
      </c>
    </row>
    <row r="115" spans="2:6" x14ac:dyDescent="0.3">
      <c r="B115" t="s">
        <v>195</v>
      </c>
      <c r="C115" t="s">
        <v>95</v>
      </c>
      <c r="D115" s="28">
        <f ca="1">'00 Panel del Analista'!D126</f>
        <v>0</v>
      </c>
      <c r="E115" s="28">
        <f ca="1">'00 Panel del Analista'!E126</f>
        <v>0</v>
      </c>
      <c r="F115" s="28">
        <f ca="1">'00 Panel del Analista'!F126</f>
        <v>0</v>
      </c>
    </row>
    <row r="116" spans="2:6" x14ac:dyDescent="0.3">
      <c r="B116" t="s">
        <v>196</v>
      </c>
      <c r="C116" t="s">
        <v>95</v>
      </c>
      <c r="D116" s="28">
        <f ca="1">'00 Panel del Analista'!D127</f>
        <v>0</v>
      </c>
      <c r="E116" s="28">
        <f ca="1">'00 Panel del Analista'!E127</f>
        <v>0</v>
      </c>
      <c r="F116" s="28">
        <f ca="1">'00 Panel del Analista'!F127</f>
        <v>0</v>
      </c>
    </row>
    <row r="117" spans="2:6" x14ac:dyDescent="0.3">
      <c r="B117" t="s">
        <v>197</v>
      </c>
      <c r="C117" t="s">
        <v>95</v>
      </c>
      <c r="D117" s="28"/>
      <c r="E117" s="28">
        <f ca="1">'00 Panel del Analista'!E128</f>
        <v>0</v>
      </c>
      <c r="F117" s="28">
        <f ca="1">'00 Panel del Analista'!F128</f>
        <v>0</v>
      </c>
    </row>
    <row r="118" spans="2:6" x14ac:dyDescent="0.3">
      <c r="B118" t="s">
        <v>198</v>
      </c>
      <c r="C118" t="s">
        <v>126</v>
      </c>
      <c r="D118" s="31"/>
      <c r="E118" s="31">
        <f ca="1">'00 Panel del Analista'!E129</f>
        <v>0</v>
      </c>
      <c r="F118" s="31">
        <f ca="1">'00 Panel del Analista'!F129</f>
        <v>0</v>
      </c>
    </row>
    <row r="119" spans="2:6" x14ac:dyDescent="0.3">
      <c r="B119" s="6" t="s">
        <v>403</v>
      </c>
      <c r="C119" s="6" t="s">
        <v>95</v>
      </c>
      <c r="D119" s="6"/>
      <c r="E119" s="28">
        <f ca="1">'00 Panel del Analista'!E130</f>
        <v>0</v>
      </c>
      <c r="F119" s="28">
        <f ca="1">'00 Panel del Analista'!F130</f>
        <v>0</v>
      </c>
    </row>
    <row r="120" spans="2:6" x14ac:dyDescent="0.3">
      <c r="B120" s="5" t="s">
        <v>199</v>
      </c>
      <c r="C120" s="5"/>
      <c r="D120" s="27"/>
      <c r="E120" s="27"/>
      <c r="F120" s="27"/>
    </row>
    <row r="121" spans="2:6" x14ac:dyDescent="0.3">
      <c r="B121" t="s">
        <v>200</v>
      </c>
      <c r="C121" t="s">
        <v>42</v>
      </c>
      <c r="D121" s="30"/>
      <c r="E121" s="30">
        <f>E11/D11-1</f>
        <v>8.3797511376295875E-2</v>
      </c>
      <c r="F121" s="30">
        <f>F11/E11-1</f>
        <v>0.1734873429850694</v>
      </c>
    </row>
    <row r="122" spans="2:6" x14ac:dyDescent="0.3">
      <c r="B122" t="s">
        <v>201</v>
      </c>
      <c r="C122" t="s">
        <v>42</v>
      </c>
      <c r="D122" s="30"/>
      <c r="E122" s="30">
        <f>E7/D7-1</f>
        <v>0.23930413674522111</v>
      </c>
      <c r="F122" s="30">
        <f>F7/E7-1</f>
        <v>0.38696645719415645</v>
      </c>
    </row>
    <row r="123" spans="2:6" x14ac:dyDescent="0.3">
      <c r="B123" t="s">
        <v>105</v>
      </c>
      <c r="C123" t="s">
        <v>42</v>
      </c>
      <c r="D123" s="30">
        <f>D18</f>
        <v>0.71407261947470779</v>
      </c>
      <c r="E123" s="30">
        <f>E18</f>
        <v>0.70509939197547</v>
      </c>
      <c r="F123" s="30">
        <f>F18</f>
        <v>0.65822408955268197</v>
      </c>
    </row>
    <row r="124" spans="2:6" x14ac:dyDescent="0.3">
      <c r="B124" t="s">
        <v>202</v>
      </c>
      <c r="C124" t="s">
        <v>95</v>
      </c>
      <c r="D124" s="28">
        <f>D79+D80</f>
        <v>6139</v>
      </c>
      <c r="E124" s="28">
        <f>E79+E80</f>
        <v>6174</v>
      </c>
      <c r="F124" s="28">
        <f>F79+F80</f>
        <v>9294</v>
      </c>
    </row>
    <row r="125" spans="2:6" x14ac:dyDescent="0.3">
      <c r="B125" t="s">
        <v>1653</v>
      </c>
      <c r="C125" t="s">
        <v>95</v>
      </c>
      <c r="D125" s="28">
        <f>D127+D124</f>
        <v>22210</v>
      </c>
      <c r="E125" s="28">
        <f>E127+E124</f>
        <v>24226</v>
      </c>
      <c r="F125" s="28">
        <f>F127+F124</f>
        <v>31738</v>
      </c>
    </row>
    <row r="126" spans="2:6" x14ac:dyDescent="0.3">
      <c r="B126" t="s">
        <v>1654</v>
      </c>
      <c r="C126" t="s">
        <v>42</v>
      </c>
      <c r="D126" s="30">
        <f>D125/D11</f>
        <v>0.41936519325541438</v>
      </c>
      <c r="E126" s="30">
        <f>E125/E11</f>
        <v>0.42206310214463666</v>
      </c>
      <c r="F126" s="30">
        <f>F125/F11</f>
        <v>0.47119081906854521</v>
      </c>
    </row>
    <row r="127" spans="2:6" x14ac:dyDescent="0.3">
      <c r="B127" t="s">
        <v>204</v>
      </c>
      <c r="C127" t="s">
        <v>95</v>
      </c>
      <c r="D127" s="28">
        <f>D26+D24</f>
        <v>16071</v>
      </c>
      <c r="E127" s="28">
        <f>E26+E24</f>
        <v>18052</v>
      </c>
      <c r="F127" s="28">
        <f>F26+F24</f>
        <v>22444</v>
      </c>
    </row>
    <row r="128" spans="2:6" x14ac:dyDescent="0.3">
      <c r="B128" t="s">
        <v>205</v>
      </c>
      <c r="C128" t="s">
        <v>42</v>
      </c>
      <c r="D128" s="30">
        <f>D127/D11</f>
        <v>0.30344970827590112</v>
      </c>
      <c r="E128" s="30">
        <f>E127/E11</f>
        <v>0.31450025261764142</v>
      </c>
      <c r="F128" s="30">
        <f>F127/F11</f>
        <v>0.33320961444244845</v>
      </c>
    </row>
    <row r="129" spans="2:6" x14ac:dyDescent="0.3">
      <c r="B129" t="s">
        <v>206</v>
      </c>
      <c r="C129" t="s">
        <v>95</v>
      </c>
      <c r="D129" s="28">
        <f>-D87</f>
        <v>6866</v>
      </c>
      <c r="E129" s="28">
        <f>-E87</f>
        <v>21215</v>
      </c>
      <c r="F129" s="28">
        <f>-F87</f>
        <v>55663</v>
      </c>
    </row>
    <row r="130" spans="2:6" x14ac:dyDescent="0.3">
      <c r="B130" t="s">
        <v>207</v>
      </c>
      <c r="C130" t="s">
        <v>42</v>
      </c>
      <c r="D130" s="30">
        <f>D129/D11</f>
        <v>0.12964256717207001</v>
      </c>
      <c r="E130" s="30">
        <f>E129/E11</f>
        <v>0.36960574226031812</v>
      </c>
      <c r="F130" s="30">
        <f>F129/F11</f>
        <v>0.8263877547990558</v>
      </c>
    </row>
    <row r="131" spans="2:6" x14ac:dyDescent="0.3">
      <c r="B131" t="s">
        <v>208</v>
      </c>
      <c r="C131" t="s">
        <v>209</v>
      </c>
      <c r="D131" s="34">
        <f>D129/D124</f>
        <v>1.1184231959602542</v>
      </c>
      <c r="E131" s="34">
        <f>E129/E124</f>
        <v>3.4361839974084871</v>
      </c>
      <c r="F131" s="34">
        <f>F129/F124</f>
        <v>5.9891327738325799</v>
      </c>
    </row>
    <row r="132" spans="2:6" x14ac:dyDescent="0.3">
      <c r="B132" t="s">
        <v>210</v>
      </c>
      <c r="C132" t="s">
        <v>95</v>
      </c>
      <c r="D132" s="28">
        <f>D85-D129</f>
        <v>11807</v>
      </c>
      <c r="E132" s="28">
        <f>E85-E129</f>
        <v>-394</v>
      </c>
      <c r="F132" s="28">
        <f>F85-F129</f>
        <v>-23686</v>
      </c>
    </row>
    <row r="133" spans="2:6" x14ac:dyDescent="0.3">
      <c r="B133" t="s">
        <v>211</v>
      </c>
      <c r="C133" t="s">
        <v>42</v>
      </c>
      <c r="D133" s="30">
        <f>D82/D11</f>
        <v>7.5036347500991293E-2</v>
      </c>
      <c r="E133" s="30">
        <f>E82/E11</f>
        <v>8.1429990069513403E-2</v>
      </c>
      <c r="F133" s="30">
        <f>F82/F11</f>
        <v>7.1425390085662954E-2</v>
      </c>
    </row>
    <row r="134" spans="2:6" x14ac:dyDescent="0.3">
      <c r="B134" t="s">
        <v>212</v>
      </c>
      <c r="C134" t="s">
        <v>213</v>
      </c>
      <c r="D134" s="35"/>
      <c r="E134" s="35">
        <f>E45/E11*365</f>
        <v>54.420286067701532</v>
      </c>
      <c r="F134" s="35">
        <f>F45/F11*365</f>
        <v>56.275145864572352</v>
      </c>
    </row>
    <row r="135" spans="2:6" x14ac:dyDescent="0.3">
      <c r="B135" t="s">
        <v>214</v>
      </c>
      <c r="C135" t="s">
        <v>42</v>
      </c>
      <c r="D135" s="30"/>
      <c r="E135" s="30">
        <f>E57/(E16+E129)</f>
        <v>0.13405170153636412</v>
      </c>
      <c r="F135" s="30">
        <f>F57/(F16+F129)</f>
        <v>0.13950739667530884</v>
      </c>
    </row>
    <row r="136" spans="2:6" x14ac:dyDescent="0.3">
      <c r="B136" t="s">
        <v>215</v>
      </c>
      <c r="C136" t="s">
        <v>42</v>
      </c>
      <c r="D136" s="30"/>
      <c r="E136" s="30">
        <f>E59/E11</f>
        <v>0.16353943448492134</v>
      </c>
      <c r="F136" s="30">
        <f>F59/F11</f>
        <v>0.14721558264174472</v>
      </c>
    </row>
    <row r="137" spans="2:6" x14ac:dyDescent="0.3">
      <c r="B137" t="s">
        <v>216</v>
      </c>
      <c r="C137" t="s">
        <v>95</v>
      </c>
      <c r="D137" s="28"/>
      <c r="E137" s="28">
        <f>E110+E112-E43-E44</f>
        <v>84299</v>
      </c>
      <c r="F137" s="28">
        <f>F110+F112-F43-F44</f>
        <v>105348</v>
      </c>
    </row>
    <row r="138" spans="2:6" x14ac:dyDescent="0.3">
      <c r="B138" t="s">
        <v>217</v>
      </c>
      <c r="C138" t="s">
        <v>209</v>
      </c>
      <c r="D138" s="34"/>
      <c r="E138" s="34">
        <f>E137/E125</f>
        <v>3.4796912408156526</v>
      </c>
      <c r="F138" s="34">
        <f>F137/F125</f>
        <v>3.3193017833511878</v>
      </c>
    </row>
    <row r="139" spans="2:6" x14ac:dyDescent="0.3">
      <c r="B139" t="s">
        <v>1655</v>
      </c>
      <c r="C139" t="s">
        <v>95</v>
      </c>
      <c r="D139" s="28"/>
      <c r="E139" s="62">
        <f>'04 Operating Model'!E63</f>
        <v>107135</v>
      </c>
      <c r="F139" s="62">
        <f>'04 Operating Model'!F63</f>
        <v>172636</v>
      </c>
    </row>
    <row r="140" spans="2:6" x14ac:dyDescent="0.3">
      <c r="B140" t="s">
        <v>218</v>
      </c>
      <c r="C140" t="s">
        <v>95</v>
      </c>
      <c r="D140" s="28">
        <f>D127*(1-D33)</f>
        <v>14327.157567498509</v>
      </c>
      <c r="E140" s="28">
        <f>E127*(1-E33)</f>
        <v>15863.067514124294</v>
      </c>
      <c r="F140" s="28">
        <f>F127*(1-F33)</f>
        <v>19612.387644471721</v>
      </c>
    </row>
    <row r="141" spans="2:6" x14ac:dyDescent="0.3">
      <c r="B141" t="s">
        <v>1656</v>
      </c>
      <c r="C141" t="s">
        <v>42</v>
      </c>
      <c r="D141" s="30"/>
      <c r="E141" s="30"/>
      <c r="F141" s="30">
        <f>F140/AVERAGE(E139:F139)</f>
        <v>0.14020314932192202</v>
      </c>
    </row>
    <row r="142" spans="2:6" x14ac:dyDescent="0.3">
      <c r="B142" t="s">
        <v>219</v>
      </c>
      <c r="C142" t="s">
        <v>209</v>
      </c>
      <c r="D142" s="34">
        <f>D127/D29</f>
        <v>4.5734206033010816</v>
      </c>
      <c r="E142" s="34">
        <f>E127/E29</f>
        <v>5.0452766908887643</v>
      </c>
      <c r="F142" s="34">
        <f>F127/F29</f>
        <v>4.8801913459447706</v>
      </c>
    </row>
    <row r="144" spans="2:6" x14ac:dyDescent="0.3">
      <c r="B144" s="5" t="s">
        <v>220</v>
      </c>
    </row>
    <row r="145" spans="2:7" x14ac:dyDescent="0.3">
      <c r="B145" s="2" t="s">
        <v>88</v>
      </c>
      <c r="C145" s="2" t="s">
        <v>221</v>
      </c>
      <c r="D145" s="2" t="s">
        <v>222</v>
      </c>
      <c r="E145" s="2" t="s">
        <v>223</v>
      </c>
      <c r="F145" s="2" t="s">
        <v>224</v>
      </c>
      <c r="G145" s="2" t="s">
        <v>225</v>
      </c>
    </row>
    <row r="146" spans="2:7" ht="43.2" x14ac:dyDescent="0.3">
      <c r="B146" s="38" t="s">
        <v>226</v>
      </c>
      <c r="C146" s="39">
        <f>F24</f>
        <v>1838</v>
      </c>
      <c r="D146" s="38" t="s">
        <v>227</v>
      </c>
      <c r="E146" s="38" t="s">
        <v>227</v>
      </c>
      <c r="F146" s="38" t="s">
        <v>228</v>
      </c>
      <c r="G146" s="38" t="s">
        <v>229</v>
      </c>
    </row>
    <row r="147" spans="2:7" ht="28.8" x14ac:dyDescent="0.3">
      <c r="B147" s="38" t="s">
        <v>230</v>
      </c>
      <c r="C147" s="39">
        <f>F23</f>
        <v>1671</v>
      </c>
      <c r="D147" s="38" t="s">
        <v>231</v>
      </c>
      <c r="E147" s="38" t="s">
        <v>232</v>
      </c>
      <c r="F147" s="38" t="s">
        <v>233</v>
      </c>
      <c r="G147" s="38" t="s">
        <v>234</v>
      </c>
    </row>
    <row r="148" spans="2:7" ht="28.8" x14ac:dyDescent="0.3">
      <c r="B148" s="38" t="s">
        <v>235</v>
      </c>
      <c r="C148" s="39">
        <f>F82</f>
        <v>4811</v>
      </c>
      <c r="D148" s="38" t="s">
        <v>231</v>
      </c>
      <c r="E148" s="38" t="s">
        <v>231</v>
      </c>
      <c r="F148" s="38" t="s">
        <v>236</v>
      </c>
      <c r="G148" s="38" t="s">
        <v>237</v>
      </c>
    </row>
    <row r="149" spans="2:7" ht="28.8" x14ac:dyDescent="0.3">
      <c r="B149" s="38" t="s">
        <v>238</v>
      </c>
      <c r="C149" s="39">
        <f>F30</f>
        <v>3547</v>
      </c>
      <c r="D149" s="38" t="s">
        <v>239</v>
      </c>
      <c r="E149" s="38" t="s">
        <v>227</v>
      </c>
      <c r="F149" s="38" t="s">
        <v>240</v>
      </c>
      <c r="G149" s="38" t="s">
        <v>241</v>
      </c>
    </row>
    <row r="150" spans="2:7" ht="43.2" x14ac:dyDescent="0.3">
      <c r="B150" s="38" t="s">
        <v>242</v>
      </c>
      <c r="C150" s="39">
        <f ca="1">'00 Panel del Analista'!F161</f>
        <v>0</v>
      </c>
      <c r="D150" s="38" t="s">
        <v>239</v>
      </c>
      <c r="E150" s="38" t="s">
        <v>227</v>
      </c>
      <c r="F150" s="38" t="s">
        <v>243</v>
      </c>
      <c r="G150" s="38" t="s">
        <v>244</v>
      </c>
    </row>
    <row r="151" spans="2:7" ht="28.8" x14ac:dyDescent="0.3">
      <c r="B151" s="38" t="s">
        <v>245</v>
      </c>
      <c r="C151" s="39">
        <f>F81</f>
        <v>-917</v>
      </c>
      <c r="D151" s="38" t="s">
        <v>231</v>
      </c>
      <c r="E151" s="38" t="s">
        <v>227</v>
      </c>
      <c r="F151" s="38" t="s">
        <v>246</v>
      </c>
      <c r="G151" s="38" t="s">
        <v>247</v>
      </c>
    </row>
    <row r="152" spans="2:7" ht="43.2" x14ac:dyDescent="0.3">
      <c r="B152" s="38" t="s">
        <v>248</v>
      </c>
      <c r="C152" s="39">
        <f>F113</f>
        <v>30190</v>
      </c>
      <c r="D152" s="38" t="s">
        <v>231</v>
      </c>
      <c r="E152" s="38" t="s">
        <v>231</v>
      </c>
      <c r="F152" s="38" t="s">
        <v>249</v>
      </c>
      <c r="G152" s="38" t="s">
        <v>250</v>
      </c>
    </row>
    <row r="153" spans="2:7" ht="28.8" x14ac:dyDescent="0.3">
      <c r="B153" s="38" t="s">
        <v>251</v>
      </c>
      <c r="C153" s="39">
        <f>F112</f>
        <v>7701</v>
      </c>
      <c r="D153" s="38" t="s">
        <v>231</v>
      </c>
      <c r="E153" s="38" t="s">
        <v>231</v>
      </c>
      <c r="F153" s="38" t="s">
        <v>252</v>
      </c>
      <c r="G153" s="38" t="s">
        <v>253</v>
      </c>
    </row>
    <row r="154" spans="2:7" ht="28.8" x14ac:dyDescent="0.3">
      <c r="B154" s="38" t="s">
        <v>51</v>
      </c>
      <c r="C154" s="39">
        <f>F67</f>
        <v>4954</v>
      </c>
      <c r="D154" s="38" t="s">
        <v>239</v>
      </c>
      <c r="E154" s="38" t="s">
        <v>239</v>
      </c>
      <c r="F154" s="38" t="s">
        <v>254</v>
      </c>
      <c r="G154" s="38" t="s">
        <v>255</v>
      </c>
    </row>
    <row r="155" spans="2:7" ht="43.2" x14ac:dyDescent="0.3">
      <c r="B155" s="38" t="s">
        <v>256</v>
      </c>
      <c r="C155" s="39">
        <f>F72</f>
        <v>548</v>
      </c>
      <c r="D155" s="38" t="s">
        <v>239</v>
      </c>
      <c r="E155" s="38" t="s">
        <v>239</v>
      </c>
      <c r="F155" s="38" t="s">
        <v>257</v>
      </c>
      <c r="G155" s="38" t="s">
        <v>258</v>
      </c>
    </row>
    <row r="156" spans="2:7" ht="28.8" x14ac:dyDescent="0.3">
      <c r="B156" s="38" t="s">
        <v>259</v>
      </c>
      <c r="C156" s="39">
        <f>F50</f>
        <v>62261</v>
      </c>
      <c r="D156" s="38" t="s">
        <v>239</v>
      </c>
      <c r="E156" s="38" t="s">
        <v>239</v>
      </c>
      <c r="F156" s="38" t="s">
        <v>260</v>
      </c>
      <c r="G156" s="38" t="s">
        <v>261</v>
      </c>
    </row>
    <row r="157" spans="2:7" ht="43.2" x14ac:dyDescent="0.3">
      <c r="B157" s="38" t="s">
        <v>262</v>
      </c>
      <c r="C157" s="39">
        <f>F21</f>
        <v>10272</v>
      </c>
      <c r="D157" s="38" t="s">
        <v>231</v>
      </c>
      <c r="E157" s="38" t="s">
        <v>263</v>
      </c>
      <c r="F157" s="38" t="s">
        <v>264</v>
      </c>
      <c r="G157" s="38" t="s">
        <v>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0C5D-73FE-4BA4-AE06-C8B11E0A9F45}">
  <dimension ref="A1:P72"/>
  <sheetViews>
    <sheetView workbookViewId="0">
      <pane xSplit="3" topLeftCell="D1" activePane="topRight" state="frozen"/>
      <selection pane="topRight"/>
    </sheetView>
  </sheetViews>
  <sheetFormatPr baseColWidth="10" defaultRowHeight="14.4" x14ac:dyDescent="0.3"/>
  <cols>
    <col min="2" max="2" width="70.33203125" customWidth="1"/>
    <col min="3" max="3" width="10.21875" customWidth="1"/>
    <col min="4" max="16" width="16.33203125" customWidth="1"/>
  </cols>
  <sheetData>
    <row r="1" spans="1:16" ht="18" x14ac:dyDescent="0.35">
      <c r="A1" s="4" t="s">
        <v>404</v>
      </c>
    </row>
    <row r="2" spans="1:16" x14ac:dyDescent="0.3">
      <c r="A2" s="14" t="s">
        <v>405</v>
      </c>
    </row>
    <row r="4" spans="1:16"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6" x14ac:dyDescent="0.3">
      <c r="B6" s="5" t="s">
        <v>406</v>
      </c>
      <c r="C6" s="5"/>
      <c r="D6" s="67"/>
      <c r="E6" s="67"/>
      <c r="F6" s="67"/>
      <c r="G6" s="70"/>
      <c r="H6" s="70"/>
      <c r="I6" s="70"/>
      <c r="J6" s="70"/>
      <c r="K6" s="70"/>
      <c r="L6" s="70"/>
      <c r="M6" s="70"/>
      <c r="N6" s="70"/>
      <c r="O6" s="70"/>
      <c r="P6" s="70"/>
    </row>
    <row r="7" spans="1:16" x14ac:dyDescent="0.3">
      <c r="B7" t="s">
        <v>94</v>
      </c>
      <c r="C7" t="s">
        <v>95</v>
      </c>
      <c r="D7" s="62">
        <f>'03 Historical'!D7</f>
        <v>19774</v>
      </c>
      <c r="E7" s="62">
        <f>'03 Historical'!E7</f>
        <v>24506</v>
      </c>
      <c r="F7" s="62">
        <f>'03 Historical'!F7</f>
        <v>33989</v>
      </c>
      <c r="G7" s="71">
        <f>F7*(1+'02 Assumptions'!G20)</f>
        <v>50983.5</v>
      </c>
      <c r="H7" s="71">
        <f>G7*(1+'02 Assumptions'!H20)</f>
        <v>70357.23</v>
      </c>
      <c r="I7" s="71">
        <f>H7*(1+'02 Assumptions'!I20)</f>
        <v>90057.254399999991</v>
      </c>
      <c r="J7" s="71">
        <f>I7*(1+'02 Assumptions'!J20)</f>
        <v>108969.27782399999</v>
      </c>
      <c r="K7" s="71">
        <f>J7*(1+'02 Assumptions'!K20)</f>
        <v>126404.36227583997</v>
      </c>
      <c r="L7" s="71">
        <f>K7*(1+'02 Assumptions'!L20)</f>
        <v>141572.88574894078</v>
      </c>
      <c r="M7" s="71">
        <f>L7*(1+'02 Assumptions'!M20)</f>
        <v>154314.44546634547</v>
      </c>
      <c r="N7" s="71">
        <f>M7*(1+'02 Assumptions'!N20)</f>
        <v>165116.45664898967</v>
      </c>
      <c r="O7" s="71">
        <f>N7*(1+'02 Assumptions'!O20)</f>
        <v>173372.27948143915</v>
      </c>
      <c r="P7" s="71">
        <f>O7*(1+'02 Assumptions'!P20)</f>
        <v>180307.17066069672</v>
      </c>
    </row>
    <row r="8" spans="1:16" x14ac:dyDescent="0.3">
      <c r="B8" t="s">
        <v>96</v>
      </c>
      <c r="C8" t="s">
        <v>95</v>
      </c>
      <c r="D8" s="62">
        <f>'03 Historical'!D8</f>
        <v>24690</v>
      </c>
      <c r="E8" s="62">
        <f>'03 Historical'!E8</f>
        <v>24724</v>
      </c>
      <c r="F8" s="62">
        <f>'03 Historical'!F8</f>
        <v>24541</v>
      </c>
      <c r="G8" s="71">
        <f>F8*(1+'02 Assumptions'!G22)</f>
        <v>24541</v>
      </c>
      <c r="H8" s="71">
        <f>G8*(1+'02 Assumptions'!H22)</f>
        <v>24295.59</v>
      </c>
      <c r="I8" s="71">
        <f>H8*(1+'02 Assumptions'!I22)</f>
        <v>24052.634099999999</v>
      </c>
      <c r="J8" s="71">
        <f>I8*(1+'02 Assumptions'!J22)</f>
        <v>24052.634099999999</v>
      </c>
      <c r="K8" s="71">
        <f>J8*(1+'02 Assumptions'!K22)</f>
        <v>24052.634099999999</v>
      </c>
      <c r="L8" s="71">
        <f>K8*(1+'02 Assumptions'!L22)</f>
        <v>24293.160441</v>
      </c>
      <c r="M8" s="71">
        <f>L8*(1+'02 Assumptions'!M22)</f>
        <v>24536.092045410001</v>
      </c>
      <c r="N8" s="71">
        <f>M8*(1+'02 Assumptions'!N22)</f>
        <v>24781.4529658641</v>
      </c>
      <c r="O8" s="71">
        <f>N8*(1+'02 Assumptions'!O22)</f>
        <v>25029.267495522741</v>
      </c>
      <c r="P8" s="71">
        <f>O8*(1+'02 Assumptions'!P22)</f>
        <v>25279.560170477969</v>
      </c>
    </row>
    <row r="9" spans="1:16" x14ac:dyDescent="0.3">
      <c r="B9" t="s">
        <v>97</v>
      </c>
      <c r="C9" t="s">
        <v>95</v>
      </c>
      <c r="D9" s="62">
        <f>'03 Historical'!D9</f>
        <v>3066</v>
      </c>
      <c r="E9" s="62">
        <f>'03 Historical'!E9</f>
        <v>2936</v>
      </c>
      <c r="F9" s="62">
        <f>'03 Historical'!F9</f>
        <v>3084</v>
      </c>
      <c r="G9" s="71">
        <f>F9*(1+'02 Assumptions'!G24)</f>
        <v>3022.32</v>
      </c>
      <c r="H9" s="71">
        <f>G9*(1+'02 Assumptions'!H24)</f>
        <v>2961.8735999999999</v>
      </c>
      <c r="I9" s="71">
        <f>H9*(1+'02 Assumptions'!I24)</f>
        <v>2932.254864</v>
      </c>
      <c r="J9" s="71">
        <f>I9*(1+'02 Assumptions'!J24)</f>
        <v>2902.9323153599998</v>
      </c>
      <c r="K9" s="71">
        <f>J9*(1+'02 Assumptions'!K24)</f>
        <v>2902.9323153599998</v>
      </c>
      <c r="L9" s="71">
        <f>K9*(1+'02 Assumptions'!L24)</f>
        <v>2902.9323153599998</v>
      </c>
      <c r="M9" s="71">
        <f>L9*(1+'02 Assumptions'!M24)</f>
        <v>2902.9323153599998</v>
      </c>
      <c r="N9" s="71">
        <f>M9*(1+'02 Assumptions'!N24)</f>
        <v>2902.9323153599998</v>
      </c>
      <c r="O9" s="71">
        <f>N9*(1+'02 Assumptions'!O24)</f>
        <v>2902.9323153599998</v>
      </c>
      <c r="P9" s="71">
        <f>O9*(1+'02 Assumptions'!P24)</f>
        <v>2902.9323153599998</v>
      </c>
    </row>
    <row r="10" spans="1:16" x14ac:dyDescent="0.3">
      <c r="B10" t="s">
        <v>98</v>
      </c>
      <c r="C10" t="s">
        <v>95</v>
      </c>
      <c r="D10" s="62">
        <f>'03 Historical'!D10</f>
        <v>5431</v>
      </c>
      <c r="E10" s="62">
        <f>'03 Historical'!E10</f>
        <v>5233</v>
      </c>
      <c r="F10" s="62">
        <f>'03 Historical'!F10</f>
        <v>5743</v>
      </c>
      <c r="G10" s="71">
        <f>F10*(1+'02 Assumptions'!G26)</f>
        <v>6202.4400000000005</v>
      </c>
      <c r="H10" s="71">
        <f>G10*(1+'02 Assumptions'!H26)</f>
        <v>6636.6108000000013</v>
      </c>
      <c r="I10" s="71">
        <f>H10*(1+'02 Assumptions'!I26)</f>
        <v>7034.8074480000014</v>
      </c>
      <c r="J10" s="71">
        <f>I10*(1+'02 Assumptions'!J26)</f>
        <v>7386.5478204000019</v>
      </c>
      <c r="K10" s="71">
        <f>J10*(1+'02 Assumptions'!K26)</f>
        <v>7682.0097332160021</v>
      </c>
      <c r="L10" s="71">
        <f>K10*(1+'02 Assumptions'!L26)</f>
        <v>7912.4700252124821</v>
      </c>
      <c r="M10" s="71">
        <f>L10*(1+'02 Assumptions'!M26)</f>
        <v>8149.844125968857</v>
      </c>
      <c r="N10" s="71">
        <f>M10*(1+'02 Assumptions'!N26)</f>
        <v>8394.3394497479221</v>
      </c>
      <c r="O10" s="71">
        <f>N10*(1+'02 Assumptions'!O26)</f>
        <v>8646.1696332403608</v>
      </c>
      <c r="P10" s="71">
        <f>O10*(1+'02 Assumptions'!P26)</f>
        <v>8905.5547222375717</v>
      </c>
    </row>
    <row r="11" spans="1:16" x14ac:dyDescent="0.3">
      <c r="B11" s="76" t="s">
        <v>407</v>
      </c>
      <c r="C11" s="76" t="s">
        <v>95</v>
      </c>
      <c r="D11" s="77">
        <f t="shared" ref="D11:P11" si="0">SUM(D7:D10)</f>
        <v>52961</v>
      </c>
      <c r="E11" s="77">
        <f t="shared" si="0"/>
        <v>57399</v>
      </c>
      <c r="F11" s="77">
        <f t="shared" si="0"/>
        <v>67357</v>
      </c>
      <c r="G11" s="78">
        <f t="shared" si="0"/>
        <v>84749.260000000009</v>
      </c>
      <c r="H11" s="78">
        <f t="shared" si="0"/>
        <v>104251.30439999999</v>
      </c>
      <c r="I11" s="78">
        <f t="shared" si="0"/>
        <v>124076.950812</v>
      </c>
      <c r="J11" s="78">
        <f t="shared" si="0"/>
        <v>143311.39205975999</v>
      </c>
      <c r="K11" s="78">
        <f t="shared" si="0"/>
        <v>161041.93842441597</v>
      </c>
      <c r="L11" s="78">
        <f t="shared" si="0"/>
        <v>176681.44853051324</v>
      </c>
      <c r="M11" s="78">
        <f t="shared" si="0"/>
        <v>189903.31395308435</v>
      </c>
      <c r="N11" s="78">
        <f t="shared" si="0"/>
        <v>201195.18137996169</v>
      </c>
      <c r="O11" s="78">
        <f t="shared" si="0"/>
        <v>209950.64892556224</v>
      </c>
      <c r="P11" s="78">
        <f t="shared" si="0"/>
        <v>217395.21786877228</v>
      </c>
    </row>
    <row r="12" spans="1:16" x14ac:dyDescent="0.3">
      <c r="B12" t="s">
        <v>200</v>
      </c>
      <c r="C12" t="s">
        <v>42</v>
      </c>
      <c r="D12" s="57"/>
      <c r="E12" s="57">
        <f t="shared" ref="E12:P12" si="1">E11/D11-1</f>
        <v>8.3797511376295875E-2</v>
      </c>
      <c r="F12" s="57">
        <f t="shared" si="1"/>
        <v>0.1734873429850694</v>
      </c>
      <c r="G12" s="73">
        <f t="shared" si="1"/>
        <v>0.25821013406179039</v>
      </c>
      <c r="H12" s="73">
        <f t="shared" si="1"/>
        <v>0.23011462754955003</v>
      </c>
      <c r="I12" s="73">
        <f t="shared" si="1"/>
        <v>0.19017168683023211</v>
      </c>
      <c r="J12" s="73">
        <f t="shared" si="1"/>
        <v>0.15502026058734963</v>
      </c>
      <c r="K12" s="73">
        <f t="shared" si="1"/>
        <v>0.12372042522106308</v>
      </c>
      <c r="L12" s="73">
        <f t="shared" si="1"/>
        <v>9.7114517243827025E-2</v>
      </c>
      <c r="M12" s="73">
        <f t="shared" si="1"/>
        <v>7.4834486204066186E-2</v>
      </c>
      <c r="N12" s="73">
        <f t="shared" si="1"/>
        <v>5.9461139417856579E-2</v>
      </c>
      <c r="O12" s="73">
        <f t="shared" si="1"/>
        <v>4.3517282499254462E-2</v>
      </c>
      <c r="P12" s="73">
        <f t="shared" si="1"/>
        <v>3.5458661267817826E-2</v>
      </c>
    </row>
    <row r="13" spans="1:16" x14ac:dyDescent="0.3">
      <c r="B13" t="s">
        <v>408</v>
      </c>
      <c r="C13" t="s">
        <v>42</v>
      </c>
      <c r="D13" s="57">
        <f t="shared" ref="D13:P13" si="2">D7/D11</f>
        <v>0.37336908291006587</v>
      </c>
      <c r="E13" s="57">
        <f t="shared" si="2"/>
        <v>0.4269412359100333</v>
      </c>
      <c r="F13" s="57">
        <f t="shared" si="2"/>
        <v>0.5046097658743709</v>
      </c>
      <c r="G13" s="73">
        <f t="shared" si="2"/>
        <v>0.60158047397699987</v>
      </c>
      <c r="H13" s="73">
        <f t="shared" si="2"/>
        <v>0.67488105213578509</v>
      </c>
      <c r="I13" s="73">
        <f t="shared" si="2"/>
        <v>0.72581775914572344</v>
      </c>
      <c r="J13" s="73">
        <f t="shared" si="2"/>
        <v>0.76036717149855371</v>
      </c>
      <c r="K13" s="73">
        <f t="shared" si="2"/>
        <v>0.7849158021353988</v>
      </c>
      <c r="L13" s="73">
        <f t="shared" si="2"/>
        <v>0.80128891248302658</v>
      </c>
      <c r="M13" s="73">
        <f t="shared" si="2"/>
        <v>0.81259480023855135</v>
      </c>
      <c r="N13" s="73">
        <f t="shared" si="2"/>
        <v>0.82067798799397418</v>
      </c>
      <c r="O13" s="73">
        <f t="shared" si="2"/>
        <v>0.82577634491097995</v>
      </c>
      <c r="P13" s="73">
        <f t="shared" si="2"/>
        <v>0.82939805405258149</v>
      </c>
    </row>
    <row r="14" spans="1:16" x14ac:dyDescent="0.3">
      <c r="D14" s="49"/>
      <c r="E14" s="49"/>
      <c r="F14" s="49"/>
      <c r="G14" s="74"/>
      <c r="H14" s="74"/>
      <c r="I14" s="74"/>
      <c r="J14" s="74"/>
      <c r="K14" s="74"/>
      <c r="L14" s="74"/>
      <c r="M14" s="74"/>
      <c r="N14" s="74"/>
      <c r="O14" s="74"/>
      <c r="P14" s="74"/>
    </row>
    <row r="15" spans="1:16" x14ac:dyDescent="0.3">
      <c r="B15" s="5" t="s">
        <v>409</v>
      </c>
      <c r="C15" s="5"/>
      <c r="D15" s="67"/>
      <c r="E15" s="67"/>
      <c r="F15" s="67"/>
      <c r="G15" s="70"/>
      <c r="H15" s="70"/>
      <c r="I15" s="70"/>
      <c r="J15" s="70"/>
      <c r="K15" s="70"/>
      <c r="L15" s="70"/>
      <c r="M15" s="70"/>
      <c r="N15" s="70"/>
      <c r="O15" s="70"/>
      <c r="P15" s="70"/>
    </row>
    <row r="16" spans="1:16" x14ac:dyDescent="0.3">
      <c r="B16" t="s">
        <v>105</v>
      </c>
      <c r="C16" t="s">
        <v>42</v>
      </c>
      <c r="D16" s="57">
        <f>'03 Historical'!D18</f>
        <v>0.71407261947470779</v>
      </c>
      <c r="E16" s="57">
        <f>'03 Historical'!E18</f>
        <v>0.70509939197547</v>
      </c>
      <c r="F16" s="57">
        <f>'03 Historical'!F18</f>
        <v>0.65822408955268197</v>
      </c>
      <c r="G16" s="73">
        <f>'02 Assumptions'!G30</f>
        <v>0.61</v>
      </c>
      <c r="H16" s="73">
        <f>'02 Assumptions'!H30</f>
        <v>0.57999999999999996</v>
      </c>
      <c r="I16" s="73">
        <f>'02 Assumptions'!I30</f>
        <v>0.56499999999999995</v>
      </c>
      <c r="J16" s="73">
        <f>'02 Assumptions'!J30</f>
        <v>0.56000000000000005</v>
      </c>
      <c r="K16" s="73">
        <f>'02 Assumptions'!K30</f>
        <v>0.56000000000000005</v>
      </c>
      <c r="L16" s="73">
        <f>'02 Assumptions'!L30</f>
        <v>0.56499999999999995</v>
      </c>
      <c r="M16" s="73">
        <f>'02 Assumptions'!M30</f>
        <v>0.56999999999999995</v>
      </c>
      <c r="N16" s="73">
        <f>'02 Assumptions'!N30</f>
        <v>0.57499999999999996</v>
      </c>
      <c r="O16" s="73">
        <f>'02 Assumptions'!O30</f>
        <v>0.57999999999999996</v>
      </c>
      <c r="P16" s="73">
        <f>'02 Assumptions'!P30</f>
        <v>0.57999999999999996</v>
      </c>
    </row>
    <row r="17" spans="2:16" x14ac:dyDescent="0.3">
      <c r="B17" s="76" t="s">
        <v>104</v>
      </c>
      <c r="C17" s="76" t="s">
        <v>95</v>
      </c>
      <c r="D17" s="77">
        <f>'03 Historical'!D17</f>
        <v>37818</v>
      </c>
      <c r="E17" s="77">
        <f>'03 Historical'!E17</f>
        <v>40472</v>
      </c>
      <c r="F17" s="77">
        <f>'03 Historical'!F17</f>
        <v>44336</v>
      </c>
      <c r="G17" s="78">
        <f t="shared" ref="G17:P17" si="3">G11*G16</f>
        <v>51697.048600000002</v>
      </c>
      <c r="H17" s="78">
        <f t="shared" si="3"/>
        <v>60465.756551999992</v>
      </c>
      <c r="I17" s="78">
        <f t="shared" si="3"/>
        <v>70103.477208779994</v>
      </c>
      <c r="J17" s="78">
        <f t="shared" si="3"/>
        <v>80254.379553465609</v>
      </c>
      <c r="K17" s="78">
        <f t="shared" si="3"/>
        <v>90183.485517672947</v>
      </c>
      <c r="L17" s="78">
        <f t="shared" si="3"/>
        <v>99825.018419739965</v>
      </c>
      <c r="M17" s="78">
        <f t="shared" si="3"/>
        <v>108244.88895325807</v>
      </c>
      <c r="N17" s="78">
        <f t="shared" si="3"/>
        <v>115687.22929347797</v>
      </c>
      <c r="O17" s="78">
        <f t="shared" si="3"/>
        <v>121771.3763768261</v>
      </c>
      <c r="P17" s="78">
        <f t="shared" si="3"/>
        <v>126089.22636388791</v>
      </c>
    </row>
    <row r="18" spans="2:16" x14ac:dyDescent="0.3">
      <c r="B18" t="s">
        <v>410</v>
      </c>
      <c r="C18" t="s">
        <v>95</v>
      </c>
      <c r="D18" s="62">
        <f>'03 Historical'!D16</f>
        <v>15143</v>
      </c>
      <c r="E18" s="62">
        <f>'03 Historical'!E16</f>
        <v>16927</v>
      </c>
      <c r="F18" s="62">
        <f>'03 Historical'!F16</f>
        <v>23021</v>
      </c>
      <c r="G18" s="71">
        <f t="shared" ref="G18:P18" si="4">G11-G17</f>
        <v>33052.211400000007</v>
      </c>
      <c r="H18" s="71">
        <f t="shared" si="4"/>
        <v>43785.547848000002</v>
      </c>
      <c r="I18" s="71">
        <f t="shared" si="4"/>
        <v>53973.473603220002</v>
      </c>
      <c r="J18" s="71">
        <f t="shared" si="4"/>
        <v>63057.012506294384</v>
      </c>
      <c r="K18" s="71">
        <f t="shared" si="4"/>
        <v>70858.452906743027</v>
      </c>
      <c r="L18" s="71">
        <f t="shared" si="4"/>
        <v>76856.430110773275</v>
      </c>
      <c r="M18" s="71">
        <f t="shared" si="4"/>
        <v>81658.424999826282</v>
      </c>
      <c r="N18" s="71">
        <f t="shared" si="4"/>
        <v>85507.952086483725</v>
      </c>
      <c r="O18" s="71">
        <f t="shared" si="4"/>
        <v>88179.272548736146</v>
      </c>
      <c r="P18" s="71">
        <f t="shared" si="4"/>
        <v>91305.991504884369</v>
      </c>
    </row>
    <row r="19" spans="2:16" x14ac:dyDescent="0.3">
      <c r="D19" s="49"/>
      <c r="E19" s="49"/>
      <c r="F19" s="49"/>
      <c r="G19" s="74"/>
      <c r="H19" s="74"/>
      <c r="I19" s="74"/>
      <c r="J19" s="74"/>
      <c r="K19" s="74"/>
      <c r="L19" s="74"/>
      <c r="M19" s="74"/>
      <c r="N19" s="74"/>
      <c r="O19" s="74"/>
      <c r="P19" s="74"/>
    </row>
    <row r="20" spans="2:16" x14ac:dyDescent="0.3">
      <c r="B20" s="5" t="s">
        <v>411</v>
      </c>
      <c r="C20" s="5"/>
      <c r="D20" s="67"/>
      <c r="E20" s="67"/>
      <c r="F20" s="67"/>
      <c r="G20" s="70"/>
      <c r="H20" s="70"/>
      <c r="I20" s="70"/>
      <c r="J20" s="70"/>
      <c r="K20" s="70"/>
      <c r="L20" s="70"/>
      <c r="M20" s="70"/>
      <c r="N20" s="70"/>
      <c r="O20" s="70"/>
      <c r="P20" s="70"/>
    </row>
    <row r="21" spans="2:16" x14ac:dyDescent="0.3">
      <c r="B21" t="s">
        <v>106</v>
      </c>
      <c r="C21" t="s">
        <v>95</v>
      </c>
      <c r="D21" s="62">
        <f>'03 Historical'!D20</f>
        <v>8274</v>
      </c>
      <c r="E21" s="62">
        <f>'03 Historical'!E20</f>
        <v>8651</v>
      </c>
      <c r="F21" s="62">
        <f>'03 Historical'!F20</f>
        <v>8331</v>
      </c>
      <c r="G21" s="71">
        <f>G11*'02 Assumptions'!G32</f>
        <v>10169.9112</v>
      </c>
      <c r="H21" s="71">
        <f>H11*'02 Assumptions'!H32</f>
        <v>11780.3973972</v>
      </c>
      <c r="I21" s="71">
        <f>I11*'02 Assumptions'!I32</f>
        <v>13400.310687695999</v>
      </c>
      <c r="J21" s="71">
        <f>J11*'02 Assumptions'!J32</f>
        <v>14904.384774215039</v>
      </c>
      <c r="K21" s="71">
        <f>K11*'02 Assumptions'!K32</f>
        <v>16265.235780866014</v>
      </c>
      <c r="L21" s="71">
        <f>L11*'02 Assumptions'!L32</f>
        <v>17491.463404520811</v>
      </c>
      <c r="M21" s="71">
        <f>M11*'02 Assumptions'!M32</f>
        <v>18610.524767402268</v>
      </c>
      <c r="N21" s="71">
        <f>N11*'02 Assumptions'!N32</f>
        <v>19515.932593856283</v>
      </c>
      <c r="O21" s="71">
        <f>O11*'02 Assumptions'!O32</f>
        <v>20365.212945779538</v>
      </c>
      <c r="P21" s="71">
        <f>P11*'02 Assumptions'!P32</f>
        <v>21087.33613327091</v>
      </c>
    </row>
    <row r="22" spans="2:16" x14ac:dyDescent="0.3">
      <c r="B22" t="s">
        <v>107</v>
      </c>
      <c r="C22" t="s">
        <v>95</v>
      </c>
      <c r="D22" s="62">
        <f>'03 Historical'!D21</f>
        <v>8915</v>
      </c>
      <c r="E22" s="62">
        <f>'03 Historical'!E21</f>
        <v>9860</v>
      </c>
      <c r="F22" s="62">
        <f>'03 Historical'!F21</f>
        <v>10272</v>
      </c>
      <c r="G22" s="71">
        <f>G11*'02 Assumptions'!G34</f>
        <v>12288.6427</v>
      </c>
      <c r="H22" s="71">
        <f>H11*'02 Assumptions'!H34</f>
        <v>14595.182616</v>
      </c>
      <c r="I22" s="71">
        <f>I11*'02 Assumptions'!I34</f>
        <v>16874.465310432002</v>
      </c>
      <c r="J22" s="71">
        <f>J11*'02 Assumptions'!J34</f>
        <v>19060.415143948081</v>
      </c>
      <c r="K22" s="71">
        <f>K11*'02 Assumptions'!K34</f>
        <v>21096.493933598493</v>
      </c>
      <c r="L22" s="71">
        <f>L11*'02 Assumptions'!L34</f>
        <v>22968.588308966722</v>
      </c>
      <c r="M22" s="71">
        <f>M11*'02 Assumptions'!M34</f>
        <v>24497.527499947882</v>
      </c>
      <c r="N22" s="71">
        <f>N11*'02 Assumptions'!N34</f>
        <v>25752.983216635097</v>
      </c>
      <c r="O22" s="71">
        <f>O11*'02 Assumptions'!O34</f>
        <v>26873.683062471966</v>
      </c>
      <c r="P22" s="71">
        <f>P11*'02 Assumptions'!P34</f>
        <v>27826.587887202852</v>
      </c>
    </row>
    <row r="23" spans="2:16" x14ac:dyDescent="0.3">
      <c r="B23" t="s">
        <v>108</v>
      </c>
      <c r="C23" t="s">
        <v>95</v>
      </c>
      <c r="D23" s="62">
        <f>'03 Historical'!D22</f>
        <v>1548</v>
      </c>
      <c r="E23" s="62">
        <f>'03 Historical'!E22</f>
        <v>1602</v>
      </c>
      <c r="F23" s="62">
        <f>'03 Historical'!F22</f>
        <v>1618</v>
      </c>
      <c r="G23" s="71">
        <f>G11*'02 Assumptions'!G36</f>
        <v>1864.4837200000002</v>
      </c>
      <c r="H23" s="71">
        <f>H11*'02 Assumptions'!H36</f>
        <v>2189.2773923999998</v>
      </c>
      <c r="I23" s="71">
        <f>I11*'02 Assumptions'!I36</f>
        <v>2481.5390162399999</v>
      </c>
      <c r="J23" s="71">
        <f>J11*'02 Assumptions'!J36</f>
        <v>2722.91644913544</v>
      </c>
      <c r="K23" s="71">
        <f>K11*'02 Assumptions'!K36</f>
        <v>3059.7968300639036</v>
      </c>
      <c r="L23" s="71">
        <f>L11*'02 Assumptions'!L36</f>
        <v>3180.2660735492382</v>
      </c>
      <c r="M23" s="71">
        <f>M11*'02 Assumptions'!M36</f>
        <v>3418.259651155518</v>
      </c>
      <c r="N23" s="71">
        <f>N11*'02 Assumptions'!N36</f>
        <v>3621.5132648393101</v>
      </c>
      <c r="O23" s="71">
        <f>O11*'02 Assumptions'!O36</f>
        <v>3779.1116806601203</v>
      </c>
      <c r="P23" s="71">
        <f>P11*'02 Assumptions'!P36</f>
        <v>3913.1139216379006</v>
      </c>
    </row>
    <row r="24" spans="2:16" x14ac:dyDescent="0.3">
      <c r="B24" t="s">
        <v>412</v>
      </c>
      <c r="C24" t="s">
        <v>95</v>
      </c>
      <c r="D24" s="62">
        <f>'03 Historical'!D23</f>
        <v>3010</v>
      </c>
      <c r="E24" s="62">
        <f>'03 Historical'!E23</f>
        <v>2307</v>
      </c>
      <c r="F24" s="62">
        <f>'03 Historical'!F23</f>
        <v>1671</v>
      </c>
      <c r="G24" s="71">
        <f>'02 Assumptions'!G37</f>
        <v>1300</v>
      </c>
      <c r="H24" s="71">
        <f>'02 Assumptions'!H37</f>
        <v>1000</v>
      </c>
      <c r="I24" s="71">
        <f>'02 Assumptions'!I37</f>
        <v>750</v>
      </c>
      <c r="J24" s="71">
        <f>'02 Assumptions'!J37</f>
        <v>550</v>
      </c>
      <c r="K24" s="71">
        <f>'02 Assumptions'!K37</f>
        <v>400</v>
      </c>
      <c r="L24" s="71">
        <f>'02 Assumptions'!L37</f>
        <v>300</v>
      </c>
      <c r="M24" s="71">
        <f>'02 Assumptions'!M37</f>
        <v>220</v>
      </c>
      <c r="N24" s="71">
        <f>'02 Assumptions'!N37</f>
        <v>160</v>
      </c>
      <c r="O24" s="71">
        <f>'02 Assumptions'!O37</f>
        <v>120</v>
      </c>
      <c r="P24" s="71">
        <f>'02 Assumptions'!P37</f>
        <v>90</v>
      </c>
    </row>
    <row r="25" spans="2:16" x14ac:dyDescent="0.3">
      <c r="B25" t="s">
        <v>413</v>
      </c>
      <c r="C25" t="s">
        <v>95</v>
      </c>
      <c r="D25" s="62">
        <f>'03 Historical'!D24</f>
        <v>718</v>
      </c>
      <c r="E25" s="62">
        <f>'03 Historical'!E24</f>
        <v>374</v>
      </c>
      <c r="F25" s="62">
        <f>'03 Historical'!F24</f>
        <v>1838</v>
      </c>
      <c r="G25" s="71">
        <f>'02 Assumptions'!G38</f>
        <v>600</v>
      </c>
      <c r="H25" s="71">
        <f>'02 Assumptions'!H38</f>
        <v>450</v>
      </c>
      <c r="I25" s="71">
        <f>'02 Assumptions'!I38</f>
        <v>350</v>
      </c>
      <c r="J25" s="71">
        <f>'02 Assumptions'!J38</f>
        <v>300</v>
      </c>
      <c r="K25" s="71">
        <f>'02 Assumptions'!K38</f>
        <v>250</v>
      </c>
      <c r="L25" s="71">
        <f>'02 Assumptions'!L38</f>
        <v>250</v>
      </c>
      <c r="M25" s="71">
        <f>'02 Assumptions'!M38</f>
        <v>250</v>
      </c>
      <c r="N25" s="71">
        <f>'02 Assumptions'!N38</f>
        <v>250</v>
      </c>
      <c r="O25" s="71">
        <f>'02 Assumptions'!O38</f>
        <v>250</v>
      </c>
      <c r="P25" s="71">
        <f>'02 Assumptions'!P38</f>
        <v>250</v>
      </c>
    </row>
    <row r="26" spans="2:16" x14ac:dyDescent="0.3">
      <c r="B26" s="3" t="s">
        <v>414</v>
      </c>
      <c r="C26" s="3" t="s">
        <v>95</v>
      </c>
      <c r="D26" s="68">
        <f t="shared" ref="D26:P26" si="5">SUM(D21:D25)</f>
        <v>22465</v>
      </c>
      <c r="E26" s="68">
        <f t="shared" si="5"/>
        <v>22794</v>
      </c>
      <c r="F26" s="68">
        <f t="shared" si="5"/>
        <v>23730</v>
      </c>
      <c r="G26" s="72">
        <f t="shared" si="5"/>
        <v>26223.037619999999</v>
      </c>
      <c r="H26" s="72">
        <f t="shared" si="5"/>
        <v>30014.8574056</v>
      </c>
      <c r="I26" s="72">
        <f t="shared" si="5"/>
        <v>33856.315014368003</v>
      </c>
      <c r="J26" s="72">
        <f t="shared" si="5"/>
        <v>37537.716367298555</v>
      </c>
      <c r="K26" s="72">
        <f t="shared" si="5"/>
        <v>41071.526544528409</v>
      </c>
      <c r="L26" s="72">
        <f t="shared" si="5"/>
        <v>44190.317787036773</v>
      </c>
      <c r="M26" s="72">
        <f t="shared" si="5"/>
        <v>46996.311918505671</v>
      </c>
      <c r="N26" s="72">
        <f t="shared" si="5"/>
        <v>49300.429075330692</v>
      </c>
      <c r="O26" s="72">
        <f t="shared" si="5"/>
        <v>51388.007688911624</v>
      </c>
      <c r="P26" s="72">
        <f t="shared" si="5"/>
        <v>53167.03794211166</v>
      </c>
    </row>
    <row r="27" spans="2:16" x14ac:dyDescent="0.3">
      <c r="B27" s="76" t="s">
        <v>415</v>
      </c>
      <c r="C27" s="76" t="s">
        <v>95</v>
      </c>
      <c r="D27" s="77">
        <f t="shared" ref="D27:P27" si="6">D17-D26</f>
        <v>15353</v>
      </c>
      <c r="E27" s="77">
        <f t="shared" si="6"/>
        <v>17678</v>
      </c>
      <c r="F27" s="77">
        <f t="shared" si="6"/>
        <v>20606</v>
      </c>
      <c r="G27" s="78">
        <f t="shared" si="6"/>
        <v>25474.010980000003</v>
      </c>
      <c r="H27" s="78">
        <f t="shared" si="6"/>
        <v>30450.899146399992</v>
      </c>
      <c r="I27" s="78">
        <f t="shared" si="6"/>
        <v>36247.162194411991</v>
      </c>
      <c r="J27" s="78">
        <f t="shared" si="6"/>
        <v>42716.663186167054</v>
      </c>
      <c r="K27" s="78">
        <f t="shared" si="6"/>
        <v>49111.958973144538</v>
      </c>
      <c r="L27" s="78">
        <f t="shared" si="6"/>
        <v>55634.700632703192</v>
      </c>
      <c r="M27" s="78">
        <f t="shared" si="6"/>
        <v>61248.577034752394</v>
      </c>
      <c r="N27" s="78">
        <f t="shared" si="6"/>
        <v>66386.800218147284</v>
      </c>
      <c r="O27" s="78">
        <f t="shared" si="6"/>
        <v>70383.368687914481</v>
      </c>
      <c r="P27" s="78">
        <f t="shared" si="6"/>
        <v>72922.188421776256</v>
      </c>
    </row>
    <row r="28" spans="2:16" x14ac:dyDescent="0.3">
      <c r="B28" t="s">
        <v>113</v>
      </c>
      <c r="C28" t="s">
        <v>42</v>
      </c>
      <c r="D28" s="57">
        <f t="shared" ref="D28:P28" si="7">D27/D11</f>
        <v>0.28989256245161532</v>
      </c>
      <c r="E28" s="57">
        <f t="shared" si="7"/>
        <v>0.30798445965957594</v>
      </c>
      <c r="F28" s="57">
        <f t="shared" si="7"/>
        <v>0.30592217586887777</v>
      </c>
      <c r="G28" s="73">
        <f t="shared" si="7"/>
        <v>0.30058092519037927</v>
      </c>
      <c r="H28" s="73">
        <f t="shared" si="7"/>
        <v>0.29209130112716358</v>
      </c>
      <c r="I28" s="73">
        <f t="shared" si="7"/>
        <v>0.29213453390979349</v>
      </c>
      <c r="J28" s="73">
        <f t="shared" si="7"/>
        <v>0.2980688595108647</v>
      </c>
      <c r="K28" s="73">
        <f t="shared" si="7"/>
        <v>0.30496378430140997</v>
      </c>
      <c r="L28" s="73">
        <f t="shared" si="7"/>
        <v>0.31488705291599967</v>
      </c>
      <c r="M28" s="73">
        <f t="shared" si="7"/>
        <v>0.3225250563551717</v>
      </c>
      <c r="N28" s="73">
        <f t="shared" si="7"/>
        <v>0.32996217783553322</v>
      </c>
      <c r="O28" s="73">
        <f t="shared" si="7"/>
        <v>0.33523768108413338</v>
      </c>
      <c r="P28" s="73">
        <f t="shared" si="7"/>
        <v>0.33543602815492823</v>
      </c>
    </row>
    <row r="29" spans="2:16" x14ac:dyDescent="0.3">
      <c r="B29" s="76" t="s">
        <v>416</v>
      </c>
      <c r="C29" s="76" t="s">
        <v>95</v>
      </c>
      <c r="D29" s="77">
        <f t="shared" ref="D29:P29" si="8">D27+D25</f>
        <v>16071</v>
      </c>
      <c r="E29" s="77">
        <f t="shared" si="8"/>
        <v>18052</v>
      </c>
      <c r="F29" s="77">
        <f t="shared" si="8"/>
        <v>22444</v>
      </c>
      <c r="G29" s="78">
        <f t="shared" si="8"/>
        <v>26074.010980000003</v>
      </c>
      <c r="H29" s="78">
        <f t="shared" si="8"/>
        <v>30900.899146399992</v>
      </c>
      <c r="I29" s="78">
        <f t="shared" si="8"/>
        <v>36597.162194411991</v>
      </c>
      <c r="J29" s="78">
        <f t="shared" si="8"/>
        <v>43016.663186167054</v>
      </c>
      <c r="K29" s="78">
        <f t="shared" si="8"/>
        <v>49361.958973144538</v>
      </c>
      <c r="L29" s="78">
        <f t="shared" si="8"/>
        <v>55884.700632703192</v>
      </c>
      <c r="M29" s="78">
        <f t="shared" si="8"/>
        <v>61498.577034752394</v>
      </c>
      <c r="N29" s="78">
        <f t="shared" si="8"/>
        <v>66636.800218147284</v>
      </c>
      <c r="O29" s="78">
        <f t="shared" si="8"/>
        <v>70633.368687914481</v>
      </c>
      <c r="P29" s="78">
        <f t="shared" si="8"/>
        <v>73172.188421776256</v>
      </c>
    </row>
    <row r="30" spans="2:16" x14ac:dyDescent="0.3">
      <c r="B30" t="s">
        <v>417</v>
      </c>
      <c r="C30" t="s">
        <v>42</v>
      </c>
      <c r="D30" s="57">
        <f t="shared" ref="D30:P30" si="9">D29/D11</f>
        <v>0.30344970827590112</v>
      </c>
      <c r="E30" s="57">
        <f t="shared" si="9"/>
        <v>0.31450025261764142</v>
      </c>
      <c r="F30" s="57">
        <f t="shared" si="9"/>
        <v>0.33320961444244845</v>
      </c>
      <c r="G30" s="73">
        <f t="shared" si="9"/>
        <v>0.3076606330249963</v>
      </c>
      <c r="H30" s="73">
        <f t="shared" si="9"/>
        <v>0.29640779388080246</v>
      </c>
      <c r="I30" s="73">
        <f t="shared" si="9"/>
        <v>0.29495536402940464</v>
      </c>
      <c r="J30" s="73">
        <f t="shared" si="9"/>
        <v>0.30016220321291248</v>
      </c>
      <c r="K30" s="73">
        <f t="shared" si="9"/>
        <v>0.30651617495471384</v>
      </c>
      <c r="L30" s="73">
        <f t="shared" si="9"/>
        <v>0.31630202886327247</v>
      </c>
      <c r="M30" s="73">
        <f t="shared" si="9"/>
        <v>0.32384151574071862</v>
      </c>
      <c r="N30" s="73">
        <f t="shared" si="9"/>
        <v>0.33120475232606172</v>
      </c>
      <c r="O30" s="73">
        <f t="shared" si="9"/>
        <v>0.33642843710836756</v>
      </c>
      <c r="P30" s="73">
        <f t="shared" si="9"/>
        <v>0.33658600745277512</v>
      </c>
    </row>
    <row r="31" spans="2:16" x14ac:dyDescent="0.3">
      <c r="D31" s="49"/>
      <c r="E31" s="49"/>
      <c r="F31" s="49"/>
      <c r="G31" s="74"/>
      <c r="H31" s="74"/>
      <c r="I31" s="74"/>
      <c r="J31" s="74"/>
      <c r="K31" s="74"/>
      <c r="L31" s="74"/>
      <c r="M31" s="74"/>
      <c r="N31" s="74"/>
      <c r="O31" s="74"/>
      <c r="P31" s="74"/>
    </row>
    <row r="32" spans="2:16" x14ac:dyDescent="0.3">
      <c r="B32" s="5" t="s">
        <v>418</v>
      </c>
      <c r="C32" s="5"/>
      <c r="D32" s="67"/>
      <c r="E32" s="67"/>
      <c r="F32" s="67"/>
      <c r="G32" s="70"/>
      <c r="H32" s="70"/>
      <c r="I32" s="70"/>
      <c r="J32" s="70"/>
      <c r="K32" s="70"/>
      <c r="L32" s="70"/>
      <c r="M32" s="70"/>
      <c r="N32" s="70"/>
      <c r="O32" s="70"/>
      <c r="P32" s="70"/>
    </row>
    <row r="33" spans="2:16" x14ac:dyDescent="0.3">
      <c r="B33" t="s">
        <v>419</v>
      </c>
      <c r="C33" t="s">
        <v>95</v>
      </c>
      <c r="D33" s="62"/>
      <c r="E33" s="62"/>
      <c r="F33" s="62">
        <f>'03 Historical'!E48</f>
        <v>43522</v>
      </c>
      <c r="G33" s="71">
        <f t="shared" ref="G33:P33" si="10">F37</f>
        <v>99957</v>
      </c>
      <c r="H33" s="71">
        <f t="shared" si="10"/>
        <v>135133.83375000002</v>
      </c>
      <c r="I33" s="71">
        <f t="shared" si="10"/>
        <v>157336.34368125003</v>
      </c>
      <c r="J33" s="71">
        <f t="shared" si="10"/>
        <v>170239.50030924377</v>
      </c>
      <c r="K33" s="71">
        <f t="shared" si="10"/>
        <v>177173.99308235353</v>
      </c>
      <c r="L33" s="71">
        <f t="shared" si="10"/>
        <v>179183.53471072172</v>
      </c>
      <c r="M33" s="71">
        <f t="shared" si="10"/>
        <v>179975.03299151137</v>
      </c>
      <c r="N33" s="71">
        <f t="shared" si="10"/>
        <v>180622.62025560462</v>
      </c>
      <c r="O33" s="71">
        <f t="shared" si="10"/>
        <v>181622.35304161831</v>
      </c>
      <c r="P33" s="71">
        <f t="shared" si="10"/>
        <v>182539.00691554177</v>
      </c>
    </row>
    <row r="34" spans="2:16" x14ac:dyDescent="0.3">
      <c r="B34" t="s">
        <v>206</v>
      </c>
      <c r="C34" t="s">
        <v>95</v>
      </c>
      <c r="D34" s="62">
        <f>'03 Historical'!D129</f>
        <v>6866</v>
      </c>
      <c r="E34" s="62">
        <f>'03 Historical'!E129</f>
        <v>21215</v>
      </c>
      <c r="F34" s="62">
        <f>'03 Historical'!F129</f>
        <v>55663</v>
      </c>
      <c r="G34" s="71">
        <f>G11*'02 Assumptions'!G42</f>
        <v>50849.556000000004</v>
      </c>
      <c r="H34" s="71">
        <f>H11*'02 Assumptions'!H42</f>
        <v>41700.521760000003</v>
      </c>
      <c r="I34" s="71">
        <f>I11*'02 Assumptions'!I42</f>
        <v>34741.546227359999</v>
      </c>
      <c r="J34" s="71">
        <f>J11*'02 Assumptions'!J42</f>
        <v>30095.392332549596</v>
      </c>
      <c r="K34" s="71">
        <f>K11*'02 Assumptions'!K42</f>
        <v>25766.710147906557</v>
      </c>
      <c r="L34" s="71">
        <f>L11*'02 Assumptions'!L42</f>
        <v>24735.402794271857</v>
      </c>
      <c r="M34" s="71">
        <f>M11*'02 Assumptions'!M42</f>
        <v>24687.430813900966</v>
      </c>
      <c r="N34" s="71">
        <f>N11*'02 Assumptions'!N42</f>
        <v>25149.397672495212</v>
      </c>
      <c r="O34" s="71">
        <f>O11*'02 Assumptions'!O42</f>
        <v>25194.077871067468</v>
      </c>
      <c r="P34" s="71">
        <f>P11*'02 Assumptions'!P42</f>
        <v>25652.635708515128</v>
      </c>
    </row>
    <row r="35" spans="2:16" x14ac:dyDescent="0.3">
      <c r="B35" t="s">
        <v>207</v>
      </c>
      <c r="C35" t="s">
        <v>42</v>
      </c>
      <c r="D35" s="57">
        <f t="shared" ref="D35:P35" si="11">D34/D11</f>
        <v>0.12964256717207001</v>
      </c>
      <c r="E35" s="57">
        <f t="shared" si="11"/>
        <v>0.36960574226031812</v>
      </c>
      <c r="F35" s="57">
        <f t="shared" si="11"/>
        <v>0.8263877547990558</v>
      </c>
      <c r="G35" s="73">
        <f t="shared" si="11"/>
        <v>0.6</v>
      </c>
      <c r="H35" s="73">
        <f t="shared" si="11"/>
        <v>0.40000000000000008</v>
      </c>
      <c r="I35" s="73">
        <f t="shared" si="11"/>
        <v>0.28000000000000003</v>
      </c>
      <c r="J35" s="73">
        <f t="shared" si="11"/>
        <v>0.21</v>
      </c>
      <c r="K35" s="73">
        <f t="shared" si="11"/>
        <v>0.16</v>
      </c>
      <c r="L35" s="73">
        <f t="shared" si="11"/>
        <v>0.14000000000000001</v>
      </c>
      <c r="M35" s="73">
        <f t="shared" si="11"/>
        <v>0.13</v>
      </c>
      <c r="N35" s="73">
        <f t="shared" si="11"/>
        <v>0.125</v>
      </c>
      <c r="O35" s="73">
        <f t="shared" si="11"/>
        <v>0.12</v>
      </c>
      <c r="P35" s="73">
        <f t="shared" si="11"/>
        <v>0.11799999999999999</v>
      </c>
    </row>
    <row r="36" spans="2:16" x14ac:dyDescent="0.3">
      <c r="B36" t="s">
        <v>420</v>
      </c>
      <c r="C36" t="s">
        <v>95</v>
      </c>
      <c r="D36" s="62">
        <f>'03 Historical'!D79</f>
        <v>3129</v>
      </c>
      <c r="E36" s="62">
        <f>'03 Historical'!E79</f>
        <v>3867</v>
      </c>
      <c r="F36" s="62">
        <f>'03 Historical'!F79</f>
        <v>7623</v>
      </c>
      <c r="G36" s="71">
        <f>(G33+G34/2)/'02 Assumptions'!$C$43</f>
        <v>15672.722250000001</v>
      </c>
      <c r="H36" s="71">
        <f>(H33+H34/2)/'02 Assumptions'!$C$43</f>
        <v>19498.011828750001</v>
      </c>
      <c r="I36" s="71">
        <f>(I33+I34/2)/'02 Assumptions'!$C$43</f>
        <v>21838.389599366252</v>
      </c>
      <c r="J36" s="71">
        <f>(J33+J34/2)/'02 Assumptions'!$C$43</f>
        <v>23160.899559439822</v>
      </c>
      <c r="K36" s="71">
        <f>(K33+K34/2)/'02 Assumptions'!$C$43</f>
        <v>23757.168519538351</v>
      </c>
      <c r="L36" s="71">
        <f>(L33+L34/2)/'02 Assumptions'!$C$43</f>
        <v>23943.904513482208</v>
      </c>
      <c r="M36" s="71">
        <f>(M33+M34/2)/'02 Assumptions'!$C$43</f>
        <v>24039.843549807731</v>
      </c>
      <c r="N36" s="71">
        <f>(N33+N34/2)/'02 Assumptions'!$C$43</f>
        <v>24149.664886481529</v>
      </c>
      <c r="O36" s="71">
        <f>(O33+O34/2)/'02 Assumptions'!$C$43</f>
        <v>24277.423997144004</v>
      </c>
      <c r="P36" s="71">
        <f>(P33+P34/2)/'02 Assumptions'!$C$43</f>
        <v>24420.665596224917</v>
      </c>
    </row>
    <row r="37" spans="2:16" x14ac:dyDescent="0.3">
      <c r="B37" t="s">
        <v>421</v>
      </c>
      <c r="C37" t="s">
        <v>95</v>
      </c>
      <c r="D37" s="62"/>
      <c r="E37" s="62">
        <f>'03 Historical'!E48</f>
        <v>43522</v>
      </c>
      <c r="F37" s="62">
        <f>'03 Historical'!F48</f>
        <v>99957</v>
      </c>
      <c r="G37" s="71">
        <f t="shared" ref="G37:P37" si="12">G33+G34-G36</f>
        <v>135133.83375000002</v>
      </c>
      <c r="H37" s="71">
        <f t="shared" si="12"/>
        <v>157336.34368125003</v>
      </c>
      <c r="I37" s="71">
        <f t="shared" si="12"/>
        <v>170239.50030924377</v>
      </c>
      <c r="J37" s="71">
        <f t="shared" si="12"/>
        <v>177173.99308235353</v>
      </c>
      <c r="K37" s="71">
        <f t="shared" si="12"/>
        <v>179183.53471072172</v>
      </c>
      <c r="L37" s="71">
        <f t="shared" si="12"/>
        <v>179975.03299151137</v>
      </c>
      <c r="M37" s="71">
        <f t="shared" si="12"/>
        <v>180622.62025560462</v>
      </c>
      <c r="N37" s="71">
        <f t="shared" si="12"/>
        <v>181622.35304161831</v>
      </c>
      <c r="O37" s="71">
        <f t="shared" si="12"/>
        <v>182539.00691554177</v>
      </c>
      <c r="P37" s="71">
        <f t="shared" si="12"/>
        <v>183770.97702783198</v>
      </c>
    </row>
    <row r="38" spans="2:16" x14ac:dyDescent="0.3">
      <c r="B38" s="3" t="s">
        <v>422</v>
      </c>
      <c r="C38" s="3" t="s">
        <v>95</v>
      </c>
      <c r="D38" s="68">
        <f t="shared" ref="D38:P38" si="13">D36+D24</f>
        <v>6139</v>
      </c>
      <c r="E38" s="68">
        <f t="shared" si="13"/>
        <v>6174</v>
      </c>
      <c r="F38" s="68">
        <f t="shared" si="13"/>
        <v>9294</v>
      </c>
      <c r="G38" s="72">
        <f t="shared" si="13"/>
        <v>16972.722249999999</v>
      </c>
      <c r="H38" s="72">
        <f t="shared" si="13"/>
        <v>20498.011828750001</v>
      </c>
      <c r="I38" s="72">
        <f t="shared" si="13"/>
        <v>22588.389599366252</v>
      </c>
      <c r="J38" s="72">
        <f t="shared" si="13"/>
        <v>23710.899559439822</v>
      </c>
      <c r="K38" s="72">
        <f t="shared" si="13"/>
        <v>24157.168519538351</v>
      </c>
      <c r="L38" s="72">
        <f t="shared" si="13"/>
        <v>24243.904513482208</v>
      </c>
      <c r="M38" s="72">
        <f t="shared" si="13"/>
        <v>24259.843549807731</v>
      </c>
      <c r="N38" s="72">
        <f t="shared" si="13"/>
        <v>24309.664886481529</v>
      </c>
      <c r="O38" s="72">
        <f t="shared" si="13"/>
        <v>24397.423997144004</v>
      </c>
      <c r="P38" s="72">
        <f t="shared" si="13"/>
        <v>24510.665596224917</v>
      </c>
    </row>
    <row r="39" spans="2:16" x14ac:dyDescent="0.3">
      <c r="B39" s="76" t="s">
        <v>423</v>
      </c>
      <c r="C39" s="76" t="s">
        <v>95</v>
      </c>
      <c r="D39" s="77">
        <f t="shared" ref="D39:P39" si="14">D29+D38</f>
        <v>22210</v>
      </c>
      <c r="E39" s="77">
        <f t="shared" si="14"/>
        <v>24226</v>
      </c>
      <c r="F39" s="77">
        <f t="shared" si="14"/>
        <v>31738</v>
      </c>
      <c r="G39" s="78">
        <f t="shared" si="14"/>
        <v>43046.733229999998</v>
      </c>
      <c r="H39" s="78">
        <f t="shared" si="14"/>
        <v>51398.910975149993</v>
      </c>
      <c r="I39" s="78">
        <f t="shared" si="14"/>
        <v>59185.551793778242</v>
      </c>
      <c r="J39" s="78">
        <f t="shared" si="14"/>
        <v>66727.562745606876</v>
      </c>
      <c r="K39" s="78">
        <f t="shared" si="14"/>
        <v>73519.127492682892</v>
      </c>
      <c r="L39" s="78">
        <f t="shared" si="14"/>
        <v>80128.605146185408</v>
      </c>
      <c r="M39" s="78">
        <f t="shared" si="14"/>
        <v>85758.420584560125</v>
      </c>
      <c r="N39" s="78">
        <f t="shared" si="14"/>
        <v>90946.46510462882</v>
      </c>
      <c r="O39" s="78">
        <f t="shared" si="14"/>
        <v>95030.792685058492</v>
      </c>
      <c r="P39" s="78">
        <f t="shared" si="14"/>
        <v>97682.854018001177</v>
      </c>
    </row>
    <row r="40" spans="2:16" x14ac:dyDescent="0.3">
      <c r="B40" t="s">
        <v>203</v>
      </c>
      <c r="C40" t="s">
        <v>42</v>
      </c>
      <c r="D40" s="57">
        <f t="shared" ref="D40:P40" si="15">D39/D11</f>
        <v>0.41936519325541438</v>
      </c>
      <c r="E40" s="57">
        <f t="shared" si="15"/>
        <v>0.42206310214463666</v>
      </c>
      <c r="F40" s="57">
        <f t="shared" si="15"/>
        <v>0.47119081906854521</v>
      </c>
      <c r="G40" s="73">
        <f t="shared" si="15"/>
        <v>0.50793049083850395</v>
      </c>
      <c r="H40" s="73">
        <f t="shared" si="15"/>
        <v>0.49302894837592071</v>
      </c>
      <c r="I40" s="73">
        <f t="shared" si="15"/>
        <v>0.47700682041627157</v>
      </c>
      <c r="J40" s="73">
        <f t="shared" si="15"/>
        <v>0.46561241075504928</v>
      </c>
      <c r="K40" s="73">
        <f t="shared" si="15"/>
        <v>0.45652162543478469</v>
      </c>
      <c r="L40" s="73">
        <f t="shared" si="15"/>
        <v>0.45352019588149933</v>
      </c>
      <c r="M40" s="73">
        <f t="shared" si="15"/>
        <v>0.45158991067289517</v>
      </c>
      <c r="N40" s="73">
        <f t="shared" si="15"/>
        <v>0.45203103017101759</v>
      </c>
      <c r="O40" s="73">
        <f t="shared" si="15"/>
        <v>0.452633955509952</v>
      </c>
      <c r="P40" s="73">
        <f t="shared" si="15"/>
        <v>0.44933303950120068</v>
      </c>
    </row>
    <row r="41" spans="2:16" x14ac:dyDescent="0.3">
      <c r="B41" t="s">
        <v>208</v>
      </c>
      <c r="C41" t="s">
        <v>209</v>
      </c>
      <c r="D41" s="69">
        <f t="shared" ref="D41:P41" si="16">D34/D38</f>
        <v>1.1184231959602542</v>
      </c>
      <c r="E41" s="69">
        <f t="shared" si="16"/>
        <v>3.4361839974084871</v>
      </c>
      <c r="F41" s="69">
        <f t="shared" si="16"/>
        <v>5.9891327738325799</v>
      </c>
      <c r="G41" s="75">
        <f t="shared" si="16"/>
        <v>2.9959575871808077</v>
      </c>
      <c r="H41" s="75">
        <f t="shared" si="16"/>
        <v>2.0343690943485497</v>
      </c>
      <c r="I41" s="75">
        <f t="shared" si="16"/>
        <v>1.5380266961720335</v>
      </c>
      <c r="J41" s="75">
        <f t="shared" si="16"/>
        <v>1.2692640469883805</v>
      </c>
      <c r="K41" s="75">
        <f t="shared" si="16"/>
        <v>1.0666279091055895</v>
      </c>
      <c r="L41" s="75">
        <f t="shared" si="16"/>
        <v>1.0202730661852064</v>
      </c>
      <c r="M41" s="75">
        <f t="shared" si="16"/>
        <v>1.0176253100402466</v>
      </c>
      <c r="N41" s="75">
        <f t="shared" si="16"/>
        <v>1.0345431658533744</v>
      </c>
      <c r="O41" s="75">
        <f t="shared" si="16"/>
        <v>1.0326531962561589</v>
      </c>
      <c r="P41" s="75">
        <f t="shared" si="16"/>
        <v>1.0465907426221055</v>
      </c>
    </row>
    <row r="42" spans="2:16" x14ac:dyDescent="0.3">
      <c r="D42" s="49"/>
      <c r="E42" s="49"/>
      <c r="F42" s="49"/>
      <c r="G42" s="74"/>
      <c r="H42" s="74"/>
      <c r="I42" s="74"/>
      <c r="J42" s="74"/>
      <c r="K42" s="74"/>
      <c r="L42" s="74"/>
      <c r="M42" s="74"/>
      <c r="N42" s="74"/>
      <c r="O42" s="74"/>
      <c r="P42" s="74"/>
    </row>
    <row r="43" spans="2:16" x14ac:dyDescent="0.3">
      <c r="B43" s="5" t="s">
        <v>424</v>
      </c>
      <c r="C43" s="5"/>
      <c r="D43" s="67"/>
      <c r="E43" s="67"/>
      <c r="F43" s="67"/>
      <c r="G43" s="70"/>
      <c r="H43" s="70"/>
      <c r="I43" s="70"/>
      <c r="J43" s="70"/>
      <c r="K43" s="70"/>
      <c r="L43" s="70"/>
      <c r="M43" s="70"/>
      <c r="N43" s="70"/>
      <c r="O43" s="70"/>
      <c r="P43" s="70"/>
    </row>
    <row r="44" spans="2:16" x14ac:dyDescent="0.3">
      <c r="B44" t="s">
        <v>425</v>
      </c>
      <c r="C44" t="s">
        <v>95</v>
      </c>
      <c r="D44" s="62"/>
      <c r="E44" s="62">
        <f>'03 Historical'!E45</f>
        <v>8558</v>
      </c>
      <c r="F44" s="62">
        <f>'03 Historical'!F45</f>
        <v>10385</v>
      </c>
      <c r="G44" s="71">
        <f>'02 Assumptions'!G48/365*G11</f>
        <v>13002.626191780824</v>
      </c>
      <c r="H44" s="71">
        <f>'02 Assumptions'!H48/365*H11</f>
        <v>15709.100663013696</v>
      </c>
      <c r="I44" s="71">
        <f>'02 Assumptions'!I48/365*I11</f>
        <v>18356.589983145204</v>
      </c>
      <c r="J44" s="71">
        <f>'02 Assumptions'!J48/365*J11</f>
        <v>20809.599394978846</v>
      </c>
      <c r="K44" s="71">
        <f>'02 Assumptions'!K48/365*K11</f>
        <v>22942.961090601726</v>
      </c>
      <c r="L44" s="71">
        <f>'02 Assumptions'!L48/365*L11</f>
        <v>25171.055681059421</v>
      </c>
      <c r="M44" s="71">
        <f>'02 Assumptions'!M48/365*M11</f>
        <v>27054.718700165442</v>
      </c>
      <c r="N44" s="71">
        <f>'02 Assumptions'!N48/365*N11</f>
        <v>28663.42310070687</v>
      </c>
      <c r="O44" s="71">
        <f>'02 Assumptions'!O48/365*O11</f>
        <v>29910.777381175991</v>
      </c>
      <c r="P44" s="71">
        <f>'02 Assumptions'!P48/365*P11</f>
        <v>30971.373504592215</v>
      </c>
    </row>
    <row r="45" spans="2:16" x14ac:dyDescent="0.3">
      <c r="B45" t="s">
        <v>426</v>
      </c>
      <c r="C45" t="s">
        <v>95</v>
      </c>
      <c r="D45" s="62"/>
      <c r="E45" s="62">
        <f>'03 Historical'!E46</f>
        <v>4818</v>
      </c>
      <c r="F45" s="62">
        <f>'03 Historical'!F46</f>
        <v>4288</v>
      </c>
      <c r="G45" s="71">
        <f>G11*'02 Assumptions'!G51</f>
        <v>5254.4541200000003</v>
      </c>
      <c r="H45" s="71">
        <f>H11*'02 Assumptions'!H51</f>
        <v>6255.0782639999998</v>
      </c>
      <c r="I45" s="71">
        <f>I11*'02 Assumptions'!I51</f>
        <v>7320.5400979079996</v>
      </c>
      <c r="J45" s="71">
        <f>J11*'02 Assumptions'!J51</f>
        <v>8312.0607394660801</v>
      </c>
      <c r="K45" s="71">
        <f>K11*'02 Assumptions'!K51</f>
        <v>9340.4324286161263</v>
      </c>
      <c r="L45" s="71">
        <f>L11*'02 Assumptions'!L51</f>
        <v>10247.524014769768</v>
      </c>
      <c r="M45" s="71">
        <f>M11*'02 Assumptions'!M51</f>
        <v>11014.392209278893</v>
      </c>
      <c r="N45" s="71">
        <f>N11*'02 Assumptions'!N51</f>
        <v>11669.32052003778</v>
      </c>
      <c r="O45" s="71">
        <f>O11*'02 Assumptions'!O51</f>
        <v>12177.13763768261</v>
      </c>
      <c r="P45" s="71">
        <f>P11*'02 Assumptions'!P51</f>
        <v>12608.922636388792</v>
      </c>
    </row>
    <row r="46" spans="2:16" x14ac:dyDescent="0.3">
      <c r="B46" t="s">
        <v>142</v>
      </c>
      <c r="C46" t="s">
        <v>95</v>
      </c>
      <c r="D46" s="62"/>
      <c r="E46" s="62">
        <f>'03 Historical'!E57</f>
        <v>5113</v>
      </c>
      <c r="F46" s="62">
        <f>'03 Historical'!F57</f>
        <v>10977</v>
      </c>
      <c r="G46" s="71">
        <f>(G18+G34)*'02 Assumptions'!G49</f>
        <v>11326.738599000002</v>
      </c>
      <c r="H46" s="71">
        <f>(H18+H34)*'02 Assumptions'!H49</f>
        <v>11540.619397080001</v>
      </c>
      <c r="I46" s="71">
        <f>(I18+I34)*'02 Assumptions'!I49</f>
        <v>11976.527677128301</v>
      </c>
      <c r="J46" s="71">
        <f>(J18+J34)*'02 Assumptions'!J49</f>
        <v>12575.574653243939</v>
      </c>
      <c r="K46" s="71">
        <f>(K18+K34)*'02 Assumptions'!K49</f>
        <v>13044.397012377694</v>
      </c>
      <c r="L46" s="71">
        <f>(L18+L34)*'02 Assumptions'!L49</f>
        <v>13714.897442181093</v>
      </c>
      <c r="M46" s="71">
        <f>(M18+M34)*'02 Assumptions'!M49</f>
        <v>14356.69053485318</v>
      </c>
      <c r="N46" s="71">
        <f>(N18+N34)*'02 Assumptions'!N49</f>
        <v>14938.742217462157</v>
      </c>
      <c r="O46" s="71">
        <f>(O18+O34)*'02 Assumptions'!O49</f>
        <v>15305.402306673488</v>
      </c>
      <c r="P46" s="71">
        <f>(P18+P34)*'02 Assumptions'!P49</f>
        <v>15789.414673808933</v>
      </c>
    </row>
    <row r="47" spans="2:16" x14ac:dyDescent="0.3">
      <c r="B47" t="s">
        <v>427</v>
      </c>
      <c r="C47" t="s">
        <v>95</v>
      </c>
      <c r="D47" s="62"/>
      <c r="E47" s="62">
        <f>'03 Historical'!E58</f>
        <v>2243</v>
      </c>
      <c r="F47" s="62">
        <f>'03 Historical'!F58</f>
        <v>2225</v>
      </c>
      <c r="G47" s="71">
        <f>G11*'02 Assumptions'!G52</f>
        <v>2711.9763200000002</v>
      </c>
      <c r="H47" s="71">
        <f>H11*'02 Assumptions'!H52</f>
        <v>3231.7904363999996</v>
      </c>
      <c r="I47" s="71">
        <f>I11*'02 Assumptions'!I52</f>
        <v>3846.385475172</v>
      </c>
      <c r="J47" s="71">
        <f>J11*'02 Assumptions'!J52</f>
        <v>4299.3417617927998</v>
      </c>
      <c r="K47" s="71">
        <f>K11*'02 Assumptions'!K52</f>
        <v>4831.2581527324792</v>
      </c>
      <c r="L47" s="71">
        <f>L11*'02 Assumptions'!L52</f>
        <v>5300.443455915397</v>
      </c>
      <c r="M47" s="71">
        <f>M11*'02 Assumptions'!M52</f>
        <v>5697.0994185925301</v>
      </c>
      <c r="N47" s="71">
        <f>N11*'02 Assumptions'!N52</f>
        <v>6035.8554413988504</v>
      </c>
      <c r="O47" s="71">
        <f>O11*'02 Assumptions'!O52</f>
        <v>6298.5194677668669</v>
      </c>
      <c r="P47" s="71">
        <f>P11*'02 Assumptions'!P52</f>
        <v>6521.8565360631683</v>
      </c>
    </row>
    <row r="48" spans="2:16" x14ac:dyDescent="0.3">
      <c r="B48" t="s">
        <v>144</v>
      </c>
      <c r="C48" t="s">
        <v>95</v>
      </c>
      <c r="D48" s="62"/>
      <c r="E48" s="62">
        <f>'03 Historical'!E59</f>
        <v>9387</v>
      </c>
      <c r="F48" s="62">
        <f>'03 Historical'!F59</f>
        <v>9916</v>
      </c>
      <c r="G48" s="71">
        <f>G11*'02 Assumptions'!G50</f>
        <v>12203.89344</v>
      </c>
      <c r="H48" s="71">
        <f>H11*'02 Assumptions'!H50</f>
        <v>14595.182616</v>
      </c>
      <c r="I48" s="71">
        <f>I11*'02 Assumptions'!I50</f>
        <v>16874.465310432002</v>
      </c>
      <c r="J48" s="71">
        <f>J11*'02 Assumptions'!J50</f>
        <v>18917.10375188832</v>
      </c>
      <c r="K48" s="71">
        <f>K11*'02 Assumptions'!K50</f>
        <v>20613.368118325245</v>
      </c>
      <c r="L48" s="71">
        <f>L11*'02 Assumptions'!L50</f>
        <v>22085.181066314155</v>
      </c>
      <c r="M48" s="71">
        <f>M11*'02 Assumptions'!M50</f>
        <v>23168.204302276288</v>
      </c>
      <c r="N48" s="71">
        <f>N11*'02 Assumptions'!N50</f>
        <v>24143.421765595402</v>
      </c>
      <c r="O48" s="71">
        <f>O11*'02 Assumptions'!O50</f>
        <v>25194.077871067468</v>
      </c>
      <c r="P48" s="71">
        <f>P11*'02 Assumptions'!P50</f>
        <v>26087.426144252673</v>
      </c>
    </row>
    <row r="49" spans="2:16" x14ac:dyDescent="0.3">
      <c r="B49" t="s">
        <v>428</v>
      </c>
      <c r="C49" t="s">
        <v>95</v>
      </c>
      <c r="D49" s="62"/>
      <c r="E49" s="62">
        <f>'03 Historical'!E60-'03 Historical'!E119</f>
        <v>8372</v>
      </c>
      <c r="F49" s="62">
        <f>'03 Historical'!F60-'03 Historical'!F119</f>
        <v>10827</v>
      </c>
      <c r="G49" s="71">
        <f>G11*'02 Assumptions'!G53</f>
        <v>13559.881600000002</v>
      </c>
      <c r="H49" s="71">
        <f>H11*'02 Assumptions'!H53</f>
        <v>16471.706095199999</v>
      </c>
      <c r="I49" s="71">
        <f>I11*'02 Assumptions'!I53</f>
        <v>19356.004326671999</v>
      </c>
      <c r="J49" s="71">
        <f>J11*'02 Assumptions'!J53</f>
        <v>22069.954377203037</v>
      </c>
      <c r="K49" s="71">
        <f>K11*'02 Assumptions'!K53</f>
        <v>24478.374640511229</v>
      </c>
      <c r="L49" s="71">
        <f>L11*'02 Assumptions'!L53</f>
        <v>26502.217279576984</v>
      </c>
      <c r="M49" s="71">
        <f>M11*'02 Assumptions'!M53</f>
        <v>28485.497092962651</v>
      </c>
      <c r="N49" s="71">
        <f>N11*'02 Assumptions'!N53</f>
        <v>30179.277206994251</v>
      </c>
      <c r="O49" s="71">
        <f>O11*'02 Assumptions'!O53</f>
        <v>31492.597338834334</v>
      </c>
      <c r="P49" s="71">
        <f>P11*'02 Assumptions'!P53</f>
        <v>32609.282680315839</v>
      </c>
    </row>
    <row r="50" spans="2:16" x14ac:dyDescent="0.3">
      <c r="B50" s="76" t="s">
        <v>429</v>
      </c>
      <c r="C50" s="76" t="s">
        <v>95</v>
      </c>
      <c r="D50" s="77"/>
      <c r="E50" s="77">
        <f t="shared" ref="E50:P50" si="17">E44+E45-E46-E47-E48-E49</f>
        <v>-11739</v>
      </c>
      <c r="F50" s="77">
        <f t="shared" si="17"/>
        <v>-19272</v>
      </c>
      <c r="G50" s="78">
        <f t="shared" si="17"/>
        <v>-21545.409647219181</v>
      </c>
      <c r="H50" s="78">
        <f t="shared" si="17"/>
        <v>-23875.119617666307</v>
      </c>
      <c r="I50" s="78">
        <f t="shared" si="17"/>
        <v>-26376.252708351098</v>
      </c>
      <c r="J50" s="78">
        <f t="shared" si="17"/>
        <v>-28740.314409683171</v>
      </c>
      <c r="K50" s="78">
        <f t="shared" si="17"/>
        <v>-30684.004404728796</v>
      </c>
      <c r="L50" s="78">
        <f t="shared" si="17"/>
        <v>-32184.159548158437</v>
      </c>
      <c r="M50" s="78">
        <f t="shared" si="17"/>
        <v>-33638.380439240311</v>
      </c>
      <c r="N50" s="78">
        <f t="shared" si="17"/>
        <v>-34964.553010706004</v>
      </c>
      <c r="O50" s="78">
        <f t="shared" si="17"/>
        <v>-36202.681965483556</v>
      </c>
      <c r="P50" s="78">
        <f t="shared" si="17"/>
        <v>-37427.683893459602</v>
      </c>
    </row>
    <row r="51" spans="2:16" x14ac:dyDescent="0.3">
      <c r="B51" t="s">
        <v>430</v>
      </c>
      <c r="C51" t="s">
        <v>95</v>
      </c>
      <c r="D51" s="62"/>
      <c r="E51" s="62"/>
      <c r="F51" s="62">
        <f t="shared" ref="F51:P51" si="18">F50-E50</f>
        <v>-7533</v>
      </c>
      <c r="G51" s="71">
        <f t="shared" si="18"/>
        <v>-2273.4096472191814</v>
      </c>
      <c r="H51" s="71">
        <f t="shared" si="18"/>
        <v>-2329.7099704471257</v>
      </c>
      <c r="I51" s="71">
        <f t="shared" si="18"/>
        <v>-2501.1330906847907</v>
      </c>
      <c r="J51" s="71">
        <f t="shared" si="18"/>
        <v>-2364.0617013320734</v>
      </c>
      <c r="K51" s="71">
        <f t="shared" si="18"/>
        <v>-1943.6899950456245</v>
      </c>
      <c r="L51" s="71">
        <f t="shared" si="18"/>
        <v>-1500.1551434296416</v>
      </c>
      <c r="M51" s="71">
        <f t="shared" si="18"/>
        <v>-1454.2208910818736</v>
      </c>
      <c r="N51" s="71">
        <f t="shared" si="18"/>
        <v>-1326.1725714656932</v>
      </c>
      <c r="O51" s="71">
        <f t="shared" si="18"/>
        <v>-1238.1289547775523</v>
      </c>
      <c r="P51" s="71">
        <f t="shared" si="18"/>
        <v>-1225.0019279760454</v>
      </c>
    </row>
    <row r="52" spans="2:16" x14ac:dyDescent="0.3">
      <c r="B52" t="s">
        <v>431</v>
      </c>
      <c r="C52" t="s">
        <v>42</v>
      </c>
      <c r="D52" s="57"/>
      <c r="E52" s="57">
        <f t="shared" ref="E52:P52" si="19">E50/E11</f>
        <v>-0.20451575811425285</v>
      </c>
      <c r="F52" s="57">
        <f t="shared" si="19"/>
        <v>-0.28611725581602504</v>
      </c>
      <c r="G52" s="73">
        <f t="shared" si="19"/>
        <v>-0.25422534246575346</v>
      </c>
      <c r="H52" s="73">
        <f t="shared" si="19"/>
        <v>-0.22901506849315076</v>
      </c>
      <c r="I52" s="73">
        <f t="shared" si="19"/>
        <v>-0.21257979452054798</v>
      </c>
      <c r="J52" s="73">
        <f t="shared" si="19"/>
        <v>-0.20054452054794522</v>
      </c>
      <c r="K52" s="73">
        <f t="shared" si="19"/>
        <v>-0.19053424657534249</v>
      </c>
      <c r="L52" s="73">
        <f t="shared" si="19"/>
        <v>-0.18215924657534244</v>
      </c>
      <c r="M52" s="73">
        <f t="shared" si="19"/>
        <v>-0.17713424657534244</v>
      </c>
      <c r="N52" s="73">
        <f t="shared" si="19"/>
        <v>-0.17378424657534242</v>
      </c>
      <c r="O52" s="73">
        <f t="shared" si="19"/>
        <v>-0.17243424657534245</v>
      </c>
      <c r="P52" s="73">
        <f t="shared" si="19"/>
        <v>-0.17216424657534243</v>
      </c>
    </row>
    <row r="53" spans="2:16" x14ac:dyDescent="0.3">
      <c r="D53" s="49"/>
      <c r="E53" s="49"/>
      <c r="F53" s="49"/>
      <c r="G53" s="74"/>
      <c r="H53" s="74"/>
      <c r="I53" s="74"/>
      <c r="J53" s="74"/>
      <c r="K53" s="74"/>
      <c r="L53" s="74"/>
      <c r="M53" s="74"/>
      <c r="N53" s="74"/>
      <c r="O53" s="74"/>
      <c r="P53" s="74"/>
    </row>
    <row r="54" spans="2:16" x14ac:dyDescent="0.3">
      <c r="B54" s="5" t="s">
        <v>432</v>
      </c>
      <c r="C54" s="5"/>
      <c r="D54" s="67"/>
      <c r="E54" s="67"/>
      <c r="F54" s="67"/>
      <c r="G54" s="70"/>
      <c r="H54" s="70"/>
      <c r="I54" s="70"/>
      <c r="J54" s="70"/>
      <c r="K54" s="70"/>
      <c r="L54" s="70"/>
      <c r="M54" s="70"/>
      <c r="N54" s="70"/>
      <c r="O54" s="70"/>
      <c r="P54" s="70"/>
    </row>
    <row r="55" spans="2:16" x14ac:dyDescent="0.3">
      <c r="B55" t="s">
        <v>433</v>
      </c>
      <c r="C55" t="s">
        <v>42</v>
      </c>
      <c r="D55" s="57">
        <f>'03 Historical'!D33</f>
        <v>0.10850864491951281</v>
      </c>
      <c r="E55" s="57">
        <f>'03 Historical'!E33</f>
        <v>0.12125706214689265</v>
      </c>
      <c r="F55" s="57">
        <f>'03 Historical'!F33</f>
        <v>0.12616344481947428</v>
      </c>
      <c r="G55" s="73">
        <f>'02 Assumptions'!G57</f>
        <v>0.14000000000000001</v>
      </c>
      <c r="H55" s="73">
        <f>'02 Assumptions'!H57</f>
        <v>0.15</v>
      </c>
      <c r="I55" s="73">
        <f>'02 Assumptions'!I57</f>
        <v>0.16</v>
      </c>
      <c r="J55" s="73">
        <f>'02 Assumptions'!J57</f>
        <v>0.17</v>
      </c>
      <c r="K55" s="73">
        <f>'02 Assumptions'!K57</f>
        <v>0.18</v>
      </c>
      <c r="L55" s="73">
        <f>'02 Assumptions'!L57</f>
        <v>0.19</v>
      </c>
      <c r="M55" s="73">
        <f>'02 Assumptions'!M57</f>
        <v>0.19</v>
      </c>
      <c r="N55" s="73">
        <f>'02 Assumptions'!N57</f>
        <v>0.19</v>
      </c>
      <c r="O55" s="73">
        <f>'02 Assumptions'!O57</f>
        <v>0.19</v>
      </c>
      <c r="P55" s="73">
        <f>'02 Assumptions'!P57</f>
        <v>0.19</v>
      </c>
    </row>
    <row r="56" spans="2:16" x14ac:dyDescent="0.3">
      <c r="B56" t="s">
        <v>434</v>
      </c>
      <c r="C56" t="s">
        <v>95</v>
      </c>
      <c r="D56" s="62">
        <f t="shared" ref="D56:P56" si="20">D29*D55</f>
        <v>1743.8424325014905</v>
      </c>
      <c r="E56" s="62">
        <f t="shared" si="20"/>
        <v>2188.9324858757063</v>
      </c>
      <c r="F56" s="62">
        <f t="shared" si="20"/>
        <v>2831.6123555282807</v>
      </c>
      <c r="G56" s="71">
        <f t="shared" si="20"/>
        <v>3650.3615372000008</v>
      </c>
      <c r="H56" s="71">
        <f t="shared" si="20"/>
        <v>4635.1348719599982</v>
      </c>
      <c r="I56" s="71">
        <f t="shared" si="20"/>
        <v>5855.5459511059189</v>
      </c>
      <c r="J56" s="71">
        <f t="shared" si="20"/>
        <v>7312.8327416483999</v>
      </c>
      <c r="K56" s="71">
        <f t="shared" si="20"/>
        <v>8885.1526151660164</v>
      </c>
      <c r="L56" s="71">
        <f t="shared" si="20"/>
        <v>10618.093120213607</v>
      </c>
      <c r="M56" s="71">
        <f t="shared" si="20"/>
        <v>11684.729636602955</v>
      </c>
      <c r="N56" s="71">
        <f t="shared" si="20"/>
        <v>12660.992041447984</v>
      </c>
      <c r="O56" s="71">
        <f t="shared" si="20"/>
        <v>13420.340050703751</v>
      </c>
      <c r="P56" s="71">
        <f t="shared" si="20"/>
        <v>13902.715800137488</v>
      </c>
    </row>
    <row r="57" spans="2:16" x14ac:dyDescent="0.3">
      <c r="B57" s="76" t="s">
        <v>435</v>
      </c>
      <c r="C57" s="76" t="s">
        <v>95</v>
      </c>
      <c r="D57" s="77">
        <f t="shared" ref="D57:P57" si="21">D29-D56</f>
        <v>14327.157567498509</v>
      </c>
      <c r="E57" s="77">
        <f t="shared" si="21"/>
        <v>15863.067514124294</v>
      </c>
      <c r="F57" s="77">
        <f t="shared" si="21"/>
        <v>19612.387644471721</v>
      </c>
      <c r="G57" s="78">
        <f t="shared" si="21"/>
        <v>22423.649442800001</v>
      </c>
      <c r="H57" s="78">
        <f t="shared" si="21"/>
        <v>26265.764274439993</v>
      </c>
      <c r="I57" s="78">
        <f t="shared" si="21"/>
        <v>30741.616243306071</v>
      </c>
      <c r="J57" s="78">
        <f t="shared" si="21"/>
        <v>35703.830444518651</v>
      </c>
      <c r="K57" s="78">
        <f t="shared" si="21"/>
        <v>40476.806357978523</v>
      </c>
      <c r="L57" s="78">
        <f t="shared" si="21"/>
        <v>45266.607512489587</v>
      </c>
      <c r="M57" s="78">
        <f t="shared" si="21"/>
        <v>49813.847398149439</v>
      </c>
      <c r="N57" s="78">
        <f t="shared" si="21"/>
        <v>53975.808176699298</v>
      </c>
      <c r="O57" s="78">
        <f t="shared" si="21"/>
        <v>57213.028637210729</v>
      </c>
      <c r="P57" s="78">
        <f t="shared" si="21"/>
        <v>59269.472621638764</v>
      </c>
    </row>
    <row r="58" spans="2:16" x14ac:dyDescent="0.3">
      <c r="D58" s="49"/>
      <c r="E58" s="49"/>
      <c r="F58" s="49"/>
      <c r="G58" s="74"/>
      <c r="H58" s="74"/>
      <c r="I58" s="74"/>
      <c r="J58" s="74"/>
      <c r="K58" s="74"/>
      <c r="L58" s="74"/>
      <c r="M58" s="74"/>
      <c r="N58" s="74"/>
      <c r="O58" s="74"/>
      <c r="P58" s="74"/>
    </row>
    <row r="59" spans="2:16" x14ac:dyDescent="0.3">
      <c r="B59" s="79" t="s">
        <v>436</v>
      </c>
      <c r="C59" s="79"/>
      <c r="D59" s="80"/>
      <c r="E59" s="80"/>
      <c r="F59" s="80"/>
      <c r="G59" s="81"/>
      <c r="H59" s="81"/>
      <c r="I59" s="81"/>
      <c r="J59" s="81"/>
      <c r="K59" s="81"/>
      <c r="L59" s="81"/>
      <c r="M59" s="81"/>
      <c r="N59" s="81"/>
      <c r="O59" s="81"/>
      <c r="P59" s="81"/>
    </row>
    <row r="60" spans="2:16" x14ac:dyDescent="0.3">
      <c r="B60" s="13" t="s">
        <v>437</v>
      </c>
      <c r="C60" s="13" t="s">
        <v>95</v>
      </c>
      <c r="D60" s="82"/>
      <c r="E60" s="82"/>
      <c r="F60" s="82"/>
      <c r="G60" s="83">
        <f>SUM($G$7:G7)</f>
        <v>50983.5</v>
      </c>
      <c r="H60" s="83">
        <f>SUM($G$7:H7)</f>
        <v>121340.73</v>
      </c>
      <c r="I60" s="83">
        <f>SUM($G$7:I7)</f>
        <v>211397.98439999999</v>
      </c>
      <c r="J60" s="83">
        <f>SUM($G$7:J7)</f>
        <v>320367.26222399995</v>
      </c>
      <c r="K60" s="83">
        <f>SUM($G$7:K7)</f>
        <v>446771.62449983991</v>
      </c>
      <c r="L60" s="83">
        <f>SUM($G$7:L7)</f>
        <v>588344.51024878072</v>
      </c>
      <c r="M60" s="83">
        <f>SUM($G$7:M7)</f>
        <v>742658.95571512613</v>
      </c>
      <c r="N60" s="83">
        <f>SUM($G$7:N7)</f>
        <v>907775.41236411582</v>
      </c>
      <c r="O60" s="83">
        <f>SUM($G$7:O7)</f>
        <v>1081147.6918455549</v>
      </c>
      <c r="P60" s="83">
        <f>SUM($G$7:P7)</f>
        <v>1261454.8625062515</v>
      </c>
    </row>
    <row r="61" spans="2:16" x14ac:dyDescent="0.3">
      <c r="B61" s="13" t="s">
        <v>438</v>
      </c>
      <c r="C61" s="13" t="s">
        <v>95</v>
      </c>
      <c r="D61" s="82"/>
      <c r="E61" s="82"/>
      <c r="F61" s="82">
        <f>'03 Historical'!F117</f>
        <v>638000</v>
      </c>
      <c r="G61" s="83"/>
      <c r="H61" s="83"/>
      <c r="I61" s="83"/>
      <c r="J61" s="83"/>
      <c r="K61" s="83"/>
      <c r="L61" s="83"/>
      <c r="M61" s="83"/>
      <c r="N61" s="83"/>
      <c r="O61" s="83"/>
      <c r="P61" s="83"/>
    </row>
    <row r="62" spans="2:16" x14ac:dyDescent="0.3">
      <c r="B62" s="13" t="s">
        <v>439</v>
      </c>
      <c r="C62" s="13" t="s">
        <v>42</v>
      </c>
      <c r="D62" s="84"/>
      <c r="E62" s="84"/>
      <c r="F62" s="84"/>
      <c r="G62" s="85">
        <f t="shared" ref="G62:P62" si="22">G60/$F$61</f>
        <v>7.9911442006269595E-2</v>
      </c>
      <c r="H62" s="85">
        <f t="shared" si="22"/>
        <v>0.19018923197492163</v>
      </c>
      <c r="I62" s="85">
        <f t="shared" si="22"/>
        <v>0.3313448031347962</v>
      </c>
      <c r="J62" s="85">
        <f t="shared" si="22"/>
        <v>0.50214304423824441</v>
      </c>
      <c r="K62" s="85">
        <f t="shared" si="22"/>
        <v>0.70026900391824431</v>
      </c>
      <c r="L62" s="85">
        <f t="shared" si="22"/>
        <v>0.92217007875984436</v>
      </c>
      <c r="M62" s="85">
        <f t="shared" si="22"/>
        <v>1.1640422503371883</v>
      </c>
      <c r="N62" s="85">
        <f t="shared" si="22"/>
        <v>1.4228454739249465</v>
      </c>
      <c r="O62" s="85">
        <f t="shared" si="22"/>
        <v>1.6945888586920923</v>
      </c>
      <c r="P62" s="85">
        <f t="shared" si="22"/>
        <v>1.977201978849924</v>
      </c>
    </row>
    <row r="63" spans="2:16" x14ac:dyDescent="0.3">
      <c r="B63" s="13" t="s">
        <v>440</v>
      </c>
      <c r="C63" s="13" t="s">
        <v>95</v>
      </c>
      <c r="D63" s="82"/>
      <c r="E63" s="82">
        <f>'03 Historical'!E48+E50+'03 Historical'!E50+'03 Historical'!E49</f>
        <v>107135</v>
      </c>
      <c r="F63" s="82">
        <f>'03 Historical'!F48+F50+'03 Historical'!F50+'03 Historical'!F49</f>
        <v>172636</v>
      </c>
      <c r="G63" s="83">
        <f>G37+G50+'03 Historical'!$F$50+'03 Historical'!$F$49</f>
        <v>205539.42410278085</v>
      </c>
      <c r="H63" s="83">
        <f>H37+H50+'03 Historical'!$F$50+'03 Historical'!$F$49</f>
        <v>225412.22406358371</v>
      </c>
      <c r="I63" s="83">
        <f>I37+I50+'03 Historical'!$F$50+'03 Historical'!$F$49</f>
        <v>235814.24760089268</v>
      </c>
      <c r="J63" s="83">
        <f>J37+J50+'03 Historical'!$F$50+'03 Historical'!$F$49</f>
        <v>240384.67867267036</v>
      </c>
      <c r="K63" s="83">
        <f>K37+K50+'03 Historical'!$F$50+'03 Historical'!$F$49</f>
        <v>240450.53030599293</v>
      </c>
      <c r="L63" s="83">
        <f>L37+L50+'03 Historical'!$F$50+'03 Historical'!$F$49</f>
        <v>239741.87344335293</v>
      </c>
      <c r="M63" s="83">
        <f>M37+M50+'03 Historical'!$F$50+'03 Historical'!$F$49</f>
        <v>238935.23981636431</v>
      </c>
      <c r="N63" s="83">
        <f>N37+N50+'03 Historical'!$F$50+'03 Historical'!$F$49</f>
        <v>238608.8000309123</v>
      </c>
      <c r="O63" s="83">
        <f>O37+O50+'03 Historical'!$F$50+'03 Historical'!$F$49</f>
        <v>238287.32495005822</v>
      </c>
      <c r="P63" s="83">
        <f>P37+P50+'03 Historical'!$F$50+'03 Historical'!$F$49</f>
        <v>238294.29313437239</v>
      </c>
    </row>
    <row r="64" spans="2:16" x14ac:dyDescent="0.3">
      <c r="B64" s="13" t="s">
        <v>441</v>
      </c>
      <c r="C64" s="13" t="s">
        <v>42</v>
      </c>
      <c r="D64" s="84"/>
      <c r="E64" s="84"/>
      <c r="F64" s="84">
        <f t="shared" ref="F64:P64" si="23">F57/AVERAGE(E63:F63)</f>
        <v>0.14020314932192202</v>
      </c>
      <c r="G64" s="85">
        <f t="shared" si="23"/>
        <v>0.11858861265773675</v>
      </c>
      <c r="H64" s="85">
        <f t="shared" si="23"/>
        <v>0.12189657185996124</v>
      </c>
      <c r="I64" s="85">
        <f t="shared" si="23"/>
        <v>0.13330378081884839</v>
      </c>
      <c r="J64" s="85">
        <f t="shared" si="23"/>
        <v>0.14995342691725344</v>
      </c>
      <c r="K64" s="85">
        <f t="shared" si="23"/>
        <v>0.16836040956299708</v>
      </c>
      <c r="L64" s="85">
        <f t="shared" si="23"/>
        <v>0.18853529193318169</v>
      </c>
      <c r="M64" s="85">
        <f t="shared" si="23"/>
        <v>0.20813131030612611</v>
      </c>
      <c r="N64" s="85">
        <f t="shared" si="23"/>
        <v>0.2260558343224692</v>
      </c>
      <c r="O64" s="85">
        <f t="shared" si="23"/>
        <v>0.23993916343729441</v>
      </c>
      <c r="P64" s="85">
        <f t="shared" si="23"/>
        <v>0.24872748076128551</v>
      </c>
    </row>
    <row r="65" spans="2:16" x14ac:dyDescent="0.3">
      <c r="B65" s="13" t="s">
        <v>442</v>
      </c>
      <c r="C65" s="13" t="s">
        <v>95</v>
      </c>
      <c r="D65" s="82"/>
      <c r="E65" s="82"/>
      <c r="F65" s="82"/>
      <c r="G65" s="83">
        <f t="shared" ref="G65:P65" si="24">G34+G51-G38</f>
        <v>31603.424102780824</v>
      </c>
      <c r="H65" s="83">
        <f t="shared" si="24"/>
        <v>18872.799960802877</v>
      </c>
      <c r="I65" s="83">
        <f t="shared" si="24"/>
        <v>9652.0235373089563</v>
      </c>
      <c r="J65" s="83">
        <f t="shared" si="24"/>
        <v>4020.4310717777007</v>
      </c>
      <c r="K65" s="83">
        <f t="shared" si="24"/>
        <v>-334.14836667741838</v>
      </c>
      <c r="L65" s="83">
        <f t="shared" si="24"/>
        <v>-1008.6568626399931</v>
      </c>
      <c r="M65" s="83">
        <f t="shared" si="24"/>
        <v>-1026.6336269886378</v>
      </c>
      <c r="N65" s="83">
        <f t="shared" si="24"/>
        <v>-486.43978545201026</v>
      </c>
      <c r="O65" s="83">
        <f t="shared" si="24"/>
        <v>-441.47508085408845</v>
      </c>
      <c r="P65" s="83">
        <f t="shared" si="24"/>
        <v>-83.031815685833863</v>
      </c>
    </row>
    <row r="66" spans="2:16" x14ac:dyDescent="0.3">
      <c r="B66" s="13" t="s">
        <v>443</v>
      </c>
      <c r="C66" s="13" t="s">
        <v>42</v>
      </c>
      <c r="D66" s="84"/>
      <c r="E66" s="84"/>
      <c r="F66" s="84"/>
      <c r="G66" s="85">
        <f t="shared" ref="G66:P66" si="25">IFERROR(G65/G57,"n/a")</f>
        <v>1.4093791549585768</v>
      </c>
      <c r="H66" s="85">
        <f t="shared" si="25"/>
        <v>0.71853229792245443</v>
      </c>
      <c r="I66" s="85">
        <f t="shared" si="25"/>
        <v>0.31397254656090717</v>
      </c>
      <c r="J66" s="85">
        <f t="shared" si="25"/>
        <v>0.11260503485823965</v>
      </c>
      <c r="K66" s="85">
        <f t="shared" si="25"/>
        <v>-8.2553046236453695E-3</v>
      </c>
      <c r="L66" s="85">
        <f t="shared" si="25"/>
        <v>-2.2282581312542425E-2</v>
      </c>
      <c r="M66" s="85">
        <f t="shared" si="25"/>
        <v>-2.0609402417424535E-2</v>
      </c>
      <c r="N66" s="85">
        <f t="shared" si="25"/>
        <v>-9.0121816029055841E-3</v>
      </c>
      <c r="O66" s="85">
        <f t="shared" si="25"/>
        <v>-7.7163382427015564E-3</v>
      </c>
      <c r="P66" s="85">
        <f t="shared" si="25"/>
        <v>-1.400920440373881E-3</v>
      </c>
    </row>
    <row r="67" spans="2:16" x14ac:dyDescent="0.3">
      <c r="B67" s="13" t="s">
        <v>444</v>
      </c>
      <c r="C67" s="13" t="s">
        <v>42</v>
      </c>
      <c r="D67" s="84"/>
      <c r="E67" s="84"/>
      <c r="F67" s="84"/>
      <c r="G67" s="85">
        <f t="shared" ref="G67:P67" si="26">IFERROR(G66*G64,"n/a")</f>
        <v>0.16713631869527101</v>
      </c>
      <c r="H67" s="85">
        <f t="shared" si="26"/>
        <v>8.7586623887407539E-2</v>
      </c>
      <c r="I67" s="85">
        <f t="shared" si="26"/>
        <v>4.185372752989084E-2</v>
      </c>
      <c r="J67" s="85">
        <f t="shared" si="26"/>
        <v>1.6885510865129814E-2</v>
      </c>
      <c r="K67" s="85">
        <f t="shared" si="26"/>
        <v>-1.3898664675042378E-3</v>
      </c>
      <c r="L67" s="85">
        <f t="shared" si="26"/>
        <v>-4.2010529727850446E-3</v>
      </c>
      <c r="M67" s="85">
        <f t="shared" si="26"/>
        <v>-4.2894619297648116E-3</v>
      </c>
      <c r="N67" s="85">
        <f t="shared" si="26"/>
        <v>-2.0372562313104295E-3</v>
      </c>
      <c r="O67" s="85">
        <f t="shared" si="26"/>
        <v>-1.8514517427530139E-3</v>
      </c>
      <c r="P67" s="85">
        <f t="shared" si="26"/>
        <v>-3.4844741188118611E-4</v>
      </c>
    </row>
    <row r="68" spans="2:16" x14ac:dyDescent="0.3">
      <c r="B68" s="13" t="s">
        <v>445</v>
      </c>
      <c r="C68" s="13" t="s">
        <v>42</v>
      </c>
      <c r="D68" s="84"/>
      <c r="E68" s="84"/>
      <c r="F68" s="84"/>
      <c r="G68" s="85">
        <f t="shared" ref="G68:P68" si="27">G12</f>
        <v>0.25821013406179039</v>
      </c>
      <c r="H68" s="85">
        <f t="shared" si="27"/>
        <v>0.23011462754955003</v>
      </c>
      <c r="I68" s="85">
        <f t="shared" si="27"/>
        <v>0.19017168683023211</v>
      </c>
      <c r="J68" s="85">
        <f t="shared" si="27"/>
        <v>0.15502026058734963</v>
      </c>
      <c r="K68" s="85">
        <f t="shared" si="27"/>
        <v>0.12372042522106308</v>
      </c>
      <c r="L68" s="85">
        <f t="shared" si="27"/>
        <v>9.7114517243827025E-2</v>
      </c>
      <c r="M68" s="85">
        <f t="shared" si="27"/>
        <v>7.4834486204066186E-2</v>
      </c>
      <c r="N68" s="85">
        <f t="shared" si="27"/>
        <v>5.9461139417856579E-2</v>
      </c>
      <c r="O68" s="85">
        <f t="shared" si="27"/>
        <v>4.3517282499254462E-2</v>
      </c>
      <c r="P68" s="85">
        <f t="shared" si="27"/>
        <v>3.5458661267817826E-2</v>
      </c>
    </row>
    <row r="69" spans="2:16" x14ac:dyDescent="0.3">
      <c r="B69" s="13" t="s">
        <v>1662</v>
      </c>
      <c r="C69" s="13" t="s">
        <v>42</v>
      </c>
      <c r="D69" s="84"/>
      <c r="E69" s="84"/>
      <c r="F69" s="84"/>
      <c r="G69" s="85">
        <f t="shared" ref="G69:P69" si="28">IFERROR(G67-G68,"n/a")</f>
        <v>-9.1073815366519373E-2</v>
      </c>
      <c r="H69" s="85">
        <f t="shared" si="28"/>
        <v>-0.14252800366214249</v>
      </c>
      <c r="I69" s="85">
        <f t="shared" si="28"/>
        <v>-0.14831795930034128</v>
      </c>
      <c r="J69" s="85">
        <f t="shared" si="28"/>
        <v>-0.13813474972221981</v>
      </c>
      <c r="K69" s="85">
        <f t="shared" si="28"/>
        <v>-0.12511029168856733</v>
      </c>
      <c r="L69" s="85">
        <f t="shared" si="28"/>
        <v>-0.10131557021661207</v>
      </c>
      <c r="M69" s="85">
        <f t="shared" si="28"/>
        <v>-7.9123948133831001E-2</v>
      </c>
      <c r="N69" s="85">
        <f t="shared" si="28"/>
        <v>-6.1498395649167009E-2</v>
      </c>
      <c r="O69" s="85">
        <f t="shared" si="28"/>
        <v>-4.5368734242007477E-2</v>
      </c>
      <c r="P69" s="85">
        <f t="shared" si="28"/>
        <v>-3.580710867969901E-2</v>
      </c>
    </row>
    <row r="70" spans="2:16" x14ac:dyDescent="0.3">
      <c r="B70" s="13" t="s">
        <v>446</v>
      </c>
      <c r="C70" s="13" t="s">
        <v>95</v>
      </c>
      <c r="D70" s="82"/>
      <c r="E70" s="82"/>
      <c r="F70" s="82"/>
      <c r="G70" s="83">
        <f>'06 DCF'!G15</f>
        <v>-9779.7746599808233</v>
      </c>
      <c r="H70" s="83">
        <f>'06 DCF'!H15</f>
        <v>6942.964313637116</v>
      </c>
      <c r="I70" s="83">
        <f>'06 DCF'!I15</f>
        <v>20739.592705997118</v>
      </c>
      <c r="J70" s="83">
        <f>'06 DCF'!J15</f>
        <v>31383.399372740951</v>
      </c>
      <c r="K70" s="83">
        <f>'06 DCF'!K15</f>
        <v>40560.954724655938</v>
      </c>
      <c r="L70" s="83">
        <f>'06 DCF'!L15</f>
        <v>46025.264375129584</v>
      </c>
      <c r="M70" s="83">
        <f>'06 DCF'!M15</f>
        <v>50590.48102513807</v>
      </c>
      <c r="N70" s="83">
        <f>'06 DCF'!N15</f>
        <v>54212.247962151319</v>
      </c>
      <c r="O70" s="83">
        <f>'06 DCF'!O15</f>
        <v>57404.503718064821</v>
      </c>
      <c r="P70" s="83">
        <f>'06 DCF'!P15</f>
        <v>59102.504437324606</v>
      </c>
    </row>
    <row r="71" spans="2:16" x14ac:dyDescent="0.3">
      <c r="B71" s="22" t="s">
        <v>1681</v>
      </c>
      <c r="C71" s="22" t="s">
        <v>95</v>
      </c>
      <c r="D71" s="22"/>
      <c r="E71" s="22"/>
      <c r="F71" s="22"/>
      <c r="G71" s="23">
        <f>'02 Assumptions'!G49*(G34-F34)</f>
        <v>-649.81493999999952</v>
      </c>
      <c r="H71" s="23">
        <f>'02 Assumptions'!H49*(H34-G34)</f>
        <v>-1235.1196224000003</v>
      </c>
      <c r="I71" s="23">
        <f>'02 Assumptions'!I49*(I34-H34)</f>
        <v>-939.46169690640068</v>
      </c>
      <c r="J71" s="23">
        <f>'02 Assumptions'!J49*(J34-I34)</f>
        <v>-627.23077579940434</v>
      </c>
      <c r="K71" s="23">
        <f>'02 Assumptions'!K49*(K34-J34)</f>
        <v>-584.37209492681041</v>
      </c>
      <c r="L71" s="23">
        <f>'02 Assumptions'!L49*(L34-K34)</f>
        <v>-139.22649274068453</v>
      </c>
      <c r="M71" s="23">
        <f>'02 Assumptions'!M49*(M34-L34)</f>
        <v>-6.4762173500702014</v>
      </c>
      <c r="N71" s="23">
        <f>'02 Assumptions'!N49*(N34-M34)</f>
        <v>62.365525910223134</v>
      </c>
      <c r="O71" s="23">
        <f>'02 Assumptions'!O49*(O34-N34)</f>
        <v>6.0318268072545473</v>
      </c>
      <c r="P71" s="23">
        <f>'02 Assumptions'!P49*(P34-O34)</f>
        <v>61.905308055434219</v>
      </c>
    </row>
    <row r="72" spans="2:16" ht="115.2" x14ac:dyDescent="0.3">
      <c r="B72" s="114" t="s">
        <v>1682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34F3-FA94-4748-9DE7-C9B1D9E9A65C}">
  <dimension ref="A1:P94"/>
  <sheetViews>
    <sheetView workbookViewId="0">
      <pane xSplit="3" topLeftCell="D1" activePane="topRight" state="frozen"/>
      <selection pane="topRight"/>
    </sheetView>
  </sheetViews>
  <sheetFormatPr baseColWidth="10" defaultRowHeight="14.4" x14ac:dyDescent="0.3"/>
  <cols>
    <col min="2" max="2" width="79.6640625" customWidth="1"/>
    <col min="3" max="3" width="10.21875" customWidth="1"/>
    <col min="4" max="16" width="16.33203125" customWidth="1"/>
  </cols>
  <sheetData>
    <row r="1" spans="1:16" ht="18" x14ac:dyDescent="0.35">
      <c r="A1" s="4" t="s">
        <v>621</v>
      </c>
    </row>
    <row r="2" spans="1:16" x14ac:dyDescent="0.3">
      <c r="A2" s="90" t="s">
        <v>622</v>
      </c>
    </row>
    <row r="4" spans="1:16"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6" x14ac:dyDescent="0.3">
      <c r="B6" s="5" t="s">
        <v>93</v>
      </c>
      <c r="C6" s="5"/>
      <c r="D6" s="5"/>
      <c r="E6" s="5"/>
      <c r="F6" s="5"/>
      <c r="G6" s="5"/>
      <c r="H6" s="5"/>
      <c r="I6" s="5"/>
      <c r="J6" s="5"/>
      <c r="K6" s="5"/>
      <c r="L6" s="5"/>
      <c r="M6" s="5"/>
      <c r="N6" s="5"/>
      <c r="O6" s="5"/>
      <c r="P6" s="5"/>
    </row>
    <row r="7" spans="1:16" x14ac:dyDescent="0.3">
      <c r="B7" t="s">
        <v>593</v>
      </c>
      <c r="C7" t="s">
        <v>95</v>
      </c>
      <c r="D7" s="17"/>
      <c r="E7" s="17"/>
      <c r="F7" s="17"/>
      <c r="G7" s="17">
        <f>'04 Operating Model'!G11</f>
        <v>84749.260000000009</v>
      </c>
      <c r="H7" s="17">
        <f>'04 Operating Model'!H11</f>
        <v>104251.30439999999</v>
      </c>
      <c r="I7" s="17">
        <f>'04 Operating Model'!I11</f>
        <v>124076.950812</v>
      </c>
      <c r="J7" s="17">
        <f>'04 Operating Model'!J11</f>
        <v>143311.39205975999</v>
      </c>
      <c r="K7" s="17">
        <f>'04 Operating Model'!K11</f>
        <v>161041.93842441597</v>
      </c>
      <c r="L7" s="17">
        <f>'04 Operating Model'!L11</f>
        <v>176681.44853051324</v>
      </c>
      <c r="M7" s="17">
        <f>'04 Operating Model'!M11</f>
        <v>189903.31395308435</v>
      </c>
      <c r="N7" s="17">
        <f>'04 Operating Model'!N11</f>
        <v>201195.18137996169</v>
      </c>
      <c r="O7" s="17">
        <f>'04 Operating Model'!O11</f>
        <v>209950.64892556224</v>
      </c>
      <c r="P7" s="17">
        <f>'04 Operating Model'!P11</f>
        <v>217395.21786877228</v>
      </c>
    </row>
    <row r="8" spans="1:16" x14ac:dyDescent="0.3">
      <c r="B8" t="s">
        <v>410</v>
      </c>
      <c r="C8" t="s">
        <v>95</v>
      </c>
      <c r="D8" s="17"/>
      <c r="E8" s="17"/>
      <c r="F8" s="17"/>
      <c r="G8" s="17">
        <f>'04 Operating Model'!G18</f>
        <v>33052.211400000007</v>
      </c>
      <c r="H8" s="17">
        <f>'04 Operating Model'!H18</f>
        <v>43785.547848000002</v>
      </c>
      <c r="I8" s="17">
        <f>'04 Operating Model'!I18</f>
        <v>53973.473603220002</v>
      </c>
      <c r="J8" s="17">
        <f>'04 Operating Model'!J18</f>
        <v>63057.012506294384</v>
      </c>
      <c r="K8" s="17">
        <f>'04 Operating Model'!K18</f>
        <v>70858.452906743027</v>
      </c>
      <c r="L8" s="17">
        <f>'04 Operating Model'!L18</f>
        <v>76856.430110773275</v>
      </c>
      <c r="M8" s="17">
        <f>'04 Operating Model'!M18</f>
        <v>81658.424999826282</v>
      </c>
      <c r="N8" s="17">
        <f>'04 Operating Model'!N18</f>
        <v>85507.952086483725</v>
      </c>
      <c r="O8" s="17">
        <f>'04 Operating Model'!O18</f>
        <v>88179.272548736146</v>
      </c>
      <c r="P8" s="17">
        <f>'04 Operating Model'!P18</f>
        <v>91305.991504884369</v>
      </c>
    </row>
    <row r="9" spans="1:16" x14ac:dyDescent="0.3">
      <c r="B9" s="3" t="s">
        <v>623</v>
      </c>
      <c r="C9" s="3" t="s">
        <v>95</v>
      </c>
      <c r="D9" s="18"/>
      <c r="E9" s="18"/>
      <c r="F9" s="18"/>
      <c r="G9" s="18">
        <f t="shared" ref="G9:P9" si="0">G7-G8</f>
        <v>51697.048600000002</v>
      </c>
      <c r="H9" s="18">
        <f t="shared" si="0"/>
        <v>60465.756551999992</v>
      </c>
      <c r="I9" s="18">
        <f t="shared" si="0"/>
        <v>70103.477208779994</v>
      </c>
      <c r="J9" s="18">
        <f t="shared" si="0"/>
        <v>80254.379553465609</v>
      </c>
      <c r="K9" s="18">
        <f t="shared" si="0"/>
        <v>90183.485517672947</v>
      </c>
      <c r="L9" s="18">
        <f t="shared" si="0"/>
        <v>99825.018419739965</v>
      </c>
      <c r="M9" s="18">
        <f t="shared" si="0"/>
        <v>108244.88895325807</v>
      </c>
      <c r="N9" s="18">
        <f t="shared" si="0"/>
        <v>115687.22929347797</v>
      </c>
      <c r="O9" s="18">
        <f t="shared" si="0"/>
        <v>121771.3763768261</v>
      </c>
      <c r="P9" s="18">
        <f t="shared" si="0"/>
        <v>126089.22636388791</v>
      </c>
    </row>
    <row r="10" spans="1:16" x14ac:dyDescent="0.3">
      <c r="B10" t="s">
        <v>624</v>
      </c>
      <c r="C10" t="s">
        <v>95</v>
      </c>
      <c r="D10" s="17"/>
      <c r="E10" s="17"/>
      <c r="F10" s="17"/>
      <c r="G10" s="17">
        <f>'04 Operating Model'!G26</f>
        <v>26223.037619999999</v>
      </c>
      <c r="H10" s="17">
        <f>'04 Operating Model'!H26</f>
        <v>30014.8574056</v>
      </c>
      <c r="I10" s="17">
        <f>'04 Operating Model'!I26</f>
        <v>33856.315014368003</v>
      </c>
      <c r="J10" s="17">
        <f>'04 Operating Model'!J26</f>
        <v>37537.716367298555</v>
      </c>
      <c r="K10" s="17">
        <f>'04 Operating Model'!K26</f>
        <v>41071.526544528409</v>
      </c>
      <c r="L10" s="17">
        <f>'04 Operating Model'!L26</f>
        <v>44190.317787036773</v>
      </c>
      <c r="M10" s="17">
        <f>'04 Operating Model'!M26</f>
        <v>46996.311918505671</v>
      </c>
      <c r="N10" s="17">
        <f>'04 Operating Model'!N26</f>
        <v>49300.429075330692</v>
      </c>
      <c r="O10" s="17">
        <f>'04 Operating Model'!O26</f>
        <v>51388.007688911624</v>
      </c>
      <c r="P10" s="17">
        <f>'04 Operating Model'!P26</f>
        <v>53167.03794211166</v>
      </c>
    </row>
    <row r="11" spans="1:16" x14ac:dyDescent="0.3">
      <c r="B11" s="3" t="s">
        <v>415</v>
      </c>
      <c r="C11" s="3" t="s">
        <v>95</v>
      </c>
      <c r="D11" s="18"/>
      <c r="E11" s="18"/>
      <c r="F11" s="18"/>
      <c r="G11" s="18">
        <f t="shared" ref="G11:P11" si="1">G9-G10</f>
        <v>25474.010980000003</v>
      </c>
      <c r="H11" s="18">
        <f t="shared" si="1"/>
        <v>30450.899146399992</v>
      </c>
      <c r="I11" s="18">
        <f t="shared" si="1"/>
        <v>36247.162194411991</v>
      </c>
      <c r="J11" s="18">
        <f t="shared" si="1"/>
        <v>42716.663186167054</v>
      </c>
      <c r="K11" s="18">
        <f t="shared" si="1"/>
        <v>49111.958973144538</v>
      </c>
      <c r="L11" s="18">
        <f t="shared" si="1"/>
        <v>55634.700632703192</v>
      </c>
      <c r="M11" s="18">
        <f t="shared" si="1"/>
        <v>61248.577034752394</v>
      </c>
      <c r="N11" s="18">
        <f t="shared" si="1"/>
        <v>66386.800218147284</v>
      </c>
      <c r="O11" s="18">
        <f t="shared" si="1"/>
        <v>70383.368687914481</v>
      </c>
      <c r="P11" s="18">
        <f t="shared" si="1"/>
        <v>72922.188421776256</v>
      </c>
    </row>
    <row r="12" spans="1:16" x14ac:dyDescent="0.3">
      <c r="B12" t="s">
        <v>625</v>
      </c>
      <c r="C12" t="s">
        <v>95</v>
      </c>
      <c r="D12" s="17"/>
      <c r="E12" s="17"/>
      <c r="F12" s="17"/>
      <c r="G12" s="17">
        <f t="shared" ref="G12:P12" si="2">G26</f>
        <v>5829.3449999999993</v>
      </c>
      <c r="H12" s="17">
        <f t="shared" si="2"/>
        <v>5499.2873713495683</v>
      </c>
      <c r="I12" s="17">
        <f t="shared" si="2"/>
        <v>5290.2393325465782</v>
      </c>
      <c r="J12" s="17">
        <f t="shared" si="2"/>
        <v>4817.0895223800489</v>
      </c>
      <c r="K12" s="17">
        <f t="shared" si="2"/>
        <v>3957.3876078188587</v>
      </c>
      <c r="L12" s="17">
        <f t="shared" si="2"/>
        <v>2681.3035609119079</v>
      </c>
      <c r="M12" s="17">
        <f t="shared" si="2"/>
        <v>1055.994301924665</v>
      </c>
      <c r="N12" s="17">
        <f t="shared" si="2"/>
        <v>0</v>
      </c>
      <c r="O12" s="17">
        <f t="shared" si="2"/>
        <v>0</v>
      </c>
      <c r="P12" s="17">
        <f t="shared" si="2"/>
        <v>0</v>
      </c>
    </row>
    <row r="13" spans="1:16" x14ac:dyDescent="0.3">
      <c r="B13" t="s">
        <v>626</v>
      </c>
      <c r="C13" t="s">
        <v>95</v>
      </c>
      <c r="D13" s="17"/>
      <c r="E13" s="17"/>
      <c r="F13" s="17"/>
      <c r="G13" s="17">
        <f>0</f>
        <v>0</v>
      </c>
      <c r="H13" s="17">
        <f>0</f>
        <v>0</v>
      </c>
      <c r="I13" s="17">
        <f>0</f>
        <v>0</v>
      </c>
      <c r="J13" s="17">
        <f>0</f>
        <v>0</v>
      </c>
      <c r="K13" s="17">
        <f>0</f>
        <v>0</v>
      </c>
      <c r="L13" s="17">
        <f>0</f>
        <v>0</v>
      </c>
      <c r="M13" s="17">
        <f>0</f>
        <v>0</v>
      </c>
      <c r="N13" s="17">
        <f>0</f>
        <v>0</v>
      </c>
      <c r="O13" s="17">
        <f>0</f>
        <v>0</v>
      </c>
      <c r="P13" s="17">
        <f>0</f>
        <v>0</v>
      </c>
    </row>
    <row r="14" spans="1:16" x14ac:dyDescent="0.3">
      <c r="B14" s="3" t="s">
        <v>116</v>
      </c>
      <c r="C14" s="3" t="s">
        <v>95</v>
      </c>
      <c r="D14" s="18"/>
      <c r="E14" s="18"/>
      <c r="F14" s="18"/>
      <c r="G14" s="18">
        <f t="shared" ref="G14:P14" si="3">G11-G12+G13</f>
        <v>19644.665980000005</v>
      </c>
      <c r="H14" s="18">
        <f t="shared" si="3"/>
        <v>24951.611775050424</v>
      </c>
      <c r="I14" s="18">
        <f t="shared" si="3"/>
        <v>30956.922861865412</v>
      </c>
      <c r="J14" s="18">
        <f t="shared" si="3"/>
        <v>37899.573663787007</v>
      </c>
      <c r="K14" s="18">
        <f t="shared" si="3"/>
        <v>45154.571365325683</v>
      </c>
      <c r="L14" s="18">
        <f t="shared" si="3"/>
        <v>52953.397071791282</v>
      </c>
      <c r="M14" s="18">
        <f t="shared" si="3"/>
        <v>60192.58273282773</v>
      </c>
      <c r="N14" s="18">
        <f t="shared" si="3"/>
        <v>66386.800218147284</v>
      </c>
      <c r="O14" s="18">
        <f t="shared" si="3"/>
        <v>70383.368687914481</v>
      </c>
      <c r="P14" s="18">
        <f t="shared" si="3"/>
        <v>72922.188421776256</v>
      </c>
    </row>
    <row r="15" spans="1:16" x14ac:dyDescent="0.3">
      <c r="B15" t="s">
        <v>627</v>
      </c>
      <c r="C15" t="s">
        <v>95</v>
      </c>
      <c r="D15" s="17"/>
      <c r="E15" s="17"/>
      <c r="F15" s="17"/>
      <c r="G15" s="17">
        <f>G14*'04 Operating Model'!G55</f>
        <v>2750.253237200001</v>
      </c>
      <c r="H15" s="17">
        <f>H14*'04 Operating Model'!H55</f>
        <v>3742.7417662575635</v>
      </c>
      <c r="I15" s="17">
        <f>I14*'04 Operating Model'!I55</f>
        <v>4953.1076578984657</v>
      </c>
      <c r="J15" s="17">
        <f>J14*'04 Operating Model'!J55</f>
        <v>6442.9275228437918</v>
      </c>
      <c r="K15" s="17">
        <f>K14*'04 Operating Model'!K55</f>
        <v>8127.8228457586229</v>
      </c>
      <c r="L15" s="17">
        <f>L14*'04 Operating Model'!L55</f>
        <v>10061.145443640344</v>
      </c>
      <c r="M15" s="17">
        <f>M14*'04 Operating Model'!M55</f>
        <v>11436.590719237269</v>
      </c>
      <c r="N15" s="17">
        <f>N14*'04 Operating Model'!N55</f>
        <v>12613.492041447984</v>
      </c>
      <c r="O15" s="17">
        <f>O14*'04 Operating Model'!O55</f>
        <v>13372.840050703751</v>
      </c>
      <c r="P15" s="17">
        <f>P14*'04 Operating Model'!P55</f>
        <v>13855.215800137488</v>
      </c>
    </row>
    <row r="16" spans="1:16" x14ac:dyDescent="0.3">
      <c r="B16" s="3" t="s">
        <v>628</v>
      </c>
      <c r="C16" s="3" t="s">
        <v>95</v>
      </c>
      <c r="D16" s="18"/>
      <c r="E16" s="18"/>
      <c r="F16" s="18"/>
      <c r="G16" s="18">
        <f t="shared" ref="G16:P16" si="4">G14-G15</f>
        <v>16894.412742800003</v>
      </c>
      <c r="H16" s="18">
        <f t="shared" si="4"/>
        <v>21208.870008792859</v>
      </c>
      <c r="I16" s="18">
        <f t="shared" si="4"/>
        <v>26003.815203966948</v>
      </c>
      <c r="J16" s="18">
        <f t="shared" si="4"/>
        <v>31456.646140943216</v>
      </c>
      <c r="K16" s="18">
        <f t="shared" si="4"/>
        <v>37026.74851956706</v>
      </c>
      <c r="L16" s="18">
        <f t="shared" si="4"/>
        <v>42892.251628150938</v>
      </c>
      <c r="M16" s="18">
        <f t="shared" si="4"/>
        <v>48755.992013590461</v>
      </c>
      <c r="N16" s="18">
        <f t="shared" si="4"/>
        <v>53773.308176699298</v>
      </c>
      <c r="O16" s="18">
        <f t="shared" si="4"/>
        <v>57010.528637210729</v>
      </c>
      <c r="P16" s="18">
        <f t="shared" si="4"/>
        <v>59066.972621638764</v>
      </c>
    </row>
    <row r="17" spans="2:16" x14ac:dyDescent="0.3">
      <c r="B17" t="s">
        <v>629</v>
      </c>
      <c r="C17" t="s">
        <v>95</v>
      </c>
      <c r="D17" s="17"/>
      <c r="E17" s="17"/>
      <c r="F17" s="17"/>
      <c r="G17" s="17">
        <f t="shared" ref="G17:P17" si="5">G93</f>
        <v>322.01</v>
      </c>
      <c r="H17" s="17">
        <f t="shared" si="5"/>
        <v>322.01</v>
      </c>
      <c r="I17" s="17">
        <f t="shared" si="5"/>
        <v>322.01</v>
      </c>
      <c r="J17" s="17">
        <f t="shared" si="5"/>
        <v>322.01</v>
      </c>
      <c r="K17" s="17">
        <f t="shared" si="5"/>
        <v>322.01</v>
      </c>
      <c r="L17" s="17">
        <f t="shared" si="5"/>
        <v>322.01</v>
      </c>
      <c r="M17" s="17">
        <f t="shared" si="5"/>
        <v>322.01</v>
      </c>
      <c r="N17" s="17">
        <f t="shared" si="5"/>
        <v>322.01</v>
      </c>
      <c r="O17" s="17">
        <f t="shared" si="5"/>
        <v>322.01</v>
      </c>
      <c r="P17" s="17">
        <f t="shared" si="5"/>
        <v>322.01</v>
      </c>
    </row>
    <row r="18" spans="2:16" x14ac:dyDescent="0.3">
      <c r="B18" s="3" t="s">
        <v>630</v>
      </c>
      <c r="C18" s="3" t="s">
        <v>95</v>
      </c>
      <c r="D18" s="18"/>
      <c r="E18" s="18"/>
      <c r="F18" s="18"/>
      <c r="G18" s="18">
        <f t="shared" ref="G18:P18" si="6">G16-G17</f>
        <v>16572.402742800004</v>
      </c>
      <c r="H18" s="18">
        <f t="shared" si="6"/>
        <v>20886.860008792861</v>
      </c>
      <c r="I18" s="18">
        <f t="shared" si="6"/>
        <v>25681.805203966949</v>
      </c>
      <c r="J18" s="18">
        <f t="shared" si="6"/>
        <v>31134.636140943217</v>
      </c>
      <c r="K18" s="18">
        <f t="shared" si="6"/>
        <v>36704.738519567058</v>
      </c>
      <c r="L18" s="18">
        <f t="shared" si="6"/>
        <v>42570.241628150936</v>
      </c>
      <c r="M18" s="18">
        <f t="shared" si="6"/>
        <v>48433.982013590459</v>
      </c>
      <c r="N18" s="18">
        <f t="shared" si="6"/>
        <v>53451.298176699296</v>
      </c>
      <c r="O18" s="18">
        <f t="shared" si="6"/>
        <v>56688.518637210727</v>
      </c>
      <c r="P18" s="18">
        <f t="shared" si="6"/>
        <v>58744.962621638762</v>
      </c>
    </row>
    <row r="20" spans="2:16" x14ac:dyDescent="0.3">
      <c r="B20" s="5" t="s">
        <v>631</v>
      </c>
      <c r="C20" s="5"/>
      <c r="D20" s="5"/>
      <c r="E20" s="5"/>
      <c r="F20" s="5"/>
      <c r="G20" s="5"/>
      <c r="H20" s="5"/>
      <c r="I20" s="5"/>
      <c r="J20" s="5"/>
      <c r="K20" s="5"/>
      <c r="L20" s="5"/>
      <c r="M20" s="5"/>
      <c r="N20" s="5"/>
      <c r="O20" s="5"/>
      <c r="P20" s="5"/>
    </row>
    <row r="21" spans="2:16" x14ac:dyDescent="0.3">
      <c r="B21" t="s">
        <v>632</v>
      </c>
      <c r="C21" t="s">
        <v>95</v>
      </c>
      <c r="D21" s="17"/>
      <c r="E21" s="17"/>
      <c r="F21" s="17"/>
      <c r="G21" s="17">
        <f t="shared" ref="G21:P21" si="7">F24</f>
        <v>129541</v>
      </c>
      <c r="H21" s="17">
        <f t="shared" si="7"/>
        <v>122206.38602999042</v>
      </c>
      <c r="I21" s="17">
        <f t="shared" si="7"/>
        <v>117560.87405659063</v>
      </c>
      <c r="J21" s="17">
        <f t="shared" si="7"/>
        <v>107046.43383066775</v>
      </c>
      <c r="K21" s="17">
        <f t="shared" si="7"/>
        <v>87941.946840419085</v>
      </c>
      <c r="L21" s="17">
        <f t="shared" si="7"/>
        <v>59584.523575820174</v>
      </c>
      <c r="M21" s="17">
        <f t="shared" si="7"/>
        <v>23466.540042770335</v>
      </c>
      <c r="N21" s="17">
        <f t="shared" si="7"/>
        <v>0</v>
      </c>
      <c r="O21" s="17">
        <f t="shared" si="7"/>
        <v>0</v>
      </c>
      <c r="P21" s="17">
        <f t="shared" si="7"/>
        <v>0</v>
      </c>
    </row>
    <row r="22" spans="2:16" x14ac:dyDescent="0.3">
      <c r="B22" t="s">
        <v>633</v>
      </c>
      <c r="C22" t="s">
        <v>95</v>
      </c>
      <c r="D22" s="17"/>
      <c r="E22" s="17"/>
      <c r="F22" s="17"/>
      <c r="G22" s="17">
        <f t="shared" ref="G22:P22" si="8">G32</f>
        <v>0</v>
      </c>
      <c r="H22" s="17">
        <f t="shared" si="8"/>
        <v>0</v>
      </c>
      <c r="I22" s="17">
        <f t="shared" si="8"/>
        <v>0</v>
      </c>
      <c r="J22" s="17">
        <f t="shared" si="8"/>
        <v>0</v>
      </c>
      <c r="K22" s="17">
        <f t="shared" si="8"/>
        <v>0</v>
      </c>
      <c r="L22" s="17">
        <f t="shared" si="8"/>
        <v>0</v>
      </c>
      <c r="M22" s="17">
        <f t="shared" si="8"/>
        <v>0</v>
      </c>
      <c r="N22" s="17">
        <f t="shared" si="8"/>
        <v>0</v>
      </c>
      <c r="O22" s="17">
        <f t="shared" si="8"/>
        <v>0</v>
      </c>
      <c r="P22" s="17">
        <f t="shared" si="8"/>
        <v>0</v>
      </c>
    </row>
    <row r="23" spans="2:16" x14ac:dyDescent="0.3">
      <c r="B23" t="s">
        <v>634</v>
      </c>
      <c r="C23" t="s">
        <v>95</v>
      </c>
      <c r="D23" s="17"/>
      <c r="E23" s="17"/>
      <c r="F23" s="17"/>
      <c r="G23" s="17">
        <f t="shared" ref="G23:P23" si="9">G34</f>
        <v>7334.6139700095837</v>
      </c>
      <c r="H23" s="17">
        <f t="shared" si="9"/>
        <v>4645.5119733997835</v>
      </c>
      <c r="I23" s="17">
        <f t="shared" si="9"/>
        <v>10514.440225922885</v>
      </c>
      <c r="J23" s="17">
        <f t="shared" si="9"/>
        <v>19104.486990248672</v>
      </c>
      <c r="K23" s="17">
        <f t="shared" si="9"/>
        <v>28357.423264598914</v>
      </c>
      <c r="L23" s="17">
        <f t="shared" si="9"/>
        <v>36117.983533049839</v>
      </c>
      <c r="M23" s="17">
        <f t="shared" si="9"/>
        <v>23466.540042770335</v>
      </c>
      <c r="N23" s="17">
        <f t="shared" si="9"/>
        <v>0</v>
      </c>
      <c r="O23" s="17">
        <f t="shared" si="9"/>
        <v>0</v>
      </c>
      <c r="P23" s="17">
        <f t="shared" si="9"/>
        <v>0</v>
      </c>
    </row>
    <row r="24" spans="2:16" x14ac:dyDescent="0.3">
      <c r="B24" s="3" t="s">
        <v>635</v>
      </c>
      <c r="C24" s="3" t="s">
        <v>95</v>
      </c>
      <c r="D24" s="18"/>
      <c r="E24" s="18"/>
      <c r="F24" s="18">
        <f>'02 Assumptions'!$C$70</f>
        <v>129541</v>
      </c>
      <c r="G24" s="18">
        <f t="shared" ref="G24:P24" si="10">G21+G22-G23</f>
        <v>122206.38602999042</v>
      </c>
      <c r="H24" s="18">
        <f t="shared" si="10"/>
        <v>117560.87405659063</v>
      </c>
      <c r="I24" s="18">
        <f t="shared" si="10"/>
        <v>107046.43383066775</v>
      </c>
      <c r="J24" s="18">
        <f t="shared" si="10"/>
        <v>87941.946840419085</v>
      </c>
      <c r="K24" s="18">
        <f t="shared" si="10"/>
        <v>59584.523575820174</v>
      </c>
      <c r="L24" s="18">
        <f t="shared" si="10"/>
        <v>23466.540042770335</v>
      </c>
      <c r="M24" s="18">
        <f t="shared" si="10"/>
        <v>0</v>
      </c>
      <c r="N24" s="18">
        <f t="shared" si="10"/>
        <v>0</v>
      </c>
      <c r="O24" s="18">
        <f t="shared" si="10"/>
        <v>0</v>
      </c>
      <c r="P24" s="18">
        <f t="shared" si="10"/>
        <v>0</v>
      </c>
    </row>
    <row r="25" spans="2:16" x14ac:dyDescent="0.3">
      <c r="B25" t="s">
        <v>636</v>
      </c>
      <c r="C25" t="s">
        <v>42</v>
      </c>
      <c r="D25" s="19"/>
      <c r="E25" s="19"/>
      <c r="F25" s="19"/>
      <c r="G25" s="19">
        <f>'02 Assumptions'!$C$98</f>
        <v>4.4999999999999998E-2</v>
      </c>
      <c r="H25" s="19">
        <f>'02 Assumptions'!$C$98</f>
        <v>4.4999999999999998E-2</v>
      </c>
      <c r="I25" s="19">
        <f>'02 Assumptions'!$C$98</f>
        <v>4.4999999999999998E-2</v>
      </c>
      <c r="J25" s="19">
        <f>'02 Assumptions'!$C$98</f>
        <v>4.4999999999999998E-2</v>
      </c>
      <c r="K25" s="19">
        <f>'02 Assumptions'!$C$98</f>
        <v>4.4999999999999998E-2</v>
      </c>
      <c r="L25" s="19">
        <f>'02 Assumptions'!$C$98</f>
        <v>4.4999999999999998E-2</v>
      </c>
      <c r="M25" s="19">
        <f>'02 Assumptions'!$C$98</f>
        <v>4.4999999999999998E-2</v>
      </c>
      <c r="N25" s="19">
        <f>'02 Assumptions'!$C$98</f>
        <v>4.4999999999999998E-2</v>
      </c>
      <c r="O25" s="19">
        <f>'02 Assumptions'!$C$98</f>
        <v>4.4999999999999998E-2</v>
      </c>
      <c r="P25" s="19">
        <f>'02 Assumptions'!$C$98</f>
        <v>4.4999999999999998E-2</v>
      </c>
    </row>
    <row r="26" spans="2:16" x14ac:dyDescent="0.3">
      <c r="B26" t="s">
        <v>637</v>
      </c>
      <c r="C26" t="s">
        <v>95</v>
      </c>
      <c r="D26" s="17"/>
      <c r="E26" s="17"/>
      <c r="F26" s="17"/>
      <c r="G26" s="17">
        <f t="shared" ref="G26:P26" si="11">G21*G25</f>
        <v>5829.3449999999993</v>
      </c>
      <c r="H26" s="17">
        <f t="shared" si="11"/>
        <v>5499.2873713495683</v>
      </c>
      <c r="I26" s="17">
        <f t="shared" si="11"/>
        <v>5290.2393325465782</v>
      </c>
      <c r="J26" s="17">
        <f t="shared" si="11"/>
        <v>4817.0895223800489</v>
      </c>
      <c r="K26" s="17">
        <f t="shared" si="11"/>
        <v>3957.3876078188587</v>
      </c>
      <c r="L26" s="17">
        <f t="shared" si="11"/>
        <v>2681.3035609119079</v>
      </c>
      <c r="M26" s="17">
        <f t="shared" si="11"/>
        <v>1055.994301924665</v>
      </c>
      <c r="N26" s="17">
        <f t="shared" si="11"/>
        <v>0</v>
      </c>
      <c r="O26" s="17">
        <f t="shared" si="11"/>
        <v>0</v>
      </c>
      <c r="P26" s="17">
        <f t="shared" si="11"/>
        <v>0</v>
      </c>
    </row>
    <row r="28" spans="2:16" x14ac:dyDescent="0.3">
      <c r="B28" s="5" t="s">
        <v>638</v>
      </c>
      <c r="C28" s="5"/>
      <c r="D28" s="5"/>
      <c r="E28" s="5"/>
      <c r="F28" s="5"/>
      <c r="G28" s="5"/>
      <c r="H28" s="5"/>
      <c r="I28" s="5"/>
      <c r="J28" s="5"/>
      <c r="K28" s="5"/>
      <c r="L28" s="5"/>
      <c r="M28" s="5"/>
      <c r="N28" s="5"/>
      <c r="O28" s="5"/>
      <c r="P28" s="5"/>
    </row>
    <row r="29" spans="2:16" x14ac:dyDescent="0.3">
      <c r="B29" t="s">
        <v>639</v>
      </c>
      <c r="C29" t="s">
        <v>95</v>
      </c>
      <c r="D29" s="17"/>
      <c r="E29" s="17"/>
      <c r="F29" s="17"/>
      <c r="G29" s="17">
        <f t="shared" ref="G29:P29" si="12">F35</f>
        <v>31289</v>
      </c>
      <c r="H29" s="17">
        <f t="shared" si="12"/>
        <v>8605.8528700095849</v>
      </c>
      <c r="I29" s="17">
        <f t="shared" si="12"/>
        <v>6209.2815393997844</v>
      </c>
      <c r="J29" s="17">
        <f t="shared" si="12"/>
        <v>12375.594488102884</v>
      </c>
      <c r="K29" s="17">
        <f t="shared" si="12"/>
        <v>21254.157871145075</v>
      </c>
      <c r="L29" s="17">
        <f t="shared" si="12"/>
        <v>30773.052340965154</v>
      </c>
      <c r="M29" s="17">
        <f t="shared" si="12"/>
        <v>38768.205261007541</v>
      </c>
      <c r="N29" s="17">
        <f t="shared" si="12"/>
        <v>64719.352140949624</v>
      </c>
      <c r="O29" s="17">
        <f t="shared" si="12"/>
        <v>118005.51604519777</v>
      </c>
      <c r="P29" s="17">
        <f t="shared" si="12"/>
        <v>173644.90113463619</v>
      </c>
    </row>
    <row r="30" spans="2:16" x14ac:dyDescent="0.3">
      <c r="B30" t="s">
        <v>640</v>
      </c>
      <c r="C30" t="s">
        <v>95</v>
      </c>
      <c r="D30" s="17"/>
      <c r="E30" s="17"/>
      <c r="F30" s="17"/>
      <c r="G30" s="17">
        <f t="shared" ref="G30:P30" si="13">G29+G77+G79-G82-G83-G84</f>
        <v>15940.466840019168</v>
      </c>
      <c r="H30" s="17">
        <f t="shared" si="13"/>
        <v>10854.793512799568</v>
      </c>
      <c r="I30" s="17">
        <f t="shared" si="13"/>
        <v>22890.034714025769</v>
      </c>
      <c r="J30" s="17">
        <f t="shared" si="13"/>
        <v>40358.644861393746</v>
      </c>
      <c r="K30" s="17">
        <f t="shared" si="13"/>
        <v>59130.475605564068</v>
      </c>
      <c r="L30" s="17">
        <f t="shared" si="13"/>
        <v>74886.18879405738</v>
      </c>
      <c r="M30" s="17">
        <f t="shared" si="13"/>
        <v>88185.89218371996</v>
      </c>
      <c r="N30" s="17">
        <f t="shared" si="13"/>
        <v>118005.51604519777</v>
      </c>
      <c r="O30" s="17">
        <f t="shared" si="13"/>
        <v>173644.90113463619</v>
      </c>
      <c r="P30" s="17">
        <f t="shared" si="13"/>
        <v>229761.98141683789</v>
      </c>
    </row>
    <row r="31" spans="2:16" x14ac:dyDescent="0.3">
      <c r="B31" t="s">
        <v>641</v>
      </c>
      <c r="C31" t="s">
        <v>95</v>
      </c>
      <c r="D31" s="17"/>
      <c r="E31" s="17"/>
      <c r="F31" s="17"/>
      <c r="G31" s="17">
        <f>'02 Assumptions'!$C$68*G7</f>
        <v>1271.2389000000001</v>
      </c>
      <c r="H31" s="17">
        <f>'02 Assumptions'!$C$68*H7</f>
        <v>1563.7695659999999</v>
      </c>
      <c r="I31" s="17">
        <f>'02 Assumptions'!$C$68*I7</f>
        <v>1861.1542621799999</v>
      </c>
      <c r="J31" s="17">
        <f>'02 Assumptions'!$C$68*J7</f>
        <v>2149.6708808963999</v>
      </c>
      <c r="K31" s="17">
        <f>'02 Assumptions'!$C$68*K7</f>
        <v>2415.6290763662396</v>
      </c>
      <c r="L31" s="17">
        <f>'02 Assumptions'!$C$68*L7</f>
        <v>2650.2217279576985</v>
      </c>
      <c r="M31" s="17">
        <f>'02 Assumptions'!$C$68*M7</f>
        <v>2848.5497092962651</v>
      </c>
      <c r="N31" s="17">
        <f>'02 Assumptions'!$C$68*N7</f>
        <v>3017.9277206994252</v>
      </c>
      <c r="O31" s="17">
        <f>'02 Assumptions'!$C$68*O7</f>
        <v>3149.2597338834335</v>
      </c>
      <c r="P31" s="17">
        <f>'02 Assumptions'!$C$68*P7</f>
        <v>3260.9282680315841</v>
      </c>
    </row>
    <row r="32" spans="2:16" x14ac:dyDescent="0.3">
      <c r="B32" t="s">
        <v>642</v>
      </c>
      <c r="C32" t="s">
        <v>95</v>
      </c>
      <c r="D32" s="17"/>
      <c r="E32" s="17"/>
      <c r="F32" s="17"/>
      <c r="G32" s="17">
        <f t="shared" ref="G32:P32" si="14">MAX(0,G31-G30)</f>
        <v>0</v>
      </c>
      <c r="H32" s="17">
        <f t="shared" si="14"/>
        <v>0</v>
      </c>
      <c r="I32" s="17">
        <f t="shared" si="14"/>
        <v>0</v>
      </c>
      <c r="J32" s="17">
        <f t="shared" si="14"/>
        <v>0</v>
      </c>
      <c r="K32" s="17">
        <f t="shared" si="14"/>
        <v>0</v>
      </c>
      <c r="L32" s="17">
        <f t="shared" si="14"/>
        <v>0</v>
      </c>
      <c r="M32" s="17">
        <f t="shared" si="14"/>
        <v>0</v>
      </c>
      <c r="N32" s="17">
        <f t="shared" si="14"/>
        <v>0</v>
      </c>
      <c r="O32" s="17">
        <f t="shared" si="14"/>
        <v>0</v>
      </c>
      <c r="P32" s="17">
        <f t="shared" si="14"/>
        <v>0</v>
      </c>
    </row>
    <row r="33" spans="2:16" x14ac:dyDescent="0.3">
      <c r="B33" t="s">
        <v>643</v>
      </c>
      <c r="C33" t="s">
        <v>95</v>
      </c>
      <c r="D33" s="17"/>
      <c r="E33" s="17"/>
      <c r="F33" s="17"/>
      <c r="G33" s="17">
        <f t="shared" ref="G33:P33" si="15">MAX(0,G30-G31)</f>
        <v>14669.227940019167</v>
      </c>
      <c r="H33" s="17">
        <f t="shared" si="15"/>
        <v>9291.0239467995671</v>
      </c>
      <c r="I33" s="17">
        <f t="shared" si="15"/>
        <v>21028.880451845769</v>
      </c>
      <c r="J33" s="17">
        <f t="shared" si="15"/>
        <v>38208.973980497343</v>
      </c>
      <c r="K33" s="17">
        <f t="shared" si="15"/>
        <v>56714.846529197828</v>
      </c>
      <c r="L33" s="17">
        <f t="shared" si="15"/>
        <v>72235.967066099678</v>
      </c>
      <c r="M33" s="17">
        <f t="shared" si="15"/>
        <v>85337.342474423698</v>
      </c>
      <c r="N33" s="17">
        <f t="shared" si="15"/>
        <v>114987.58832449834</v>
      </c>
      <c r="O33" s="17">
        <f t="shared" si="15"/>
        <v>170495.64140075276</v>
      </c>
      <c r="P33" s="17">
        <f t="shared" si="15"/>
        <v>226501.0531488063</v>
      </c>
    </row>
    <row r="34" spans="2:16" x14ac:dyDescent="0.3">
      <c r="B34" t="s">
        <v>644</v>
      </c>
      <c r="C34" t="s">
        <v>95</v>
      </c>
      <c r="D34" s="17"/>
      <c r="E34" s="17"/>
      <c r="F34" s="17"/>
      <c r="G34" s="17">
        <f>MIN(G21,G33*'02 Assumptions'!$C$97)</f>
        <v>7334.6139700095837</v>
      </c>
      <c r="H34" s="17">
        <f>MIN(H21,H33*'02 Assumptions'!$C$97)</f>
        <v>4645.5119733997835</v>
      </c>
      <c r="I34" s="17">
        <f>MIN(I21,I33*'02 Assumptions'!$C$97)</f>
        <v>10514.440225922885</v>
      </c>
      <c r="J34" s="17">
        <f>MIN(J21,J33*'02 Assumptions'!$C$97)</f>
        <v>19104.486990248672</v>
      </c>
      <c r="K34" s="17">
        <f>MIN(K21,K33*'02 Assumptions'!$C$97)</f>
        <v>28357.423264598914</v>
      </c>
      <c r="L34" s="17">
        <f>MIN(L21,L33*'02 Assumptions'!$C$97)</f>
        <v>36117.983533049839</v>
      </c>
      <c r="M34" s="17">
        <f>MIN(M21,M33*'02 Assumptions'!$C$97)</f>
        <v>23466.540042770335</v>
      </c>
      <c r="N34" s="17">
        <f>MIN(N21,N33*'02 Assumptions'!$C$97)</f>
        <v>0</v>
      </c>
      <c r="O34" s="17">
        <f>MIN(O21,O33*'02 Assumptions'!$C$97)</f>
        <v>0</v>
      </c>
      <c r="P34" s="17">
        <f>MIN(P21,P33*'02 Assumptions'!$C$97)</f>
        <v>0</v>
      </c>
    </row>
    <row r="35" spans="2:16" x14ac:dyDescent="0.3">
      <c r="B35" s="3" t="s">
        <v>645</v>
      </c>
      <c r="C35" s="3" t="s">
        <v>95</v>
      </c>
      <c r="D35" s="18"/>
      <c r="E35" s="18"/>
      <c r="F35" s="18">
        <f>'02 Assumptions'!$C$72</f>
        <v>31289</v>
      </c>
      <c r="G35" s="18">
        <f t="shared" ref="G35:P35" si="16">G30+G32-G34</f>
        <v>8605.8528700095849</v>
      </c>
      <c r="H35" s="18">
        <f t="shared" si="16"/>
        <v>6209.2815393997844</v>
      </c>
      <c r="I35" s="18">
        <f t="shared" si="16"/>
        <v>12375.594488102884</v>
      </c>
      <c r="J35" s="18">
        <f t="shared" si="16"/>
        <v>21254.157871145075</v>
      </c>
      <c r="K35" s="18">
        <f t="shared" si="16"/>
        <v>30773.052340965154</v>
      </c>
      <c r="L35" s="18">
        <f t="shared" si="16"/>
        <v>38768.205261007541</v>
      </c>
      <c r="M35" s="18">
        <f t="shared" si="16"/>
        <v>64719.352140949624</v>
      </c>
      <c r="N35" s="18">
        <f t="shared" si="16"/>
        <v>118005.51604519777</v>
      </c>
      <c r="O35" s="18">
        <f t="shared" si="16"/>
        <v>173644.90113463619</v>
      </c>
      <c r="P35" s="18">
        <f t="shared" si="16"/>
        <v>229761.98141683789</v>
      </c>
    </row>
    <row r="37" spans="2:16" x14ac:dyDescent="0.3">
      <c r="B37" s="5" t="s">
        <v>646</v>
      </c>
      <c r="C37" s="5"/>
      <c r="D37" s="5"/>
      <c r="E37" s="5"/>
      <c r="F37" s="5"/>
      <c r="G37" s="5"/>
      <c r="H37" s="5"/>
      <c r="I37" s="5"/>
      <c r="J37" s="5"/>
      <c r="K37" s="5"/>
      <c r="L37" s="5"/>
      <c r="M37" s="5"/>
      <c r="N37" s="5"/>
      <c r="O37" s="5"/>
      <c r="P37" s="5"/>
    </row>
    <row r="38" spans="2:16" x14ac:dyDescent="0.3">
      <c r="B38" t="s">
        <v>129</v>
      </c>
      <c r="C38" t="s">
        <v>95</v>
      </c>
      <c r="D38" s="17"/>
      <c r="E38" s="17"/>
      <c r="F38" s="17"/>
      <c r="G38" s="17">
        <f t="shared" ref="G38:P38" si="17">G35</f>
        <v>8605.8528700095849</v>
      </c>
      <c r="H38" s="17">
        <f t="shared" si="17"/>
        <v>6209.2815393997844</v>
      </c>
      <c r="I38" s="17">
        <f t="shared" si="17"/>
        <v>12375.594488102884</v>
      </c>
      <c r="J38" s="17">
        <f t="shared" si="17"/>
        <v>21254.157871145075</v>
      </c>
      <c r="K38" s="17">
        <f t="shared" si="17"/>
        <v>30773.052340965154</v>
      </c>
      <c r="L38" s="17">
        <f t="shared" si="17"/>
        <v>38768.205261007541</v>
      </c>
      <c r="M38" s="17">
        <f t="shared" si="17"/>
        <v>64719.352140949624</v>
      </c>
      <c r="N38" s="17">
        <f t="shared" si="17"/>
        <v>118005.51604519777</v>
      </c>
      <c r="O38" s="17">
        <f t="shared" si="17"/>
        <v>173644.90113463619</v>
      </c>
      <c r="P38" s="17">
        <f t="shared" si="17"/>
        <v>229761.98141683789</v>
      </c>
    </row>
    <row r="39" spans="2:16" x14ac:dyDescent="0.3">
      <c r="B39" t="s">
        <v>130</v>
      </c>
      <c r="C39" t="s">
        <v>95</v>
      </c>
      <c r="D39" s="17"/>
      <c r="E39" s="17"/>
      <c r="F39" s="17"/>
      <c r="G39" s="17">
        <f>'02 Assumptions'!$C$73</f>
        <v>605</v>
      </c>
      <c r="H39" s="17">
        <f>'02 Assumptions'!$C$73</f>
        <v>605</v>
      </c>
      <c r="I39" s="17">
        <f>'02 Assumptions'!$C$73</f>
        <v>605</v>
      </c>
      <c r="J39" s="17">
        <f>'02 Assumptions'!$C$73</f>
        <v>605</v>
      </c>
      <c r="K39" s="17">
        <f>'02 Assumptions'!$C$73</f>
        <v>605</v>
      </c>
      <c r="L39" s="17">
        <f>'02 Assumptions'!$C$73</f>
        <v>605</v>
      </c>
      <c r="M39" s="17">
        <f>'02 Assumptions'!$C$73</f>
        <v>605</v>
      </c>
      <c r="N39" s="17">
        <f>'02 Assumptions'!$C$73</f>
        <v>605</v>
      </c>
      <c r="O39" s="17">
        <f>'02 Assumptions'!$C$73</f>
        <v>605</v>
      </c>
      <c r="P39" s="17">
        <f>'02 Assumptions'!$C$73</f>
        <v>605</v>
      </c>
    </row>
    <row r="40" spans="2:16" x14ac:dyDescent="0.3">
      <c r="B40" t="s">
        <v>425</v>
      </c>
      <c r="C40" t="s">
        <v>95</v>
      </c>
      <c r="D40" s="17"/>
      <c r="E40" s="17"/>
      <c r="F40" s="17"/>
      <c r="G40" s="17">
        <f>'04 Operating Model'!G44</f>
        <v>13002.626191780824</v>
      </c>
      <c r="H40" s="17">
        <f>'04 Operating Model'!H44</f>
        <v>15709.100663013696</v>
      </c>
      <c r="I40" s="17">
        <f>'04 Operating Model'!I44</f>
        <v>18356.589983145204</v>
      </c>
      <c r="J40" s="17">
        <f>'04 Operating Model'!J44</f>
        <v>20809.599394978846</v>
      </c>
      <c r="K40" s="17">
        <f>'04 Operating Model'!K44</f>
        <v>22942.961090601726</v>
      </c>
      <c r="L40" s="17">
        <f>'04 Operating Model'!L44</f>
        <v>25171.055681059421</v>
      </c>
      <c r="M40" s="17">
        <f>'04 Operating Model'!M44</f>
        <v>27054.718700165442</v>
      </c>
      <c r="N40" s="17">
        <f>'04 Operating Model'!N44</f>
        <v>28663.42310070687</v>
      </c>
      <c r="O40" s="17">
        <f>'04 Operating Model'!O44</f>
        <v>29910.777381175991</v>
      </c>
      <c r="P40" s="17">
        <f>'04 Operating Model'!P44</f>
        <v>30971.373504592215</v>
      </c>
    </row>
    <row r="41" spans="2:16" x14ac:dyDescent="0.3">
      <c r="B41" t="s">
        <v>426</v>
      </c>
      <c r="C41" t="s">
        <v>95</v>
      </c>
      <c r="D41" s="17"/>
      <c r="E41" s="17"/>
      <c r="F41" s="17"/>
      <c r="G41" s="17">
        <f>'04 Operating Model'!G45</f>
        <v>5254.4541200000003</v>
      </c>
      <c r="H41" s="17">
        <f>'04 Operating Model'!H45</f>
        <v>6255.0782639999998</v>
      </c>
      <c r="I41" s="17">
        <f>'04 Operating Model'!I45</f>
        <v>7320.5400979079996</v>
      </c>
      <c r="J41" s="17">
        <f>'04 Operating Model'!J45</f>
        <v>8312.0607394660801</v>
      </c>
      <c r="K41" s="17">
        <f>'04 Operating Model'!K45</f>
        <v>9340.4324286161263</v>
      </c>
      <c r="L41" s="17">
        <f>'04 Operating Model'!L45</f>
        <v>10247.524014769768</v>
      </c>
      <c r="M41" s="17">
        <f>'04 Operating Model'!M45</f>
        <v>11014.392209278893</v>
      </c>
      <c r="N41" s="17">
        <f>'04 Operating Model'!N45</f>
        <v>11669.32052003778</v>
      </c>
      <c r="O41" s="17">
        <f>'04 Operating Model'!O45</f>
        <v>12177.13763768261</v>
      </c>
      <c r="P41" s="17">
        <f>'04 Operating Model'!P45</f>
        <v>12608.922636388792</v>
      </c>
    </row>
    <row r="42" spans="2:16" x14ac:dyDescent="0.3">
      <c r="B42" t="s">
        <v>647</v>
      </c>
      <c r="C42" t="s">
        <v>95</v>
      </c>
      <c r="D42" s="17"/>
      <c r="E42" s="17"/>
      <c r="F42" s="17"/>
      <c r="G42" s="17">
        <f>'04 Operating Model'!G37</f>
        <v>135133.83375000002</v>
      </c>
      <c r="H42" s="17">
        <f>'04 Operating Model'!H37</f>
        <v>157336.34368125003</v>
      </c>
      <c r="I42" s="17">
        <f>'04 Operating Model'!I37</f>
        <v>170239.50030924377</v>
      </c>
      <c r="J42" s="17">
        <f>'04 Operating Model'!J37</f>
        <v>177173.99308235353</v>
      </c>
      <c r="K42" s="17">
        <f>'04 Operating Model'!K37</f>
        <v>179183.53471072172</v>
      </c>
      <c r="L42" s="17">
        <f>'04 Operating Model'!L37</f>
        <v>179975.03299151137</v>
      </c>
      <c r="M42" s="17">
        <f>'04 Operating Model'!M37</f>
        <v>180622.62025560462</v>
      </c>
      <c r="N42" s="17">
        <f>'04 Operating Model'!N37</f>
        <v>181622.35304161831</v>
      </c>
      <c r="O42" s="17">
        <f>'04 Operating Model'!O37</f>
        <v>182539.00691554177</v>
      </c>
      <c r="P42" s="17">
        <f>'04 Operating Model'!P37</f>
        <v>183770.97702783198</v>
      </c>
    </row>
    <row r="43" spans="2:16" x14ac:dyDescent="0.3">
      <c r="B43" t="s">
        <v>648</v>
      </c>
      <c r="C43" t="s">
        <v>95</v>
      </c>
      <c r="D43" s="17"/>
      <c r="E43" s="17"/>
      <c r="F43" s="17"/>
      <c r="G43" s="17">
        <f>'03 Historical'!$F$49</f>
        <v>29690</v>
      </c>
      <c r="H43" s="17">
        <f>'03 Historical'!$F$49</f>
        <v>29690</v>
      </c>
      <c r="I43" s="17">
        <f>'03 Historical'!$F$49</f>
        <v>29690</v>
      </c>
      <c r="J43" s="17">
        <f>'03 Historical'!$F$49</f>
        <v>29690</v>
      </c>
      <c r="K43" s="17">
        <f>'03 Historical'!$F$49</f>
        <v>29690</v>
      </c>
      <c r="L43" s="17">
        <f>'03 Historical'!$F$49</f>
        <v>29690</v>
      </c>
      <c r="M43" s="17">
        <f>'03 Historical'!$F$49</f>
        <v>29690</v>
      </c>
      <c r="N43" s="17">
        <f>'03 Historical'!$F$49</f>
        <v>29690</v>
      </c>
      <c r="O43" s="17">
        <f>'03 Historical'!$F$49</f>
        <v>29690</v>
      </c>
      <c r="P43" s="17">
        <f>'03 Historical'!$F$49</f>
        <v>29690</v>
      </c>
    </row>
    <row r="44" spans="2:16" x14ac:dyDescent="0.3">
      <c r="B44" t="s">
        <v>136</v>
      </c>
      <c r="C44" t="s">
        <v>95</v>
      </c>
      <c r="D44" s="17"/>
      <c r="E44" s="17"/>
      <c r="F44" s="17"/>
      <c r="G44" s="17">
        <f>'03 Historical'!$F$50</f>
        <v>62261</v>
      </c>
      <c r="H44" s="17">
        <f>'03 Historical'!$F$50</f>
        <v>62261</v>
      </c>
      <c r="I44" s="17">
        <f>'03 Historical'!$F$50</f>
        <v>62261</v>
      </c>
      <c r="J44" s="17">
        <f>'03 Historical'!$F$50</f>
        <v>62261</v>
      </c>
      <c r="K44" s="17">
        <f>'03 Historical'!$F$50</f>
        <v>62261</v>
      </c>
      <c r="L44" s="17">
        <f>'03 Historical'!$F$50</f>
        <v>62261</v>
      </c>
      <c r="M44" s="17">
        <f>'03 Historical'!$F$50</f>
        <v>62261</v>
      </c>
      <c r="N44" s="17">
        <f>'03 Historical'!$F$50</f>
        <v>62261</v>
      </c>
      <c r="O44" s="17">
        <f>'03 Historical'!$F$50</f>
        <v>62261</v>
      </c>
      <c r="P44" s="17">
        <f>'03 Historical'!$F$50</f>
        <v>62261</v>
      </c>
    </row>
    <row r="45" spans="2:16" x14ac:dyDescent="0.3">
      <c r="B45" t="s">
        <v>649</v>
      </c>
      <c r="C45" t="s">
        <v>95</v>
      </c>
      <c r="D45" s="17"/>
      <c r="E45" s="17"/>
      <c r="F45" s="17">
        <f>'02 Assumptions'!$C$101</f>
        <v>4890</v>
      </c>
      <c r="G45" s="17">
        <f>F45-'04 Operating Model'!G24</f>
        <v>3590</v>
      </c>
      <c r="H45" s="17">
        <f>G45-'04 Operating Model'!H24</f>
        <v>2590</v>
      </c>
      <c r="I45" s="17">
        <f>H45-'04 Operating Model'!I24</f>
        <v>1840</v>
      </c>
      <c r="J45" s="17">
        <f>I45-'04 Operating Model'!J24</f>
        <v>1290</v>
      </c>
      <c r="K45" s="17">
        <f>J45-'04 Operating Model'!K24</f>
        <v>890</v>
      </c>
      <c r="L45" s="17">
        <f>K45-'04 Operating Model'!L24</f>
        <v>590</v>
      </c>
      <c r="M45" s="17">
        <f>L45-'04 Operating Model'!M24</f>
        <v>370</v>
      </c>
      <c r="N45" s="17">
        <f>M45-'04 Operating Model'!N24</f>
        <v>210</v>
      </c>
      <c r="O45" s="17">
        <f>N45-'04 Operating Model'!O24</f>
        <v>90</v>
      </c>
      <c r="P45" s="17">
        <f>O45-'04 Operating Model'!P24</f>
        <v>0</v>
      </c>
    </row>
    <row r="46" spans="2:16" x14ac:dyDescent="0.3">
      <c r="B46" t="s">
        <v>137</v>
      </c>
      <c r="C46" t="s">
        <v>95</v>
      </c>
      <c r="D46" s="17"/>
      <c r="E46" s="17"/>
      <c r="F46" s="17"/>
      <c r="G46" s="17">
        <f>'03 Historical'!$F$51</f>
        <v>11541</v>
      </c>
      <c r="H46" s="17">
        <f>'03 Historical'!$F$51</f>
        <v>11541</v>
      </c>
      <c r="I46" s="17">
        <f>'03 Historical'!$F$51</f>
        <v>11541</v>
      </c>
      <c r="J46" s="17">
        <f>'03 Historical'!$F$51</f>
        <v>11541</v>
      </c>
      <c r="K46" s="17">
        <f>'03 Historical'!$F$51</f>
        <v>11541</v>
      </c>
      <c r="L46" s="17">
        <f>'03 Historical'!$F$51</f>
        <v>11541</v>
      </c>
      <c r="M46" s="17">
        <f>'03 Historical'!$F$51</f>
        <v>11541</v>
      </c>
      <c r="N46" s="17">
        <f>'03 Historical'!$F$51</f>
        <v>11541</v>
      </c>
      <c r="O46" s="17">
        <f>'03 Historical'!$F$51</f>
        <v>11541</v>
      </c>
      <c r="P46" s="17">
        <f>'03 Historical'!$F$51</f>
        <v>11541</v>
      </c>
    </row>
    <row r="47" spans="2:16" x14ac:dyDescent="0.3">
      <c r="B47" t="s">
        <v>650</v>
      </c>
      <c r="C47" t="s">
        <v>95</v>
      </c>
      <c r="D47" s="17"/>
      <c r="E47" s="17"/>
      <c r="F47" s="17"/>
      <c r="G47" s="17">
        <f>'02 Assumptions'!$C$102</f>
        <v>6853</v>
      </c>
      <c r="H47" s="17">
        <f>'02 Assumptions'!$C$102</f>
        <v>6853</v>
      </c>
      <c r="I47" s="17">
        <f>'02 Assumptions'!$C$102</f>
        <v>6853</v>
      </c>
      <c r="J47" s="17">
        <f>'02 Assumptions'!$C$102</f>
        <v>6853</v>
      </c>
      <c r="K47" s="17">
        <f>'02 Assumptions'!$C$102</f>
        <v>6853</v>
      </c>
      <c r="L47" s="17">
        <f>'02 Assumptions'!$C$102</f>
        <v>6853</v>
      </c>
      <c r="M47" s="17">
        <f>'02 Assumptions'!$C$102</f>
        <v>6853</v>
      </c>
      <c r="N47" s="17">
        <f>'02 Assumptions'!$C$102</f>
        <v>6853</v>
      </c>
      <c r="O47" s="17">
        <f>'02 Assumptions'!$C$102</f>
        <v>6853</v>
      </c>
      <c r="P47" s="17">
        <f>'02 Assumptions'!$C$102</f>
        <v>6853</v>
      </c>
    </row>
    <row r="48" spans="2:16" x14ac:dyDescent="0.3">
      <c r="B48" s="3" t="s">
        <v>140</v>
      </c>
      <c r="C48" s="3" t="s">
        <v>95</v>
      </c>
      <c r="D48" s="18"/>
      <c r="E48" s="18"/>
      <c r="F48" s="18"/>
      <c r="G48" s="18">
        <f t="shared" ref="G48:P48" si="18">SUM(G38:G47)</f>
        <v>276536.76693179039</v>
      </c>
      <c r="H48" s="18">
        <f t="shared" si="18"/>
        <v>299049.80414766353</v>
      </c>
      <c r="I48" s="18">
        <f t="shared" si="18"/>
        <v>321082.22487839987</v>
      </c>
      <c r="J48" s="18">
        <f t="shared" si="18"/>
        <v>339789.8110879435</v>
      </c>
      <c r="K48" s="18">
        <f t="shared" si="18"/>
        <v>354079.98057090474</v>
      </c>
      <c r="L48" s="18">
        <f t="shared" si="18"/>
        <v>365701.81794834812</v>
      </c>
      <c r="M48" s="18">
        <f t="shared" si="18"/>
        <v>394731.08330599859</v>
      </c>
      <c r="N48" s="18">
        <f t="shared" si="18"/>
        <v>451120.61270756077</v>
      </c>
      <c r="O48" s="18">
        <f t="shared" si="18"/>
        <v>509311.82306903659</v>
      </c>
      <c r="P48" s="18">
        <f t="shared" si="18"/>
        <v>568063.25458565087</v>
      </c>
    </row>
    <row r="49" spans="2:16" x14ac:dyDescent="0.3">
      <c r="B49" t="s">
        <v>142</v>
      </c>
      <c r="C49" t="s">
        <v>95</v>
      </c>
      <c r="D49" s="17"/>
      <c r="E49" s="17"/>
      <c r="F49" s="17"/>
      <c r="G49" s="17">
        <f>'04 Operating Model'!G46</f>
        <v>11326.738599000002</v>
      </c>
      <c r="H49" s="17">
        <f>'04 Operating Model'!H46</f>
        <v>11540.619397080001</v>
      </c>
      <c r="I49" s="17">
        <f>'04 Operating Model'!I46</f>
        <v>11976.527677128301</v>
      </c>
      <c r="J49" s="17">
        <f>'04 Operating Model'!J46</f>
        <v>12575.574653243939</v>
      </c>
      <c r="K49" s="17">
        <f>'04 Operating Model'!K46</f>
        <v>13044.397012377694</v>
      </c>
      <c r="L49" s="17">
        <f>'04 Operating Model'!L46</f>
        <v>13714.897442181093</v>
      </c>
      <c r="M49" s="17">
        <f>'04 Operating Model'!M46</f>
        <v>14356.69053485318</v>
      </c>
      <c r="N49" s="17">
        <f>'04 Operating Model'!N46</f>
        <v>14938.742217462157</v>
      </c>
      <c r="O49" s="17">
        <f>'04 Operating Model'!O46</f>
        <v>15305.402306673488</v>
      </c>
      <c r="P49" s="17">
        <f>'04 Operating Model'!P46</f>
        <v>15789.414673808933</v>
      </c>
    </row>
    <row r="50" spans="2:16" x14ac:dyDescent="0.3">
      <c r="B50" t="s">
        <v>427</v>
      </c>
      <c r="C50" t="s">
        <v>95</v>
      </c>
      <c r="D50" s="17"/>
      <c r="E50" s="17"/>
      <c r="F50" s="17"/>
      <c r="G50" s="17">
        <f>'04 Operating Model'!G47</f>
        <v>2711.9763200000002</v>
      </c>
      <c r="H50" s="17">
        <f>'04 Operating Model'!H47</f>
        <v>3231.7904363999996</v>
      </c>
      <c r="I50" s="17">
        <f>'04 Operating Model'!I47</f>
        <v>3846.385475172</v>
      </c>
      <c r="J50" s="17">
        <f>'04 Operating Model'!J47</f>
        <v>4299.3417617927998</v>
      </c>
      <c r="K50" s="17">
        <f>'04 Operating Model'!K47</f>
        <v>4831.2581527324792</v>
      </c>
      <c r="L50" s="17">
        <f>'04 Operating Model'!L47</f>
        <v>5300.443455915397</v>
      </c>
      <c r="M50" s="17">
        <f>'04 Operating Model'!M47</f>
        <v>5697.0994185925301</v>
      </c>
      <c r="N50" s="17">
        <f>'04 Operating Model'!N47</f>
        <v>6035.8554413988504</v>
      </c>
      <c r="O50" s="17">
        <f>'04 Operating Model'!O47</f>
        <v>6298.5194677668669</v>
      </c>
      <c r="P50" s="17">
        <f>'04 Operating Model'!P47</f>
        <v>6521.8565360631683</v>
      </c>
    </row>
    <row r="51" spans="2:16" x14ac:dyDescent="0.3">
      <c r="B51" t="s">
        <v>144</v>
      </c>
      <c r="C51" t="s">
        <v>95</v>
      </c>
      <c r="D51" s="17"/>
      <c r="E51" s="17"/>
      <c r="F51" s="17"/>
      <c r="G51" s="17">
        <f>'04 Operating Model'!G48</f>
        <v>12203.89344</v>
      </c>
      <c r="H51" s="17">
        <f>'04 Operating Model'!H48</f>
        <v>14595.182616</v>
      </c>
      <c r="I51" s="17">
        <f>'04 Operating Model'!I48</f>
        <v>16874.465310432002</v>
      </c>
      <c r="J51" s="17">
        <f>'04 Operating Model'!J48</f>
        <v>18917.10375188832</v>
      </c>
      <c r="K51" s="17">
        <f>'04 Operating Model'!K48</f>
        <v>20613.368118325245</v>
      </c>
      <c r="L51" s="17">
        <f>'04 Operating Model'!L48</f>
        <v>22085.181066314155</v>
      </c>
      <c r="M51" s="17">
        <f>'04 Operating Model'!M48</f>
        <v>23168.204302276288</v>
      </c>
      <c r="N51" s="17">
        <f>'04 Operating Model'!N48</f>
        <v>24143.421765595402</v>
      </c>
      <c r="O51" s="17">
        <f>'04 Operating Model'!O48</f>
        <v>25194.077871067468</v>
      </c>
      <c r="P51" s="17">
        <f>'04 Operating Model'!P48</f>
        <v>26087.426144252673</v>
      </c>
    </row>
    <row r="52" spans="2:16" x14ac:dyDescent="0.3">
      <c r="B52" t="s">
        <v>651</v>
      </c>
      <c r="C52" t="s">
        <v>95</v>
      </c>
      <c r="D52" s="17"/>
      <c r="E52" s="17"/>
      <c r="F52" s="17"/>
      <c r="G52" s="17">
        <f>'04 Operating Model'!G49</f>
        <v>13559.881600000002</v>
      </c>
      <c r="H52" s="17">
        <f>'04 Operating Model'!H49</f>
        <v>16471.706095199999</v>
      </c>
      <c r="I52" s="17">
        <f>'04 Operating Model'!I49</f>
        <v>19356.004326671999</v>
      </c>
      <c r="J52" s="17">
        <f>'04 Operating Model'!J49</f>
        <v>22069.954377203037</v>
      </c>
      <c r="K52" s="17">
        <f>'04 Operating Model'!K49</f>
        <v>24478.374640511229</v>
      </c>
      <c r="L52" s="17">
        <f>'04 Operating Model'!L49</f>
        <v>26502.217279576984</v>
      </c>
      <c r="M52" s="17">
        <f>'04 Operating Model'!M49</f>
        <v>28485.497092962651</v>
      </c>
      <c r="N52" s="17">
        <f>'04 Operating Model'!N49</f>
        <v>30179.277206994251</v>
      </c>
      <c r="O52" s="17">
        <f>'04 Operating Model'!O49</f>
        <v>31492.597338834334</v>
      </c>
      <c r="P52" s="17">
        <f>'04 Operating Model'!P49</f>
        <v>32609.282680315839</v>
      </c>
    </row>
    <row r="53" spans="2:16" x14ac:dyDescent="0.3">
      <c r="B53" t="s">
        <v>373</v>
      </c>
      <c r="C53" t="s">
        <v>95</v>
      </c>
      <c r="D53" s="17"/>
      <c r="E53" s="17"/>
      <c r="F53" s="17"/>
      <c r="G53" s="17">
        <f t="shared" ref="G53:P53" si="19">G24</f>
        <v>122206.38602999042</v>
      </c>
      <c r="H53" s="17">
        <f t="shared" si="19"/>
        <v>117560.87405659063</v>
      </c>
      <c r="I53" s="17">
        <f t="shared" si="19"/>
        <v>107046.43383066775</v>
      </c>
      <c r="J53" s="17">
        <f t="shared" si="19"/>
        <v>87941.946840419085</v>
      </c>
      <c r="K53" s="17">
        <f t="shared" si="19"/>
        <v>59584.523575820174</v>
      </c>
      <c r="L53" s="17">
        <f t="shared" si="19"/>
        <v>23466.540042770335</v>
      </c>
      <c r="M53" s="17">
        <f t="shared" si="19"/>
        <v>0</v>
      </c>
      <c r="N53" s="17">
        <f t="shared" si="19"/>
        <v>0</v>
      </c>
      <c r="O53" s="17">
        <f t="shared" si="19"/>
        <v>0</v>
      </c>
      <c r="P53" s="17">
        <f t="shared" si="19"/>
        <v>0</v>
      </c>
    </row>
    <row r="54" spans="2:16" x14ac:dyDescent="0.3">
      <c r="B54" t="s">
        <v>652</v>
      </c>
      <c r="C54" t="s">
        <v>95</v>
      </c>
      <c r="D54" s="17"/>
      <c r="E54" s="17"/>
      <c r="F54" s="17"/>
      <c r="G54" s="17">
        <f>'02 Assumptions'!$C$71</f>
        <v>7701</v>
      </c>
      <c r="H54" s="17">
        <f>'02 Assumptions'!$C$71</f>
        <v>7701</v>
      </c>
      <c r="I54" s="17">
        <f>'02 Assumptions'!$C$71</f>
        <v>7701</v>
      </c>
      <c r="J54" s="17">
        <f>'02 Assumptions'!$C$71</f>
        <v>7701</v>
      </c>
      <c r="K54" s="17">
        <f>'02 Assumptions'!$C$71</f>
        <v>7701</v>
      </c>
      <c r="L54" s="17">
        <f>'02 Assumptions'!$C$71</f>
        <v>7701</v>
      </c>
      <c r="M54" s="17">
        <f>'02 Assumptions'!$C$71</f>
        <v>7701</v>
      </c>
      <c r="N54" s="17">
        <f>'02 Assumptions'!$C$71</f>
        <v>7701</v>
      </c>
      <c r="O54" s="17">
        <f>'02 Assumptions'!$C$71</f>
        <v>7701</v>
      </c>
      <c r="P54" s="17">
        <f>'02 Assumptions'!$C$71</f>
        <v>7701</v>
      </c>
    </row>
    <row r="55" spans="2:16" x14ac:dyDescent="0.3">
      <c r="B55" t="s">
        <v>676</v>
      </c>
      <c r="C55" t="s">
        <v>95</v>
      </c>
      <c r="D55" s="17"/>
      <c r="E55" s="17"/>
      <c r="F55" s="17"/>
      <c r="G55" s="17">
        <f>'03 Historical'!$F$64</f>
        <v>26648</v>
      </c>
      <c r="H55" s="17">
        <f>'03 Historical'!$F$64</f>
        <v>26648</v>
      </c>
      <c r="I55" s="17">
        <f>'03 Historical'!$F$64</f>
        <v>26648</v>
      </c>
      <c r="J55" s="17">
        <f>'03 Historical'!$F$64</f>
        <v>26648</v>
      </c>
      <c r="K55" s="17">
        <f>'03 Historical'!$F$64</f>
        <v>26648</v>
      </c>
      <c r="L55" s="17">
        <f>'03 Historical'!$F$64</f>
        <v>26648</v>
      </c>
      <c r="M55" s="17">
        <f>'03 Historical'!$F$64</f>
        <v>26648</v>
      </c>
      <c r="N55" s="17">
        <f>'03 Historical'!$F$64</f>
        <v>26648</v>
      </c>
      <c r="O55" s="17">
        <f>'03 Historical'!$F$64</f>
        <v>26648</v>
      </c>
      <c r="P55" s="17">
        <f>'03 Historical'!$F$64</f>
        <v>26648</v>
      </c>
    </row>
    <row r="56" spans="2:16" x14ac:dyDescent="0.3">
      <c r="B56" t="s">
        <v>148</v>
      </c>
      <c r="C56" t="s">
        <v>95</v>
      </c>
      <c r="D56" s="17"/>
      <c r="E56" s="17"/>
      <c r="F56" s="17"/>
      <c r="G56" s="17">
        <f>'03 Historical'!$F$63</f>
        <v>11771</v>
      </c>
      <c r="H56" s="17">
        <f>'03 Historical'!$F$63</f>
        <v>11771</v>
      </c>
      <c r="I56" s="17">
        <f>'03 Historical'!$F$63</f>
        <v>11771</v>
      </c>
      <c r="J56" s="17">
        <f>'03 Historical'!$F$63</f>
        <v>11771</v>
      </c>
      <c r="K56" s="17">
        <f>'03 Historical'!$F$63</f>
        <v>11771</v>
      </c>
      <c r="L56" s="17">
        <f>'03 Historical'!$F$63</f>
        <v>11771</v>
      </c>
      <c r="M56" s="17">
        <f>'03 Historical'!$F$63</f>
        <v>11771</v>
      </c>
      <c r="N56" s="17">
        <f>'03 Historical'!$F$63</f>
        <v>11771</v>
      </c>
      <c r="O56" s="17">
        <f>'03 Historical'!$F$63</f>
        <v>11771</v>
      </c>
      <c r="P56" s="17">
        <f>'03 Historical'!$F$63</f>
        <v>11771</v>
      </c>
    </row>
    <row r="57" spans="2:16" x14ac:dyDescent="0.3">
      <c r="B57" t="s">
        <v>677</v>
      </c>
      <c r="C57" t="s">
        <v>95</v>
      </c>
      <c r="D57" s="17"/>
      <c r="E57" s="17"/>
      <c r="F57" s="17"/>
      <c r="G57" s="17">
        <f>'03 Historical'!$F$65-('03 Historical'!$F$112-'03 Historical'!$F$119)</f>
        <v>9097</v>
      </c>
      <c r="H57" s="17">
        <f>'03 Historical'!$F$65-('03 Historical'!$F$112-'03 Historical'!$F$119)</f>
        <v>9097</v>
      </c>
      <c r="I57" s="17">
        <f>'03 Historical'!$F$65-('03 Historical'!$F$112-'03 Historical'!$F$119)</f>
        <v>9097</v>
      </c>
      <c r="J57" s="17">
        <f>'03 Historical'!$F$65-('03 Historical'!$F$112-'03 Historical'!$F$119)</f>
        <v>9097</v>
      </c>
      <c r="K57" s="17">
        <f>'03 Historical'!$F$65-('03 Historical'!$F$112-'03 Historical'!$F$119)</f>
        <v>9097</v>
      </c>
      <c r="L57" s="17">
        <f>'03 Historical'!$F$65-('03 Historical'!$F$112-'03 Historical'!$F$119)</f>
        <v>9097</v>
      </c>
      <c r="M57" s="17">
        <f>'03 Historical'!$F$65-('03 Historical'!$F$112-'03 Historical'!$F$119)</f>
        <v>9097</v>
      </c>
      <c r="N57" s="17">
        <f>'03 Historical'!$F$65-('03 Historical'!$F$112-'03 Historical'!$F$119)</f>
        <v>9097</v>
      </c>
      <c r="O57" s="17">
        <f>'03 Historical'!$F$65-('03 Historical'!$F$112-'03 Historical'!$F$119)</f>
        <v>9097</v>
      </c>
      <c r="P57" s="17">
        <f>'03 Historical'!$F$65-('03 Historical'!$F$112-'03 Historical'!$F$119)</f>
        <v>9097</v>
      </c>
    </row>
    <row r="58" spans="2:16" x14ac:dyDescent="0.3">
      <c r="B58" s="3" t="s">
        <v>653</v>
      </c>
      <c r="C58" s="3" t="s">
        <v>95</v>
      </c>
      <c r="D58" s="18"/>
      <c r="E58" s="18"/>
      <c r="F58" s="18"/>
      <c r="G58" s="18">
        <f t="shared" ref="G58:P58" si="20">SUM(G49:G57)</f>
        <v>217225.87598899042</v>
      </c>
      <c r="H58" s="18">
        <f t="shared" si="20"/>
        <v>218617.17260127063</v>
      </c>
      <c r="I58" s="18">
        <f t="shared" si="20"/>
        <v>214316.81662007206</v>
      </c>
      <c r="J58" s="18">
        <f t="shared" si="20"/>
        <v>201020.9213845472</v>
      </c>
      <c r="K58" s="18">
        <f t="shared" si="20"/>
        <v>177768.92149976682</v>
      </c>
      <c r="L58" s="18">
        <f t="shared" si="20"/>
        <v>146286.27928675796</v>
      </c>
      <c r="M58" s="18">
        <f t="shared" si="20"/>
        <v>126924.49134868465</v>
      </c>
      <c r="N58" s="18">
        <f t="shared" si="20"/>
        <v>130514.29663145065</v>
      </c>
      <c r="O58" s="18">
        <f t="shared" si="20"/>
        <v>133507.59698434215</v>
      </c>
      <c r="P58" s="18">
        <f t="shared" si="20"/>
        <v>136224.98003444061</v>
      </c>
    </row>
    <row r="59" spans="2:16" x14ac:dyDescent="0.3">
      <c r="B59" t="s">
        <v>654</v>
      </c>
      <c r="C59" t="s">
        <v>95</v>
      </c>
      <c r="D59" s="17"/>
      <c r="E59" s="17"/>
      <c r="F59" s="17"/>
      <c r="G59" s="17">
        <f t="shared" ref="G59:P59" si="21">G70</f>
        <v>59310.890942800004</v>
      </c>
      <c r="H59" s="17">
        <f t="shared" si="21"/>
        <v>80432.631546392862</v>
      </c>
      <c r="I59" s="17">
        <f t="shared" si="21"/>
        <v>106765.40825832782</v>
      </c>
      <c r="J59" s="17">
        <f t="shared" si="21"/>
        <v>138768.88970339639</v>
      </c>
      <c r="K59" s="17">
        <f t="shared" si="21"/>
        <v>176311.05907113795</v>
      </c>
      <c r="L59" s="17">
        <f t="shared" si="21"/>
        <v>219415.53866159017</v>
      </c>
      <c r="M59" s="17">
        <f t="shared" si="21"/>
        <v>267806.59195731394</v>
      </c>
      <c r="N59" s="17">
        <f t="shared" si="21"/>
        <v>320606.31607611012</v>
      </c>
      <c r="O59" s="17">
        <f t="shared" si="21"/>
        <v>375804.22608469444</v>
      </c>
      <c r="P59" s="17">
        <f t="shared" si="21"/>
        <v>431838.27455121028</v>
      </c>
    </row>
    <row r="60" spans="2:16" x14ac:dyDescent="0.3">
      <c r="B60" s="3" t="s">
        <v>159</v>
      </c>
      <c r="C60" s="3" t="s">
        <v>95</v>
      </c>
      <c r="D60" s="18"/>
      <c r="E60" s="18"/>
      <c r="F60" s="18"/>
      <c r="G60" s="18">
        <f t="shared" ref="G60:P60" si="22">G58+G59</f>
        <v>276536.76693179039</v>
      </c>
      <c r="H60" s="18">
        <f t="shared" si="22"/>
        <v>299049.80414766353</v>
      </c>
      <c r="I60" s="18">
        <f t="shared" si="22"/>
        <v>321082.22487839987</v>
      </c>
      <c r="J60" s="18">
        <f t="shared" si="22"/>
        <v>339789.81108794361</v>
      </c>
      <c r="K60" s="18">
        <f t="shared" si="22"/>
        <v>354079.98057090479</v>
      </c>
      <c r="L60" s="18">
        <f t="shared" si="22"/>
        <v>365701.81794834812</v>
      </c>
      <c r="M60" s="18">
        <f t="shared" si="22"/>
        <v>394731.08330599859</v>
      </c>
      <c r="N60" s="18">
        <f t="shared" si="22"/>
        <v>451120.61270756077</v>
      </c>
      <c r="O60" s="18">
        <f t="shared" si="22"/>
        <v>509311.82306903659</v>
      </c>
      <c r="P60" s="18">
        <f t="shared" si="22"/>
        <v>568063.25458565087</v>
      </c>
    </row>
    <row r="61" spans="2:16" x14ac:dyDescent="0.3">
      <c r="B61" s="22" t="s">
        <v>655</v>
      </c>
      <c r="C61" s="22" t="s">
        <v>95</v>
      </c>
      <c r="D61" s="23"/>
      <c r="E61" s="23"/>
      <c r="F61" s="23"/>
      <c r="G61" s="23">
        <f t="shared" ref="G61:P61" si="23">G48-G60</f>
        <v>0</v>
      </c>
      <c r="H61" s="23">
        <f t="shared" si="23"/>
        <v>0</v>
      </c>
      <c r="I61" s="23">
        <f t="shared" si="23"/>
        <v>0</v>
      </c>
      <c r="J61" s="23">
        <f t="shared" si="23"/>
        <v>0</v>
      </c>
      <c r="K61" s="23">
        <f t="shared" si="23"/>
        <v>0</v>
      </c>
      <c r="L61" s="23">
        <f t="shared" si="23"/>
        <v>0</v>
      </c>
      <c r="M61" s="23">
        <f t="shared" si="23"/>
        <v>0</v>
      </c>
      <c r="N61" s="23">
        <f t="shared" si="23"/>
        <v>0</v>
      </c>
      <c r="O61" s="23">
        <f t="shared" si="23"/>
        <v>0</v>
      </c>
      <c r="P61" s="23">
        <f t="shared" si="23"/>
        <v>0</v>
      </c>
    </row>
    <row r="63" spans="2:16" x14ac:dyDescent="0.3">
      <c r="B63" s="5" t="s">
        <v>656</v>
      </c>
      <c r="C63" s="5"/>
      <c r="D63" s="5"/>
      <c r="E63" s="5"/>
      <c r="F63" s="5"/>
      <c r="G63" s="5"/>
      <c r="H63" s="5"/>
      <c r="I63" s="5"/>
      <c r="J63" s="5"/>
      <c r="K63" s="5"/>
      <c r="L63" s="5"/>
      <c r="M63" s="5"/>
      <c r="N63" s="5"/>
      <c r="O63" s="5"/>
      <c r="P63" s="5"/>
    </row>
    <row r="64" spans="2:16" x14ac:dyDescent="0.3">
      <c r="B64" t="s">
        <v>657</v>
      </c>
      <c r="C64" t="s">
        <v>95</v>
      </c>
      <c r="D64" s="17"/>
      <c r="E64" s="17"/>
      <c r="F64" s="17"/>
      <c r="G64" s="17">
        <f t="shared" ref="G64:P64" si="24">F70</f>
        <v>43056</v>
      </c>
      <c r="H64" s="17">
        <f t="shared" si="24"/>
        <v>59310.890942800004</v>
      </c>
      <c r="I64" s="17">
        <f t="shared" si="24"/>
        <v>80432.631546392862</v>
      </c>
      <c r="J64" s="17">
        <f t="shared" si="24"/>
        <v>106765.40825832782</v>
      </c>
      <c r="K64" s="17">
        <f t="shared" si="24"/>
        <v>138768.88970339639</v>
      </c>
      <c r="L64" s="17">
        <f t="shared" si="24"/>
        <v>176311.05907113795</v>
      </c>
      <c r="M64" s="17">
        <f t="shared" si="24"/>
        <v>219415.53866159017</v>
      </c>
      <c r="N64" s="17">
        <f t="shared" si="24"/>
        <v>267806.59195731394</v>
      </c>
      <c r="O64" s="17">
        <f t="shared" si="24"/>
        <v>320606.31607611012</v>
      </c>
      <c r="P64" s="17">
        <f t="shared" si="24"/>
        <v>375804.22608469444</v>
      </c>
    </row>
    <row r="65" spans="2:16" x14ac:dyDescent="0.3">
      <c r="B65" t="s">
        <v>658</v>
      </c>
      <c r="C65" t="s">
        <v>95</v>
      </c>
      <c r="D65" s="17"/>
      <c r="E65" s="17"/>
      <c r="F65" s="17"/>
      <c r="G65" s="17">
        <f t="shared" ref="G65:P65" si="25">G16</f>
        <v>16894.412742800003</v>
      </c>
      <c r="H65" s="17">
        <f t="shared" si="25"/>
        <v>21208.870008792859</v>
      </c>
      <c r="I65" s="17">
        <f t="shared" si="25"/>
        <v>26003.815203966948</v>
      </c>
      <c r="J65" s="17">
        <f t="shared" si="25"/>
        <v>31456.646140943216</v>
      </c>
      <c r="K65" s="17">
        <f t="shared" si="25"/>
        <v>37026.74851956706</v>
      </c>
      <c r="L65" s="17">
        <f t="shared" si="25"/>
        <v>42892.251628150938</v>
      </c>
      <c r="M65" s="17">
        <f t="shared" si="25"/>
        <v>48755.992013590461</v>
      </c>
      <c r="N65" s="17">
        <f t="shared" si="25"/>
        <v>53773.308176699298</v>
      </c>
      <c r="O65" s="17">
        <f t="shared" si="25"/>
        <v>57010.528637210729</v>
      </c>
      <c r="P65" s="17">
        <f t="shared" si="25"/>
        <v>59066.972621638764</v>
      </c>
    </row>
    <row r="66" spans="2:16" x14ac:dyDescent="0.3">
      <c r="B66" t="s">
        <v>659</v>
      </c>
      <c r="C66" t="s">
        <v>95</v>
      </c>
      <c r="D66" s="17"/>
      <c r="E66" s="17"/>
      <c r="F66" s="17"/>
      <c r="G66" s="17">
        <f t="shared" ref="G66:P66" si="26">G75</f>
        <v>5932.4482000000016</v>
      </c>
      <c r="H66" s="17">
        <f t="shared" si="26"/>
        <v>6984.8373947999999</v>
      </c>
      <c r="I66" s="17">
        <f t="shared" si="26"/>
        <v>7940.9248519679995</v>
      </c>
      <c r="J66" s="17">
        <f t="shared" si="26"/>
        <v>8741.9949156453586</v>
      </c>
      <c r="K66" s="17">
        <f t="shared" si="26"/>
        <v>9340.4324286161263</v>
      </c>
      <c r="L66" s="17">
        <f t="shared" si="26"/>
        <v>9717.4796691782285</v>
      </c>
      <c r="M66" s="17">
        <f t="shared" si="26"/>
        <v>9874.9723255603858</v>
      </c>
      <c r="N66" s="17">
        <f t="shared" si="26"/>
        <v>10059.759068998086</v>
      </c>
      <c r="O66" s="17">
        <f t="shared" si="26"/>
        <v>10077.631148426988</v>
      </c>
      <c r="P66" s="17">
        <f t="shared" si="26"/>
        <v>9782.784804094752</v>
      </c>
    </row>
    <row r="67" spans="2:16" x14ac:dyDescent="0.3">
      <c r="B67" t="s">
        <v>660</v>
      </c>
      <c r="C67" t="s">
        <v>95</v>
      </c>
      <c r="D67" s="17"/>
      <c r="E67" s="17"/>
      <c r="F67" s="17"/>
      <c r="G67" s="17">
        <f t="shared" ref="G67:P67" si="27">G92</f>
        <v>6249.96</v>
      </c>
      <c r="H67" s="17">
        <f t="shared" si="27"/>
        <v>6749.9568000000008</v>
      </c>
      <c r="I67" s="17">
        <f t="shared" si="27"/>
        <v>7289.9533440000014</v>
      </c>
      <c r="J67" s="17">
        <f t="shared" si="27"/>
        <v>7873.1496115200016</v>
      </c>
      <c r="K67" s="17">
        <f t="shared" si="27"/>
        <v>8503.0015804416016</v>
      </c>
      <c r="L67" s="17">
        <f t="shared" si="27"/>
        <v>9183.24170687693</v>
      </c>
      <c r="M67" s="17">
        <f t="shared" si="27"/>
        <v>9917.9010434270858</v>
      </c>
      <c r="N67" s="17">
        <f t="shared" si="27"/>
        <v>10711.333126901254</v>
      </c>
      <c r="O67" s="17">
        <f t="shared" si="27"/>
        <v>11568.239777053355</v>
      </c>
      <c r="P67" s="17">
        <f t="shared" si="27"/>
        <v>12493.698959217625</v>
      </c>
    </row>
    <row r="68" spans="2:16" x14ac:dyDescent="0.3">
      <c r="B68" t="s">
        <v>629</v>
      </c>
      <c r="C68" t="s">
        <v>95</v>
      </c>
      <c r="D68" s="17"/>
      <c r="E68" s="17"/>
      <c r="F68" s="17"/>
      <c r="G68" s="17">
        <f t="shared" ref="G68:P68" si="28">G93</f>
        <v>322.01</v>
      </c>
      <c r="H68" s="17">
        <f t="shared" si="28"/>
        <v>322.01</v>
      </c>
      <c r="I68" s="17">
        <f t="shared" si="28"/>
        <v>322.01</v>
      </c>
      <c r="J68" s="17">
        <f t="shared" si="28"/>
        <v>322.01</v>
      </c>
      <c r="K68" s="17">
        <f t="shared" si="28"/>
        <v>322.01</v>
      </c>
      <c r="L68" s="17">
        <f t="shared" si="28"/>
        <v>322.01</v>
      </c>
      <c r="M68" s="17">
        <f t="shared" si="28"/>
        <v>322.01</v>
      </c>
      <c r="N68" s="17">
        <f t="shared" si="28"/>
        <v>322.01</v>
      </c>
      <c r="O68" s="17">
        <f t="shared" si="28"/>
        <v>322.01</v>
      </c>
      <c r="P68" s="17">
        <f t="shared" si="28"/>
        <v>322.01</v>
      </c>
    </row>
    <row r="69" spans="2:16" x14ac:dyDescent="0.3">
      <c r="B69" t="s">
        <v>661</v>
      </c>
      <c r="C69" t="s">
        <v>95</v>
      </c>
      <c r="D69" s="17"/>
      <c r="E69" s="17"/>
      <c r="F69" s="17"/>
      <c r="G69" s="17">
        <f>'02 Assumptions'!$C$100</f>
        <v>0</v>
      </c>
      <c r="H69" s="17">
        <f>'02 Assumptions'!$C$100</f>
        <v>0</v>
      </c>
      <c r="I69" s="17">
        <f>'02 Assumptions'!$C$100</f>
        <v>0</v>
      </c>
      <c r="J69" s="17">
        <f>'02 Assumptions'!$C$100</f>
        <v>0</v>
      </c>
      <c r="K69" s="17">
        <f>'02 Assumptions'!$C$100</f>
        <v>0</v>
      </c>
      <c r="L69" s="17">
        <f>'02 Assumptions'!$C$100</f>
        <v>0</v>
      </c>
      <c r="M69" s="17">
        <f>'02 Assumptions'!$C$100</f>
        <v>0</v>
      </c>
      <c r="N69" s="17">
        <f>'02 Assumptions'!$C$100</f>
        <v>0</v>
      </c>
      <c r="O69" s="17">
        <f>'02 Assumptions'!$C$100</f>
        <v>0</v>
      </c>
      <c r="P69" s="17">
        <f>'02 Assumptions'!$C$100</f>
        <v>0</v>
      </c>
    </row>
    <row r="70" spans="2:16" x14ac:dyDescent="0.3">
      <c r="B70" s="3" t="s">
        <v>662</v>
      </c>
      <c r="C70" s="3" t="s">
        <v>95</v>
      </c>
      <c r="D70" s="18"/>
      <c r="E70" s="18"/>
      <c r="F70" s="18">
        <f>'03 Historical'!$F$73</f>
        <v>43056</v>
      </c>
      <c r="G70" s="18">
        <f t="shared" ref="G70:P70" si="29">G64+G65+G66-G67-G68-G69</f>
        <v>59310.890942800004</v>
      </c>
      <c r="H70" s="18">
        <f t="shared" si="29"/>
        <v>80432.631546392862</v>
      </c>
      <c r="I70" s="18">
        <f t="shared" si="29"/>
        <v>106765.40825832782</v>
      </c>
      <c r="J70" s="18">
        <f t="shared" si="29"/>
        <v>138768.88970339639</v>
      </c>
      <c r="K70" s="18">
        <f t="shared" si="29"/>
        <v>176311.05907113795</v>
      </c>
      <c r="L70" s="18">
        <f t="shared" si="29"/>
        <v>219415.53866159017</v>
      </c>
      <c r="M70" s="18">
        <f t="shared" si="29"/>
        <v>267806.59195731394</v>
      </c>
      <c r="N70" s="18">
        <f t="shared" si="29"/>
        <v>320606.31607611012</v>
      </c>
      <c r="O70" s="18">
        <f t="shared" si="29"/>
        <v>375804.22608469444</v>
      </c>
      <c r="P70" s="18">
        <f t="shared" si="29"/>
        <v>431838.27455121028</v>
      </c>
    </row>
    <row r="72" spans="2:16" x14ac:dyDescent="0.3">
      <c r="B72" s="5" t="s">
        <v>161</v>
      </c>
      <c r="C72" s="5"/>
      <c r="D72" s="5"/>
      <c r="E72" s="5"/>
      <c r="F72" s="5"/>
      <c r="G72" s="5"/>
      <c r="H72" s="5"/>
      <c r="I72" s="5"/>
      <c r="J72" s="5"/>
      <c r="K72" s="5"/>
      <c r="L72" s="5"/>
      <c r="M72" s="5"/>
      <c r="N72" s="5"/>
      <c r="O72" s="5"/>
      <c r="P72" s="5"/>
    </row>
    <row r="73" spans="2:16" x14ac:dyDescent="0.3">
      <c r="B73" t="s">
        <v>162</v>
      </c>
      <c r="C73" t="s">
        <v>95</v>
      </c>
      <c r="D73" s="17"/>
      <c r="E73" s="17"/>
      <c r="F73" s="17"/>
      <c r="G73" s="17">
        <f t="shared" ref="G73:P73" si="30">G16</f>
        <v>16894.412742800003</v>
      </c>
      <c r="H73" s="17">
        <f t="shared" si="30"/>
        <v>21208.870008792859</v>
      </c>
      <c r="I73" s="17">
        <f t="shared" si="30"/>
        <v>26003.815203966948</v>
      </c>
      <c r="J73" s="17">
        <f t="shared" si="30"/>
        <v>31456.646140943216</v>
      </c>
      <c r="K73" s="17">
        <f t="shared" si="30"/>
        <v>37026.74851956706</v>
      </c>
      <c r="L73" s="17">
        <f t="shared" si="30"/>
        <v>42892.251628150938</v>
      </c>
      <c r="M73" s="17">
        <f t="shared" si="30"/>
        <v>48755.992013590461</v>
      </c>
      <c r="N73" s="17">
        <f t="shared" si="30"/>
        <v>53773.308176699298</v>
      </c>
      <c r="O73" s="17">
        <f t="shared" si="30"/>
        <v>57010.528637210729</v>
      </c>
      <c r="P73" s="17">
        <f t="shared" si="30"/>
        <v>59066.972621638764</v>
      </c>
    </row>
    <row r="74" spans="2:16" x14ac:dyDescent="0.3">
      <c r="B74" t="s">
        <v>514</v>
      </c>
      <c r="C74" t="s">
        <v>95</v>
      </c>
      <c r="D74" s="17"/>
      <c r="E74" s="17"/>
      <c r="F74" s="17"/>
      <c r="G74" s="17">
        <f>'04 Operating Model'!G38</f>
        <v>16972.722249999999</v>
      </c>
      <c r="H74" s="17">
        <f>'04 Operating Model'!H38</f>
        <v>20498.011828750001</v>
      </c>
      <c r="I74" s="17">
        <f>'04 Operating Model'!I38</f>
        <v>22588.389599366252</v>
      </c>
      <c r="J74" s="17">
        <f>'04 Operating Model'!J38</f>
        <v>23710.899559439822</v>
      </c>
      <c r="K74" s="17">
        <f>'04 Operating Model'!K38</f>
        <v>24157.168519538351</v>
      </c>
      <c r="L74" s="17">
        <f>'04 Operating Model'!L38</f>
        <v>24243.904513482208</v>
      </c>
      <c r="M74" s="17">
        <f>'04 Operating Model'!M38</f>
        <v>24259.843549807731</v>
      </c>
      <c r="N74" s="17">
        <f>'04 Operating Model'!N38</f>
        <v>24309.664886481529</v>
      </c>
      <c r="O74" s="17">
        <f>'04 Operating Model'!O38</f>
        <v>24397.423997144004</v>
      </c>
      <c r="P74" s="17">
        <f>'04 Operating Model'!P38</f>
        <v>24510.665596224917</v>
      </c>
    </row>
    <row r="75" spans="2:16" x14ac:dyDescent="0.3">
      <c r="B75" t="s">
        <v>663</v>
      </c>
      <c r="C75" t="s">
        <v>95</v>
      </c>
      <c r="D75" s="17"/>
      <c r="E75" s="17"/>
      <c r="F75" s="17"/>
      <c r="G75" s="17">
        <f>G7*'02 Assumptions'!G95</f>
        <v>5932.4482000000016</v>
      </c>
      <c r="H75" s="17">
        <f>H7*'02 Assumptions'!H95</f>
        <v>6984.8373947999999</v>
      </c>
      <c r="I75" s="17">
        <f>I7*'02 Assumptions'!I95</f>
        <v>7940.9248519679995</v>
      </c>
      <c r="J75" s="17">
        <f>J7*'02 Assumptions'!J95</f>
        <v>8741.9949156453586</v>
      </c>
      <c r="K75" s="17">
        <f>K7*'02 Assumptions'!K95</f>
        <v>9340.4324286161263</v>
      </c>
      <c r="L75" s="17">
        <f>L7*'02 Assumptions'!L95</f>
        <v>9717.4796691782285</v>
      </c>
      <c r="M75" s="17">
        <f>M7*'02 Assumptions'!M95</f>
        <v>9874.9723255603858</v>
      </c>
      <c r="N75" s="17">
        <f>N7*'02 Assumptions'!N95</f>
        <v>10059.759068998086</v>
      </c>
      <c r="O75" s="17">
        <f>O7*'02 Assumptions'!O95</f>
        <v>10077.631148426988</v>
      </c>
      <c r="P75" s="17">
        <f>P7*'02 Assumptions'!P95</f>
        <v>9782.784804094752</v>
      </c>
    </row>
    <row r="76" spans="2:16" x14ac:dyDescent="0.3">
      <c r="B76" t="s">
        <v>516</v>
      </c>
      <c r="C76" t="s">
        <v>95</v>
      </c>
      <c r="D76" s="17"/>
      <c r="E76" s="17"/>
      <c r="F76" s="17"/>
      <c r="G76" s="17">
        <f>-'04 Operating Model'!G51</f>
        <v>2273.4096472191814</v>
      </c>
      <c r="H76" s="17">
        <f>-'04 Operating Model'!H51</f>
        <v>2329.7099704471257</v>
      </c>
      <c r="I76" s="17">
        <f>-'04 Operating Model'!I51</f>
        <v>2501.1330906847907</v>
      </c>
      <c r="J76" s="17">
        <f>-'04 Operating Model'!J51</f>
        <v>2364.0617013320734</v>
      </c>
      <c r="K76" s="17">
        <f>-'04 Operating Model'!K51</f>
        <v>1943.6899950456245</v>
      </c>
      <c r="L76" s="17">
        <f>-'04 Operating Model'!L51</f>
        <v>1500.1551434296416</v>
      </c>
      <c r="M76" s="17">
        <f>-'04 Operating Model'!M51</f>
        <v>1454.2208910818736</v>
      </c>
      <c r="N76" s="17">
        <f>-'04 Operating Model'!N51</f>
        <v>1326.1725714656932</v>
      </c>
      <c r="O76" s="17">
        <f>-'04 Operating Model'!O51</f>
        <v>1238.1289547775523</v>
      </c>
      <c r="P76" s="17">
        <f>-'04 Operating Model'!P51</f>
        <v>1225.0019279760454</v>
      </c>
    </row>
    <row r="77" spans="2:16" x14ac:dyDescent="0.3">
      <c r="B77" s="3" t="s">
        <v>664</v>
      </c>
      <c r="C77" s="3" t="s">
        <v>95</v>
      </c>
      <c r="D77" s="18"/>
      <c r="E77" s="18"/>
      <c r="F77" s="18"/>
      <c r="G77" s="18">
        <f t="shared" ref="G77:P77" si="31">SUM(G73:G76)</f>
        <v>42072.992840019178</v>
      </c>
      <c r="H77" s="18">
        <f t="shared" si="31"/>
        <v>51021.429202789986</v>
      </c>
      <c r="I77" s="18">
        <f t="shared" si="31"/>
        <v>59034.26274598598</v>
      </c>
      <c r="J77" s="18">
        <f t="shared" si="31"/>
        <v>66273.602317360463</v>
      </c>
      <c r="K77" s="18">
        <f t="shared" si="31"/>
        <v>72468.039462767163</v>
      </c>
      <c r="L77" s="18">
        <f t="shared" si="31"/>
        <v>78353.790954241005</v>
      </c>
      <c r="M77" s="18">
        <f t="shared" si="31"/>
        <v>84345.028780040462</v>
      </c>
      <c r="N77" s="18">
        <f t="shared" si="31"/>
        <v>89468.904703644614</v>
      </c>
      <c r="O77" s="18">
        <f t="shared" si="31"/>
        <v>92723.712737559268</v>
      </c>
      <c r="P77" s="18">
        <f t="shared" si="31"/>
        <v>94585.424949934488</v>
      </c>
    </row>
    <row r="78" spans="2:16" x14ac:dyDescent="0.3">
      <c r="B78" t="s">
        <v>515</v>
      </c>
      <c r="C78" t="s">
        <v>95</v>
      </c>
      <c r="D78" s="17"/>
      <c r="E78" s="17"/>
      <c r="F78" s="17"/>
      <c r="G78" s="17">
        <f>-'04 Operating Model'!G34</f>
        <v>-50849.556000000004</v>
      </c>
      <c r="H78" s="17">
        <f>-'04 Operating Model'!H34</f>
        <v>-41700.521760000003</v>
      </c>
      <c r="I78" s="17">
        <f>-'04 Operating Model'!I34</f>
        <v>-34741.546227359999</v>
      </c>
      <c r="J78" s="17">
        <f>-'04 Operating Model'!J34</f>
        <v>-30095.392332549596</v>
      </c>
      <c r="K78" s="17">
        <f>-'04 Operating Model'!K34</f>
        <v>-25766.710147906557</v>
      </c>
      <c r="L78" s="17">
        <f>-'04 Operating Model'!L34</f>
        <v>-24735.402794271857</v>
      </c>
      <c r="M78" s="17">
        <f>-'04 Operating Model'!M34</f>
        <v>-24687.430813900966</v>
      </c>
      <c r="N78" s="17">
        <f>-'04 Operating Model'!N34</f>
        <v>-25149.397672495212</v>
      </c>
      <c r="O78" s="17">
        <f>-'04 Operating Model'!O34</f>
        <v>-25194.077871067468</v>
      </c>
      <c r="P78" s="17">
        <f>-'04 Operating Model'!P34</f>
        <v>-25652.635708515128</v>
      </c>
    </row>
    <row r="79" spans="2:16" x14ac:dyDescent="0.3">
      <c r="B79" s="3" t="s">
        <v>665</v>
      </c>
      <c r="C79" s="3" t="s">
        <v>95</v>
      </c>
      <c r="D79" s="18"/>
      <c r="E79" s="18"/>
      <c r="F79" s="18"/>
      <c r="G79" s="18">
        <f t="shared" ref="G79:P79" si="32">G78</f>
        <v>-50849.556000000004</v>
      </c>
      <c r="H79" s="18">
        <f t="shared" si="32"/>
        <v>-41700.521760000003</v>
      </c>
      <c r="I79" s="18">
        <f t="shared" si="32"/>
        <v>-34741.546227359999</v>
      </c>
      <c r="J79" s="18">
        <f t="shared" si="32"/>
        <v>-30095.392332549596</v>
      </c>
      <c r="K79" s="18">
        <f t="shared" si="32"/>
        <v>-25766.710147906557</v>
      </c>
      <c r="L79" s="18">
        <f t="shared" si="32"/>
        <v>-24735.402794271857</v>
      </c>
      <c r="M79" s="18">
        <f t="shared" si="32"/>
        <v>-24687.430813900966</v>
      </c>
      <c r="N79" s="18">
        <f t="shared" si="32"/>
        <v>-25149.397672495212</v>
      </c>
      <c r="O79" s="18">
        <f t="shared" si="32"/>
        <v>-25194.077871067468</v>
      </c>
      <c r="P79" s="18">
        <f t="shared" si="32"/>
        <v>-25652.635708515128</v>
      </c>
    </row>
    <row r="80" spans="2:16" x14ac:dyDescent="0.3">
      <c r="B80" t="s">
        <v>666</v>
      </c>
      <c r="C80" t="s">
        <v>95</v>
      </c>
      <c r="D80" s="17"/>
      <c r="E80" s="17"/>
      <c r="F80" s="17"/>
      <c r="G80" s="17">
        <f t="shared" ref="G80:P80" si="33">G22</f>
        <v>0</v>
      </c>
      <c r="H80" s="17">
        <f t="shared" si="33"/>
        <v>0</v>
      </c>
      <c r="I80" s="17">
        <f t="shared" si="33"/>
        <v>0</v>
      </c>
      <c r="J80" s="17">
        <f t="shared" si="33"/>
        <v>0</v>
      </c>
      <c r="K80" s="17">
        <f t="shared" si="33"/>
        <v>0</v>
      </c>
      <c r="L80" s="17">
        <f t="shared" si="33"/>
        <v>0</v>
      </c>
      <c r="M80" s="17">
        <f t="shared" si="33"/>
        <v>0</v>
      </c>
      <c r="N80" s="17">
        <f t="shared" si="33"/>
        <v>0</v>
      </c>
      <c r="O80" s="17">
        <f t="shared" si="33"/>
        <v>0</v>
      </c>
      <c r="P80" s="17">
        <f t="shared" si="33"/>
        <v>0</v>
      </c>
    </row>
    <row r="81" spans="2:16" x14ac:dyDescent="0.3">
      <c r="B81" t="s">
        <v>634</v>
      </c>
      <c r="C81" t="s">
        <v>95</v>
      </c>
      <c r="D81" s="17"/>
      <c r="E81" s="17"/>
      <c r="F81" s="17"/>
      <c r="G81" s="17">
        <f t="shared" ref="G81:P81" si="34">-G23</f>
        <v>-7334.6139700095837</v>
      </c>
      <c r="H81" s="17">
        <f t="shared" si="34"/>
        <v>-4645.5119733997835</v>
      </c>
      <c r="I81" s="17">
        <f t="shared" si="34"/>
        <v>-10514.440225922885</v>
      </c>
      <c r="J81" s="17">
        <f t="shared" si="34"/>
        <v>-19104.486990248672</v>
      </c>
      <c r="K81" s="17">
        <f t="shared" si="34"/>
        <v>-28357.423264598914</v>
      </c>
      <c r="L81" s="17">
        <f t="shared" si="34"/>
        <v>-36117.983533049839</v>
      </c>
      <c r="M81" s="17">
        <f t="shared" si="34"/>
        <v>-23466.540042770335</v>
      </c>
      <c r="N81" s="17">
        <f t="shared" si="34"/>
        <v>0</v>
      </c>
      <c r="O81" s="17">
        <f t="shared" si="34"/>
        <v>0</v>
      </c>
      <c r="P81" s="17">
        <f t="shared" si="34"/>
        <v>0</v>
      </c>
    </row>
    <row r="82" spans="2:16" x14ac:dyDescent="0.3">
      <c r="B82" t="s">
        <v>660</v>
      </c>
      <c r="C82" t="s">
        <v>95</v>
      </c>
      <c r="D82" s="17"/>
      <c r="E82" s="17"/>
      <c r="F82" s="17"/>
      <c r="G82" s="17">
        <f t="shared" ref="G82:P82" si="35">G92</f>
        <v>6249.96</v>
      </c>
      <c r="H82" s="17">
        <f t="shared" si="35"/>
        <v>6749.9568000000008</v>
      </c>
      <c r="I82" s="17">
        <f t="shared" si="35"/>
        <v>7289.9533440000014</v>
      </c>
      <c r="J82" s="17">
        <f t="shared" si="35"/>
        <v>7873.1496115200016</v>
      </c>
      <c r="K82" s="17">
        <f t="shared" si="35"/>
        <v>8503.0015804416016</v>
      </c>
      <c r="L82" s="17">
        <f t="shared" si="35"/>
        <v>9183.24170687693</v>
      </c>
      <c r="M82" s="17">
        <f t="shared" si="35"/>
        <v>9917.9010434270858</v>
      </c>
      <c r="N82" s="17">
        <f t="shared" si="35"/>
        <v>10711.333126901254</v>
      </c>
      <c r="O82" s="17">
        <f t="shared" si="35"/>
        <v>11568.239777053355</v>
      </c>
      <c r="P82" s="17">
        <f t="shared" si="35"/>
        <v>12493.698959217625</v>
      </c>
    </row>
    <row r="83" spans="2:16" x14ac:dyDescent="0.3">
      <c r="B83" t="s">
        <v>629</v>
      </c>
      <c r="C83" t="s">
        <v>95</v>
      </c>
      <c r="D83" s="17"/>
      <c r="E83" s="17"/>
      <c r="F83" s="17"/>
      <c r="G83" s="17">
        <f t="shared" ref="G83:P83" si="36">G93</f>
        <v>322.01</v>
      </c>
      <c r="H83" s="17">
        <f t="shared" si="36"/>
        <v>322.01</v>
      </c>
      <c r="I83" s="17">
        <f t="shared" si="36"/>
        <v>322.01</v>
      </c>
      <c r="J83" s="17">
        <f t="shared" si="36"/>
        <v>322.01</v>
      </c>
      <c r="K83" s="17">
        <f t="shared" si="36"/>
        <v>322.01</v>
      </c>
      <c r="L83" s="17">
        <f t="shared" si="36"/>
        <v>322.01</v>
      </c>
      <c r="M83" s="17">
        <f t="shared" si="36"/>
        <v>322.01</v>
      </c>
      <c r="N83" s="17">
        <f t="shared" si="36"/>
        <v>322.01</v>
      </c>
      <c r="O83" s="17">
        <f t="shared" si="36"/>
        <v>322.01</v>
      </c>
      <c r="P83" s="17">
        <f t="shared" si="36"/>
        <v>322.01</v>
      </c>
    </row>
    <row r="84" spans="2:16" x14ac:dyDescent="0.3">
      <c r="B84" t="s">
        <v>667</v>
      </c>
      <c r="C84" t="s">
        <v>95</v>
      </c>
      <c r="D84" s="17"/>
      <c r="E84" s="17"/>
      <c r="F84" s="17"/>
      <c r="G84" s="17">
        <f>'02 Assumptions'!$C$100</f>
        <v>0</v>
      </c>
      <c r="H84" s="17">
        <f>'02 Assumptions'!$C$100</f>
        <v>0</v>
      </c>
      <c r="I84" s="17">
        <f>'02 Assumptions'!$C$100</f>
        <v>0</v>
      </c>
      <c r="J84" s="17">
        <f>'02 Assumptions'!$C$100</f>
        <v>0</v>
      </c>
      <c r="K84" s="17">
        <f>'02 Assumptions'!$C$100</f>
        <v>0</v>
      </c>
      <c r="L84" s="17">
        <f>'02 Assumptions'!$C$100</f>
        <v>0</v>
      </c>
      <c r="M84" s="17">
        <f>'02 Assumptions'!$C$100</f>
        <v>0</v>
      </c>
      <c r="N84" s="17">
        <f>'02 Assumptions'!$C$100</f>
        <v>0</v>
      </c>
      <c r="O84" s="17">
        <f>'02 Assumptions'!$C$100</f>
        <v>0</v>
      </c>
      <c r="P84" s="17">
        <f>'02 Assumptions'!$C$100</f>
        <v>0</v>
      </c>
    </row>
    <row r="85" spans="2:16" x14ac:dyDescent="0.3">
      <c r="B85" s="3" t="s">
        <v>668</v>
      </c>
      <c r="C85" s="3" t="s">
        <v>95</v>
      </c>
      <c r="D85" s="18"/>
      <c r="E85" s="18"/>
      <c r="F85" s="18"/>
      <c r="G85" s="18">
        <f t="shared" ref="G85:P85" si="37">G80+G81-G82-G83-G84</f>
        <v>-13906.583970009584</v>
      </c>
      <c r="H85" s="18">
        <f t="shared" si="37"/>
        <v>-11717.478773399785</v>
      </c>
      <c r="I85" s="18">
        <f t="shared" si="37"/>
        <v>-18126.403569922884</v>
      </c>
      <c r="J85" s="18">
        <f t="shared" si="37"/>
        <v>-27299.646601768673</v>
      </c>
      <c r="K85" s="18">
        <f t="shared" si="37"/>
        <v>-37182.434845040516</v>
      </c>
      <c r="L85" s="18">
        <f t="shared" si="37"/>
        <v>-45623.235239926769</v>
      </c>
      <c r="M85" s="18">
        <f t="shared" si="37"/>
        <v>-33706.451086197419</v>
      </c>
      <c r="N85" s="18">
        <f t="shared" si="37"/>
        <v>-11033.343126901254</v>
      </c>
      <c r="O85" s="18">
        <f t="shared" si="37"/>
        <v>-11890.249777053356</v>
      </c>
      <c r="P85" s="18">
        <f t="shared" si="37"/>
        <v>-12815.708959217625</v>
      </c>
    </row>
    <row r="86" spans="2:16" x14ac:dyDescent="0.3">
      <c r="B86" s="3" t="s">
        <v>669</v>
      </c>
      <c r="C86" s="3" t="s">
        <v>95</v>
      </c>
      <c r="D86" s="18"/>
      <c r="E86" s="18"/>
      <c r="F86" s="18"/>
      <c r="G86" s="18">
        <f t="shared" ref="G86:P86" si="38">G77+G79+G85</f>
        <v>-22683.147129990408</v>
      </c>
      <c r="H86" s="18">
        <f t="shared" si="38"/>
        <v>-2396.5713306098023</v>
      </c>
      <c r="I86" s="18">
        <f t="shared" si="38"/>
        <v>6166.3129487030965</v>
      </c>
      <c r="J86" s="18">
        <f t="shared" si="38"/>
        <v>8878.5633830421903</v>
      </c>
      <c r="K86" s="18">
        <f t="shared" si="38"/>
        <v>9518.8944698200867</v>
      </c>
      <c r="L86" s="18">
        <f t="shared" si="38"/>
        <v>7995.1529200423829</v>
      </c>
      <c r="M86" s="18">
        <f t="shared" si="38"/>
        <v>25951.146879942076</v>
      </c>
      <c r="N86" s="18">
        <f t="shared" si="38"/>
        <v>53286.163904248155</v>
      </c>
      <c r="O86" s="18">
        <f t="shared" si="38"/>
        <v>55639.385089438452</v>
      </c>
      <c r="P86" s="18">
        <f t="shared" si="38"/>
        <v>56117.080282201736</v>
      </c>
    </row>
    <row r="87" spans="2:16" x14ac:dyDescent="0.3">
      <c r="B87" t="s">
        <v>639</v>
      </c>
      <c r="C87" t="s">
        <v>95</v>
      </c>
      <c r="D87" s="17"/>
      <c r="E87" s="17"/>
      <c r="F87" s="17"/>
      <c r="G87" s="17">
        <f t="shared" ref="G87:P87" si="39">G29</f>
        <v>31289</v>
      </c>
      <c r="H87" s="17">
        <f t="shared" si="39"/>
        <v>8605.8528700095849</v>
      </c>
      <c r="I87" s="17">
        <f t="shared" si="39"/>
        <v>6209.2815393997844</v>
      </c>
      <c r="J87" s="17">
        <f t="shared" si="39"/>
        <v>12375.594488102884</v>
      </c>
      <c r="K87" s="17">
        <f t="shared" si="39"/>
        <v>21254.157871145075</v>
      </c>
      <c r="L87" s="17">
        <f t="shared" si="39"/>
        <v>30773.052340965154</v>
      </c>
      <c r="M87" s="17">
        <f t="shared" si="39"/>
        <v>38768.205261007541</v>
      </c>
      <c r="N87" s="17">
        <f t="shared" si="39"/>
        <v>64719.352140949624</v>
      </c>
      <c r="O87" s="17">
        <f t="shared" si="39"/>
        <v>118005.51604519777</v>
      </c>
      <c r="P87" s="17">
        <f t="shared" si="39"/>
        <v>173644.90113463619</v>
      </c>
    </row>
    <row r="88" spans="2:16" x14ac:dyDescent="0.3">
      <c r="B88" s="3" t="s">
        <v>670</v>
      </c>
      <c r="C88" s="3" t="s">
        <v>95</v>
      </c>
      <c r="D88" s="18"/>
      <c r="E88" s="18"/>
      <c r="F88" s="18"/>
      <c r="G88" s="18">
        <f t="shared" ref="G88:P88" si="40">G86+G87</f>
        <v>8605.8528700095922</v>
      </c>
      <c r="H88" s="18">
        <f t="shared" si="40"/>
        <v>6209.2815393997826</v>
      </c>
      <c r="I88" s="18">
        <f t="shared" si="40"/>
        <v>12375.594488102881</v>
      </c>
      <c r="J88" s="18">
        <f t="shared" si="40"/>
        <v>21254.157871145075</v>
      </c>
      <c r="K88" s="18">
        <f t="shared" si="40"/>
        <v>30773.052340965161</v>
      </c>
      <c r="L88" s="18">
        <f t="shared" si="40"/>
        <v>38768.205261007533</v>
      </c>
      <c r="M88" s="18">
        <f t="shared" si="40"/>
        <v>64719.352140949617</v>
      </c>
      <c r="N88" s="18">
        <f t="shared" si="40"/>
        <v>118005.51604519779</v>
      </c>
      <c r="O88" s="18">
        <f t="shared" si="40"/>
        <v>173644.90113463622</v>
      </c>
      <c r="P88" s="18">
        <f t="shared" si="40"/>
        <v>229761.98141683792</v>
      </c>
    </row>
    <row r="89" spans="2:16" x14ac:dyDescent="0.3">
      <c r="B89" s="22" t="s">
        <v>671</v>
      </c>
      <c r="C89" s="22" t="s">
        <v>95</v>
      </c>
      <c r="D89" s="23"/>
      <c r="E89" s="23"/>
      <c r="F89" s="23"/>
      <c r="G89" s="23">
        <f t="shared" ref="G89:P89" si="41">G88-G38</f>
        <v>0</v>
      </c>
      <c r="H89" s="23">
        <f t="shared" si="41"/>
        <v>0</v>
      </c>
      <c r="I89" s="23">
        <f t="shared" si="41"/>
        <v>0</v>
      </c>
      <c r="J89" s="23">
        <f t="shared" si="41"/>
        <v>0</v>
      </c>
      <c r="K89" s="23">
        <f t="shared" si="41"/>
        <v>0</v>
      </c>
      <c r="L89" s="23">
        <f t="shared" si="41"/>
        <v>0</v>
      </c>
      <c r="M89" s="23">
        <f t="shared" si="41"/>
        <v>0</v>
      </c>
      <c r="N89" s="23">
        <f t="shared" si="41"/>
        <v>0</v>
      </c>
      <c r="O89" s="23">
        <f t="shared" si="41"/>
        <v>0</v>
      </c>
      <c r="P89" s="23">
        <f t="shared" si="41"/>
        <v>0</v>
      </c>
    </row>
    <row r="91" spans="2:16" x14ac:dyDescent="0.3">
      <c r="B91" s="5" t="s">
        <v>672</v>
      </c>
      <c r="C91" s="5"/>
      <c r="D91" s="5"/>
      <c r="E91" s="5"/>
      <c r="F91" s="5"/>
      <c r="G91" s="5"/>
      <c r="H91" s="5"/>
      <c r="I91" s="5"/>
      <c r="J91" s="5"/>
      <c r="K91" s="5"/>
      <c r="L91" s="5"/>
      <c r="M91" s="5"/>
      <c r="N91" s="5"/>
      <c r="O91" s="5"/>
      <c r="P91" s="5"/>
    </row>
    <row r="92" spans="2:16" x14ac:dyDescent="0.3">
      <c r="B92" t="s">
        <v>673</v>
      </c>
      <c r="C92" t="s">
        <v>95</v>
      </c>
      <c r="D92" s="17"/>
      <c r="E92" s="17"/>
      <c r="F92" s="17">
        <f>-'03 Historical'!$F$97</f>
        <v>5787</v>
      </c>
      <c r="G92" s="17">
        <f>F92*(1+'02 Assumptions'!$C$96)</f>
        <v>6249.96</v>
      </c>
      <c r="H92" s="17">
        <f>G92*(1+'02 Assumptions'!$C$96)</f>
        <v>6749.9568000000008</v>
      </c>
      <c r="I92" s="17">
        <f>H92*(1+'02 Assumptions'!$C$96)</f>
        <v>7289.9533440000014</v>
      </c>
      <c r="J92" s="17">
        <f>I92*(1+'02 Assumptions'!$C$96)</f>
        <v>7873.1496115200016</v>
      </c>
      <c r="K92" s="17">
        <f>J92*(1+'02 Assumptions'!$C$96)</f>
        <v>8503.0015804416016</v>
      </c>
      <c r="L92" s="17">
        <f>K92*(1+'02 Assumptions'!$C$96)</f>
        <v>9183.24170687693</v>
      </c>
      <c r="M92" s="17">
        <f>L92*(1+'02 Assumptions'!$C$96)</f>
        <v>9917.9010434270858</v>
      </c>
      <c r="N92" s="17">
        <f>M92*(1+'02 Assumptions'!$C$96)</f>
        <v>10711.333126901254</v>
      </c>
      <c r="O92" s="17">
        <f>N92*(1+'02 Assumptions'!$C$96)</f>
        <v>11568.239777053355</v>
      </c>
      <c r="P92" s="17">
        <f>O92*(1+'02 Assumptions'!$C$96)</f>
        <v>12493.698959217625</v>
      </c>
    </row>
    <row r="93" spans="2:16" x14ac:dyDescent="0.3">
      <c r="B93" t="s">
        <v>674</v>
      </c>
      <c r="C93" t="s">
        <v>95</v>
      </c>
      <c r="D93" s="17"/>
      <c r="E93" s="17"/>
      <c r="F93" s="17"/>
      <c r="G93" s="17">
        <f>'02 Assumptions'!$C$99*'02 Assumptions'!$C$75</f>
        <v>322.01</v>
      </c>
      <c r="H93" s="17">
        <f>'02 Assumptions'!$C$99*'02 Assumptions'!$C$75</f>
        <v>322.01</v>
      </c>
      <c r="I93" s="17">
        <f>'02 Assumptions'!$C$99*'02 Assumptions'!$C$75</f>
        <v>322.01</v>
      </c>
      <c r="J93" s="17">
        <f>'02 Assumptions'!$C$99*'02 Assumptions'!$C$75</f>
        <v>322.01</v>
      </c>
      <c r="K93" s="17">
        <f>'02 Assumptions'!$C$99*'02 Assumptions'!$C$75</f>
        <v>322.01</v>
      </c>
      <c r="L93" s="17">
        <f>'02 Assumptions'!$C$99*'02 Assumptions'!$C$75</f>
        <v>322.01</v>
      </c>
      <c r="M93" s="17">
        <f>'02 Assumptions'!$C$99*'02 Assumptions'!$C$75</f>
        <v>322.01</v>
      </c>
      <c r="N93" s="17">
        <f>'02 Assumptions'!$C$99*'02 Assumptions'!$C$75</f>
        <v>322.01</v>
      </c>
      <c r="O93" s="17">
        <f>'02 Assumptions'!$C$99*'02 Assumptions'!$C$75</f>
        <v>322.01</v>
      </c>
      <c r="P93" s="17">
        <f>'02 Assumptions'!$C$99*'02 Assumptions'!$C$75</f>
        <v>322.01</v>
      </c>
    </row>
    <row r="94" spans="2:16" x14ac:dyDescent="0.3">
      <c r="B94" t="s">
        <v>675</v>
      </c>
      <c r="C94" t="s">
        <v>42</v>
      </c>
      <c r="D94" s="19"/>
      <c r="E94" s="19"/>
      <c r="F94" s="19"/>
      <c r="G94" s="19">
        <f t="shared" ref="G94:P94" si="42">G92/G16</f>
        <v>0.36994242387404586</v>
      </c>
      <c r="H94" s="19">
        <f t="shared" si="42"/>
        <v>0.31826102933355604</v>
      </c>
      <c r="I94" s="19">
        <f t="shared" si="42"/>
        <v>0.28034168397289261</v>
      </c>
      <c r="J94" s="19">
        <f t="shared" si="42"/>
        <v>0.25028572900759749</v>
      </c>
      <c r="K94" s="19">
        <f t="shared" si="42"/>
        <v>0.22964483570433217</v>
      </c>
      <c r="L94" s="19">
        <f t="shared" si="42"/>
        <v>0.2141002479070091</v>
      </c>
      <c r="M94" s="19">
        <f t="shared" si="42"/>
        <v>0.20341912109310639</v>
      </c>
      <c r="N94" s="19">
        <f t="shared" si="42"/>
        <v>0.19919423762629168</v>
      </c>
      <c r="O94" s="19">
        <f t="shared" si="42"/>
        <v>0.2029140941784352</v>
      </c>
      <c r="P94" s="19">
        <f t="shared" si="42"/>
        <v>0.21151750978076447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280B-3EEF-40AA-BE5A-AF9FBD750464}">
  <dimension ref="A1:R75"/>
  <sheetViews>
    <sheetView workbookViewId="0">
      <pane xSplit="3" topLeftCell="D1" activePane="topRight" state="frozen"/>
      <selection pane="topRight"/>
    </sheetView>
  </sheetViews>
  <sheetFormatPr baseColWidth="10" defaultRowHeight="14.4" x14ac:dyDescent="0.3"/>
  <cols>
    <col min="2" max="2" width="79.6640625" customWidth="1"/>
    <col min="3" max="3" width="10.21875" customWidth="1"/>
    <col min="4" max="16" width="16.33203125" customWidth="1"/>
  </cols>
  <sheetData>
    <row r="1" spans="1:18" ht="18" x14ac:dyDescent="0.35">
      <c r="A1" s="4" t="s">
        <v>508</v>
      </c>
      <c r="R1">
        <f ca="1">1+1</f>
        <v>0</v>
      </c>
    </row>
    <row r="2" spans="1:18" x14ac:dyDescent="0.3">
      <c r="A2" s="14" t="s">
        <v>509</v>
      </c>
    </row>
    <row r="4" spans="1:18"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8" x14ac:dyDescent="0.3">
      <c r="B6" s="5" t="s">
        <v>510</v>
      </c>
      <c r="C6" s="5"/>
      <c r="D6" s="5"/>
      <c r="E6" s="5"/>
      <c r="F6" s="5"/>
      <c r="G6" s="5"/>
      <c r="H6" s="5"/>
      <c r="I6" s="5"/>
      <c r="J6" s="5"/>
      <c r="K6" s="5"/>
      <c r="L6" s="5"/>
      <c r="M6" s="5"/>
      <c r="N6" s="5"/>
      <c r="O6" s="5"/>
      <c r="P6" s="5"/>
    </row>
    <row r="7" spans="1:18" x14ac:dyDescent="0.3">
      <c r="B7" t="s">
        <v>511</v>
      </c>
      <c r="C7" t="s">
        <v>95</v>
      </c>
      <c r="D7" s="17">
        <f>'04 Operating Model'!D29</f>
        <v>16071</v>
      </c>
      <c r="E7" s="17">
        <f>'04 Operating Model'!E29</f>
        <v>18052</v>
      </c>
      <c r="F7" s="17">
        <f>'04 Operating Model'!F29</f>
        <v>22444</v>
      </c>
      <c r="G7" s="17">
        <f>'04 Operating Model'!G29</f>
        <v>26074.010980000003</v>
      </c>
      <c r="H7" s="17">
        <f>'04 Operating Model'!H29</f>
        <v>30900.899146399992</v>
      </c>
      <c r="I7" s="17">
        <f>'04 Operating Model'!I29</f>
        <v>36597.162194411991</v>
      </c>
      <c r="J7" s="17">
        <f>'04 Operating Model'!J29</f>
        <v>43016.663186167054</v>
      </c>
      <c r="K7" s="17">
        <f>'04 Operating Model'!K29</f>
        <v>49361.958973144538</v>
      </c>
      <c r="L7" s="17">
        <f>'04 Operating Model'!L29</f>
        <v>55884.700632703192</v>
      </c>
      <c r="M7" s="17">
        <f>'04 Operating Model'!M29</f>
        <v>61498.577034752394</v>
      </c>
      <c r="N7" s="17">
        <f>'04 Operating Model'!N29</f>
        <v>66636.800218147284</v>
      </c>
      <c r="O7" s="17">
        <f>'04 Operating Model'!O29</f>
        <v>70633.368687914481</v>
      </c>
      <c r="P7" s="17">
        <f>'04 Operating Model'!P29</f>
        <v>73172.188421776256</v>
      </c>
    </row>
    <row r="8" spans="1:18" x14ac:dyDescent="0.3">
      <c r="B8" t="s">
        <v>433</v>
      </c>
      <c r="C8" t="s">
        <v>42</v>
      </c>
      <c r="D8" s="19"/>
      <c r="E8" s="19"/>
      <c r="F8" s="19"/>
      <c r="G8" s="19">
        <f>'04 Operating Model'!G55</f>
        <v>0.14000000000000001</v>
      </c>
      <c r="H8" s="19">
        <f>'04 Operating Model'!H55</f>
        <v>0.15</v>
      </c>
      <c r="I8" s="19">
        <f>'04 Operating Model'!I55</f>
        <v>0.16</v>
      </c>
      <c r="J8" s="19">
        <f>'04 Operating Model'!J55</f>
        <v>0.17</v>
      </c>
      <c r="K8" s="19">
        <f>'04 Operating Model'!K55</f>
        <v>0.18</v>
      </c>
      <c r="L8" s="19">
        <f>'04 Operating Model'!L55</f>
        <v>0.19</v>
      </c>
      <c r="M8" s="19">
        <f>'04 Operating Model'!M55</f>
        <v>0.19</v>
      </c>
      <c r="N8" s="19">
        <f>'04 Operating Model'!N55</f>
        <v>0.19</v>
      </c>
      <c r="O8" s="19">
        <f>'04 Operating Model'!O55</f>
        <v>0.19</v>
      </c>
      <c r="P8" s="19">
        <f>'04 Operating Model'!P55</f>
        <v>0.19</v>
      </c>
    </row>
    <row r="9" spans="1:18" x14ac:dyDescent="0.3">
      <c r="B9" t="s">
        <v>512</v>
      </c>
      <c r="C9" t="s">
        <v>95</v>
      </c>
      <c r="D9" s="17"/>
      <c r="E9" s="17"/>
      <c r="F9" s="17"/>
      <c r="G9" s="17">
        <f t="shared" ref="G9:P9" si="0">-G7*G8</f>
        <v>-3650.3615372000008</v>
      </c>
      <c r="H9" s="17">
        <f t="shared" si="0"/>
        <v>-4635.1348719599982</v>
      </c>
      <c r="I9" s="17">
        <f t="shared" si="0"/>
        <v>-5855.5459511059189</v>
      </c>
      <c r="J9" s="17">
        <f t="shared" si="0"/>
        <v>-7312.8327416483999</v>
      </c>
      <c r="K9" s="17">
        <f t="shared" si="0"/>
        <v>-8885.1526151660164</v>
      </c>
      <c r="L9" s="17">
        <f t="shared" si="0"/>
        <v>-10618.093120213607</v>
      </c>
      <c r="M9" s="17">
        <f t="shared" si="0"/>
        <v>-11684.729636602955</v>
      </c>
      <c r="N9" s="17">
        <f t="shared" si="0"/>
        <v>-12660.992041447984</v>
      </c>
      <c r="O9" s="17">
        <f t="shared" si="0"/>
        <v>-13420.340050703751</v>
      </c>
      <c r="P9" s="17">
        <f t="shared" si="0"/>
        <v>-13902.715800137488</v>
      </c>
    </row>
    <row r="10" spans="1:18" x14ac:dyDescent="0.3">
      <c r="B10" s="3" t="s">
        <v>513</v>
      </c>
      <c r="C10" s="3" t="s">
        <v>95</v>
      </c>
      <c r="D10" s="18"/>
      <c r="E10" s="18"/>
      <c r="F10" s="18"/>
      <c r="G10" s="18">
        <f t="shared" ref="G10:P10" si="1">G7+G9</f>
        <v>22423.649442800001</v>
      </c>
      <c r="H10" s="18">
        <f t="shared" si="1"/>
        <v>26265.764274439993</v>
      </c>
      <c r="I10" s="18">
        <f t="shared" si="1"/>
        <v>30741.616243306071</v>
      </c>
      <c r="J10" s="18">
        <f t="shared" si="1"/>
        <v>35703.830444518651</v>
      </c>
      <c r="K10" s="18">
        <f t="shared" si="1"/>
        <v>40476.806357978523</v>
      </c>
      <c r="L10" s="18">
        <f t="shared" si="1"/>
        <v>45266.607512489587</v>
      </c>
      <c r="M10" s="18">
        <f t="shared" si="1"/>
        <v>49813.847398149439</v>
      </c>
      <c r="N10" s="18">
        <f t="shared" si="1"/>
        <v>53975.808176699298</v>
      </c>
      <c r="O10" s="18">
        <f t="shared" si="1"/>
        <v>57213.028637210729</v>
      </c>
      <c r="P10" s="18">
        <f t="shared" si="1"/>
        <v>59269.472621638764</v>
      </c>
    </row>
    <row r="11" spans="1:18" x14ac:dyDescent="0.3">
      <c r="B11" t="s">
        <v>514</v>
      </c>
      <c r="C11" t="s">
        <v>95</v>
      </c>
      <c r="D11" s="17"/>
      <c r="E11" s="17"/>
      <c r="F11" s="17"/>
      <c r="G11" s="17">
        <f>'04 Operating Model'!G38</f>
        <v>16972.722249999999</v>
      </c>
      <c r="H11" s="17">
        <f>'04 Operating Model'!H38</f>
        <v>20498.011828750001</v>
      </c>
      <c r="I11" s="17">
        <f>'04 Operating Model'!I38</f>
        <v>22588.389599366252</v>
      </c>
      <c r="J11" s="17">
        <f>'04 Operating Model'!J38</f>
        <v>23710.899559439822</v>
      </c>
      <c r="K11" s="17">
        <f>'04 Operating Model'!K38</f>
        <v>24157.168519538351</v>
      </c>
      <c r="L11" s="17">
        <f>'04 Operating Model'!L38</f>
        <v>24243.904513482208</v>
      </c>
      <c r="M11" s="17">
        <f>'04 Operating Model'!M38</f>
        <v>24259.843549807731</v>
      </c>
      <c r="N11" s="17">
        <f>'04 Operating Model'!N38</f>
        <v>24309.664886481529</v>
      </c>
      <c r="O11" s="17">
        <f>'04 Operating Model'!O38</f>
        <v>24397.423997144004</v>
      </c>
      <c r="P11" s="17">
        <f>'04 Operating Model'!P38</f>
        <v>24510.665596224917</v>
      </c>
    </row>
    <row r="12" spans="1:18" x14ac:dyDescent="0.3">
      <c r="B12" t="s">
        <v>515</v>
      </c>
      <c r="C12" t="s">
        <v>95</v>
      </c>
      <c r="D12" s="17"/>
      <c r="E12" s="17"/>
      <c r="F12" s="17"/>
      <c r="G12" s="17">
        <f>-'04 Operating Model'!G34</f>
        <v>-50849.556000000004</v>
      </c>
      <c r="H12" s="17">
        <f>-'04 Operating Model'!H34</f>
        <v>-41700.521760000003</v>
      </c>
      <c r="I12" s="17">
        <f>-'04 Operating Model'!I34</f>
        <v>-34741.546227359999</v>
      </c>
      <c r="J12" s="17">
        <f>-'04 Operating Model'!J34</f>
        <v>-30095.392332549596</v>
      </c>
      <c r="K12" s="17">
        <f>-'04 Operating Model'!K34</f>
        <v>-25766.710147906557</v>
      </c>
      <c r="L12" s="17">
        <f>-'04 Operating Model'!L34</f>
        <v>-24735.402794271857</v>
      </c>
      <c r="M12" s="17">
        <f>-'04 Operating Model'!M34</f>
        <v>-24687.430813900966</v>
      </c>
      <c r="N12" s="17">
        <f>-'04 Operating Model'!N34</f>
        <v>-25149.397672495212</v>
      </c>
      <c r="O12" s="17">
        <f>-'04 Operating Model'!O34</f>
        <v>-25194.077871067468</v>
      </c>
      <c r="P12" s="17">
        <f>-'04 Operating Model'!P34</f>
        <v>-25652.635708515128</v>
      </c>
    </row>
    <row r="13" spans="1:18" x14ac:dyDescent="0.3">
      <c r="B13" t="s">
        <v>516</v>
      </c>
      <c r="C13" t="s">
        <v>95</v>
      </c>
      <c r="D13" s="17"/>
      <c r="E13" s="17"/>
      <c r="F13" s="17"/>
      <c r="G13" s="17">
        <f>-'04 Operating Model'!G51</f>
        <v>2273.4096472191814</v>
      </c>
      <c r="H13" s="17">
        <f>-'04 Operating Model'!H51</f>
        <v>2329.7099704471257</v>
      </c>
      <c r="I13" s="17">
        <f>-'04 Operating Model'!I51</f>
        <v>2501.1330906847907</v>
      </c>
      <c r="J13" s="17">
        <f>-'04 Operating Model'!J51</f>
        <v>2364.0617013320734</v>
      </c>
      <c r="K13" s="17">
        <f>-'04 Operating Model'!K51</f>
        <v>1943.6899950456245</v>
      </c>
      <c r="L13" s="17">
        <f>-'04 Operating Model'!L51</f>
        <v>1500.1551434296416</v>
      </c>
      <c r="M13" s="17">
        <f>-'04 Operating Model'!M51</f>
        <v>1454.2208910818736</v>
      </c>
      <c r="N13" s="17">
        <f>-'04 Operating Model'!N51</f>
        <v>1326.1725714656932</v>
      </c>
      <c r="O13" s="17">
        <f>-'04 Operating Model'!O51</f>
        <v>1238.1289547775523</v>
      </c>
      <c r="P13" s="17">
        <f>-'04 Operating Model'!P51</f>
        <v>1225.0019279760454</v>
      </c>
    </row>
    <row r="14" spans="1:18" x14ac:dyDescent="0.3">
      <c r="B14" t="s">
        <v>517</v>
      </c>
      <c r="C14" t="s">
        <v>95</v>
      </c>
      <c r="D14" s="17"/>
      <c r="E14" s="17"/>
      <c r="F14" s="17"/>
      <c r="G14" s="17">
        <f>-'02 Assumptions'!G38</f>
        <v>-600</v>
      </c>
      <c r="H14" s="17">
        <f>-'02 Assumptions'!H38</f>
        <v>-450</v>
      </c>
      <c r="I14" s="17">
        <f>-'02 Assumptions'!I38</f>
        <v>-350</v>
      </c>
      <c r="J14" s="17">
        <f>-'02 Assumptions'!J38</f>
        <v>-300</v>
      </c>
      <c r="K14" s="17">
        <f>-'02 Assumptions'!K38</f>
        <v>-250</v>
      </c>
      <c r="L14" s="17">
        <f>-'02 Assumptions'!L38</f>
        <v>-250</v>
      </c>
      <c r="M14" s="17">
        <f>-'02 Assumptions'!M38</f>
        <v>-250</v>
      </c>
      <c r="N14" s="17">
        <f>-'02 Assumptions'!N38</f>
        <v>-250</v>
      </c>
      <c r="O14" s="17">
        <f>-'02 Assumptions'!O38</f>
        <v>-250</v>
      </c>
      <c r="P14" s="17">
        <f>-'02 Assumptions'!P38</f>
        <v>-250</v>
      </c>
    </row>
    <row r="15" spans="1:18" x14ac:dyDescent="0.3">
      <c r="B15" s="76" t="s">
        <v>518</v>
      </c>
      <c r="C15" s="76" t="s">
        <v>95</v>
      </c>
      <c r="D15" s="106"/>
      <c r="E15" s="106"/>
      <c r="F15" s="106"/>
      <c r="G15" s="106">
        <f t="shared" ref="G15:P15" si="2">SUM(G10:G14)</f>
        <v>-9779.7746599808233</v>
      </c>
      <c r="H15" s="106">
        <f t="shared" si="2"/>
        <v>6942.964313637116</v>
      </c>
      <c r="I15" s="106">
        <f t="shared" si="2"/>
        <v>20739.592705997118</v>
      </c>
      <c r="J15" s="106">
        <f t="shared" si="2"/>
        <v>31383.399372740951</v>
      </c>
      <c r="K15" s="106">
        <f t="shared" si="2"/>
        <v>40560.954724655938</v>
      </c>
      <c r="L15" s="106">
        <f t="shared" si="2"/>
        <v>46025.264375129584</v>
      </c>
      <c r="M15" s="106">
        <f t="shared" si="2"/>
        <v>50590.48102513807</v>
      </c>
      <c r="N15" s="106">
        <f t="shared" si="2"/>
        <v>54212.247962151319</v>
      </c>
      <c r="O15" s="106">
        <f t="shared" si="2"/>
        <v>57404.503718064821</v>
      </c>
      <c r="P15" s="106">
        <f t="shared" si="2"/>
        <v>59102.504437324606</v>
      </c>
    </row>
    <row r="16" spans="1:18" x14ac:dyDescent="0.3">
      <c r="B16" t="s">
        <v>519</v>
      </c>
      <c r="C16" t="s">
        <v>42</v>
      </c>
      <c r="D16" s="19"/>
      <c r="E16" s="19"/>
      <c r="F16" s="19"/>
      <c r="G16" s="19">
        <f>G15/'04 Operating Model'!G11</f>
        <v>-0.11539657880175971</v>
      </c>
      <c r="H16" s="19">
        <f>H15/'04 Operating Model'!H11</f>
        <v>6.6598344774639731E-2</v>
      </c>
      <c r="I16" s="19">
        <f>I15/'04 Operating Model'!I11</f>
        <v>0.16715105078155504</v>
      </c>
      <c r="J16" s="19">
        <f>J15/'04 Operating Model'!J11</f>
        <v>0.21898747141925926</v>
      </c>
      <c r="K16" s="19">
        <f>K15/'04 Operating Model'!K11</f>
        <v>0.25186578801454856</v>
      </c>
      <c r="L16" s="19">
        <f>L15/'04 Operating Model'!L11</f>
        <v>0.26049856823072698</v>
      </c>
      <c r="M16" s="19">
        <f>M15/'04 Operating Model'!M11</f>
        <v>0.26640125425950417</v>
      </c>
      <c r="N16" s="19">
        <f>N15/'04 Operating Model'!N11</f>
        <v>0.2694510255679049</v>
      </c>
      <c r="O16" s="19">
        <f>O15/'04 Operating Model'!O11</f>
        <v>0.27341903448184873</v>
      </c>
      <c r="P16" s="19">
        <f>P15/'04 Operating Model'!P11</f>
        <v>0.27186662621530638</v>
      </c>
    </row>
    <row r="17" spans="2:16" x14ac:dyDescent="0.3">
      <c r="B17" t="s">
        <v>520</v>
      </c>
      <c r="C17" t="s">
        <v>42</v>
      </c>
      <c r="D17" s="19"/>
      <c r="E17" s="19"/>
      <c r="F17" s="19"/>
      <c r="G17" s="19">
        <f>G15/'04 Operating Model'!G39</f>
        <v>-0.22718970584195533</v>
      </c>
      <c r="H17" s="19">
        <f>H15/'04 Operating Model'!H39</f>
        <v>0.13507998869847368</v>
      </c>
      <c r="I17" s="19">
        <f>I15/'04 Operating Model'!I39</f>
        <v>0.35041647965470729</v>
      </c>
      <c r="J17" s="19">
        <f>J15/'04 Operating Model'!J39</f>
        <v>0.47032137967315657</v>
      </c>
      <c r="K17" s="19">
        <f>K15/'04 Operating Model'!K39</f>
        <v>0.55170614924249251</v>
      </c>
      <c r="L17" s="19">
        <f>L15/'04 Operating Model'!L39</f>
        <v>0.57439243190570699</v>
      </c>
      <c r="M17" s="19">
        <f>M15/'04 Operating Model'!M39</f>
        <v>0.5899185255546362</v>
      </c>
      <c r="N17" s="19">
        <f>N15/'04 Operating Model'!N39</f>
        <v>0.59608966549478493</v>
      </c>
      <c r="O17" s="19">
        <f>O15/'04 Operating Model'!O39</f>
        <v>0.60406213708338796</v>
      </c>
      <c r="P17" s="19">
        <f>P15/'04 Operating Model'!P39</f>
        <v>0.60504481601687321</v>
      </c>
    </row>
    <row r="19" spans="2:16" x14ac:dyDescent="0.3">
      <c r="B19" s="5" t="s">
        <v>521</v>
      </c>
      <c r="C19" s="5"/>
      <c r="D19" s="5"/>
      <c r="E19" s="5"/>
      <c r="F19" s="5"/>
      <c r="G19" s="5"/>
      <c r="H19" s="5"/>
      <c r="I19" s="5"/>
      <c r="J19" s="5"/>
      <c r="K19" s="5"/>
      <c r="L19" s="5"/>
      <c r="M19" s="5"/>
      <c r="N19" s="5"/>
      <c r="O19" s="5"/>
      <c r="P19" s="5"/>
    </row>
    <row r="20" spans="2:16" x14ac:dyDescent="0.3">
      <c r="B20" t="s">
        <v>522</v>
      </c>
      <c r="C20" t="s">
        <v>321</v>
      </c>
      <c r="D20" s="26"/>
      <c r="E20" s="26"/>
      <c r="F20" s="26"/>
      <c r="G20" s="26">
        <f>COLUMNS($G20:G20)-IF('02 Assumptions'!$C$12=2,0.5,0)</f>
        <v>0.5</v>
      </c>
      <c r="H20" s="26">
        <f>COLUMNS($G20:H20)-IF('02 Assumptions'!$C$12=2,0.5,0)</f>
        <v>1.5</v>
      </c>
      <c r="I20" s="26">
        <f>COLUMNS($G20:I20)-IF('02 Assumptions'!$C$12=2,0.5,0)</f>
        <v>2.5</v>
      </c>
      <c r="J20" s="26">
        <f>COLUMNS($G20:J20)-IF('02 Assumptions'!$C$12=2,0.5,0)</f>
        <v>3.5</v>
      </c>
      <c r="K20" s="26">
        <f>COLUMNS($G20:K20)-IF('02 Assumptions'!$C$12=2,0.5,0)</f>
        <v>4.5</v>
      </c>
      <c r="L20" s="26">
        <f>COLUMNS($G20:L20)-IF('02 Assumptions'!$C$12=2,0.5,0)</f>
        <v>5.5</v>
      </c>
      <c r="M20" s="26">
        <f>COLUMNS($G20:M20)-IF('02 Assumptions'!$C$12=2,0.5,0)</f>
        <v>6.5</v>
      </c>
      <c r="N20" s="26">
        <f>COLUMNS($G20:N20)-IF('02 Assumptions'!$C$12=2,0.5,0)</f>
        <v>7.5</v>
      </c>
      <c r="O20" s="26">
        <f>COLUMNS($G20:O20)-IF('02 Assumptions'!$C$12=2,0.5,0)</f>
        <v>8.5</v>
      </c>
      <c r="P20" s="26">
        <f>COLUMNS($G20:P20)-IF('02 Assumptions'!$C$12=2,0.5,0)</f>
        <v>9.5</v>
      </c>
    </row>
    <row r="21" spans="2:16" x14ac:dyDescent="0.3">
      <c r="B21" t="s">
        <v>523</v>
      </c>
      <c r="C21" t="s">
        <v>42</v>
      </c>
      <c r="D21" s="19"/>
      <c r="E21" s="19"/>
      <c r="F21" s="19"/>
      <c r="G21" s="19">
        <f>'07 WACC'!$C$38</f>
        <v>8.7495000000000003E-2</v>
      </c>
      <c r="H21" s="19">
        <f>'07 WACC'!$C$38</f>
        <v>8.7495000000000003E-2</v>
      </c>
      <c r="I21" s="19">
        <f>'07 WACC'!$C$38</f>
        <v>8.7495000000000003E-2</v>
      </c>
      <c r="J21" s="19">
        <f>'07 WACC'!$C$38</f>
        <v>8.7495000000000003E-2</v>
      </c>
      <c r="K21" s="19">
        <f>'07 WACC'!$C$38</f>
        <v>8.7495000000000003E-2</v>
      </c>
      <c r="L21" s="19">
        <f>'07 WACC'!$C$38</f>
        <v>8.7495000000000003E-2</v>
      </c>
      <c r="M21" s="19">
        <f>'07 WACC'!$C$38</f>
        <v>8.7495000000000003E-2</v>
      </c>
      <c r="N21" s="19">
        <f>'07 WACC'!$C$38</f>
        <v>8.7495000000000003E-2</v>
      </c>
      <c r="O21" s="19">
        <f>'07 WACC'!$C$38</f>
        <v>8.7495000000000003E-2</v>
      </c>
      <c r="P21" s="19">
        <f>'07 WACC'!$C$38</f>
        <v>8.7495000000000003E-2</v>
      </c>
    </row>
    <row r="22" spans="2:16" x14ac:dyDescent="0.3">
      <c r="B22" t="s">
        <v>524</v>
      </c>
      <c r="C22" t="s">
        <v>209</v>
      </c>
      <c r="D22" s="25"/>
      <c r="E22" s="25"/>
      <c r="F22" s="25"/>
      <c r="G22" s="25">
        <f t="shared" ref="G22:P22" si="3">1/(1+G21)^G20</f>
        <v>0.9589288074073421</v>
      </c>
      <c r="H22" s="25">
        <f t="shared" si="3"/>
        <v>0.88177767015695896</v>
      </c>
      <c r="I22" s="25">
        <f t="shared" si="3"/>
        <v>0.81083376949499431</v>
      </c>
      <c r="J22" s="25">
        <f t="shared" si="3"/>
        <v>0.74559769883539162</v>
      </c>
      <c r="K22" s="25">
        <f t="shared" si="3"/>
        <v>0.68561023161981571</v>
      </c>
      <c r="L22" s="25">
        <f t="shared" si="3"/>
        <v>0.6304490886117321</v>
      </c>
      <c r="M22" s="25">
        <f t="shared" si="3"/>
        <v>0.57972596527959408</v>
      </c>
      <c r="N22" s="25">
        <f t="shared" si="3"/>
        <v>0.53308379834352704</v>
      </c>
      <c r="O22" s="25">
        <f t="shared" si="3"/>
        <v>0.4901942522434834</v>
      </c>
      <c r="P22" s="25">
        <f t="shared" si="3"/>
        <v>0.45075540783496332</v>
      </c>
    </row>
    <row r="23" spans="2:16" x14ac:dyDescent="0.3">
      <c r="B23" s="3" t="s">
        <v>525</v>
      </c>
      <c r="C23" s="3" t="s">
        <v>95</v>
      </c>
      <c r="D23" s="18"/>
      <c r="E23" s="18"/>
      <c r="F23" s="18"/>
      <c r="G23" s="18">
        <f t="shared" ref="G23:P23" si="4">G15*G22</f>
        <v>-9378.1076514079559</v>
      </c>
      <c r="H23" s="18">
        <f t="shared" si="4"/>
        <v>6122.1508964618461</v>
      </c>
      <c r="I23" s="18">
        <f t="shared" si="4"/>
        <v>16816.362131594531</v>
      </c>
      <c r="J23" s="18">
        <f t="shared" si="4"/>
        <v>23399.390353947725</v>
      </c>
      <c r="K23" s="18">
        <f t="shared" si="4"/>
        <v>27809.005563492217</v>
      </c>
      <c r="L23" s="18">
        <f t="shared" si="4"/>
        <v>29016.585978414467</v>
      </c>
      <c r="M23" s="18">
        <f t="shared" si="4"/>
        <v>29328.615446257154</v>
      </c>
      <c r="N23" s="18">
        <f t="shared" si="4"/>
        <v>28899.671060404758</v>
      </c>
      <c r="O23" s="18">
        <f t="shared" si="4"/>
        <v>28139.357775485048</v>
      </c>
      <c r="P23" s="18">
        <f t="shared" si="4"/>
        <v>26640.773491713982</v>
      </c>
    </row>
    <row r="25" spans="2:16" x14ac:dyDescent="0.3">
      <c r="B25" s="5" t="s">
        <v>366</v>
      </c>
      <c r="C25" s="5"/>
      <c r="D25" s="5"/>
      <c r="E25" s="5"/>
      <c r="F25" s="5"/>
      <c r="G25" s="5"/>
      <c r="H25" s="5"/>
      <c r="I25" s="5"/>
      <c r="J25" s="5"/>
      <c r="K25" s="5"/>
      <c r="L25" s="5"/>
      <c r="M25" s="5"/>
      <c r="N25" s="5"/>
      <c r="O25" s="5"/>
      <c r="P25" s="5"/>
    </row>
    <row r="26" spans="2:16" x14ac:dyDescent="0.3">
      <c r="B26" t="s">
        <v>481</v>
      </c>
      <c r="C26" t="s">
        <v>42</v>
      </c>
      <c r="D26" s="19"/>
      <c r="E26" s="19"/>
      <c r="F26" s="19">
        <f>'02 Assumptions'!C63</f>
        <v>0.03</v>
      </c>
      <c r="G26" s="19"/>
      <c r="H26" s="19"/>
      <c r="I26" s="19"/>
      <c r="J26" s="19"/>
      <c r="K26" s="19"/>
      <c r="L26" s="19"/>
      <c r="M26" s="19"/>
      <c r="N26" s="19"/>
      <c r="O26" s="19"/>
      <c r="P26" s="19"/>
    </row>
    <row r="27" spans="2:16" x14ac:dyDescent="0.3">
      <c r="B27" t="s">
        <v>526</v>
      </c>
      <c r="C27" t="s">
        <v>42</v>
      </c>
      <c r="D27" s="19"/>
      <c r="E27" s="19"/>
      <c r="F27" s="19">
        <f>'02 Assumptions'!C66</f>
        <v>0.24</v>
      </c>
      <c r="G27" s="19"/>
      <c r="H27" s="19"/>
      <c r="I27" s="19"/>
      <c r="J27" s="19"/>
      <c r="K27" s="19"/>
      <c r="L27" s="19"/>
      <c r="M27" s="19"/>
      <c r="N27" s="19"/>
      <c r="O27" s="19"/>
      <c r="P27" s="19"/>
    </row>
    <row r="28" spans="2:16" x14ac:dyDescent="0.3">
      <c r="B28" t="s">
        <v>527</v>
      </c>
      <c r="C28" t="s">
        <v>42</v>
      </c>
      <c r="D28" s="19"/>
      <c r="E28" s="19"/>
      <c r="F28" s="19">
        <f>F26/F27</f>
        <v>0.125</v>
      </c>
      <c r="G28" s="19"/>
      <c r="H28" s="19"/>
      <c r="I28" s="19"/>
      <c r="J28" s="19"/>
      <c r="K28" s="19"/>
      <c r="L28" s="19"/>
      <c r="M28" s="19"/>
      <c r="N28" s="19"/>
      <c r="O28" s="19"/>
      <c r="P28" s="19"/>
    </row>
    <row r="29" spans="2:16" x14ac:dyDescent="0.3">
      <c r="B29" t="s">
        <v>528</v>
      </c>
      <c r="C29" t="s">
        <v>95</v>
      </c>
      <c r="D29" s="17"/>
      <c r="E29" s="17"/>
      <c r="F29" s="17">
        <f>P10*(1+F26)</f>
        <v>61047.55680028793</v>
      </c>
      <c r="G29" s="17"/>
      <c r="H29" s="17"/>
      <c r="I29" s="17"/>
      <c r="J29" s="17"/>
      <c r="K29" s="17"/>
      <c r="L29" s="17"/>
      <c r="M29" s="17"/>
      <c r="N29" s="17"/>
      <c r="O29" s="17"/>
      <c r="P29" s="17"/>
    </row>
    <row r="30" spans="2:16" x14ac:dyDescent="0.3">
      <c r="B30" t="s">
        <v>529</v>
      </c>
      <c r="C30" t="s">
        <v>95</v>
      </c>
      <c r="D30" s="17"/>
      <c r="E30" s="17"/>
      <c r="F30" s="17">
        <f>F29*(1-F28)</f>
        <v>53416.612200251941</v>
      </c>
      <c r="G30" s="17"/>
      <c r="H30" s="17"/>
      <c r="I30" s="17"/>
      <c r="J30" s="17"/>
      <c r="K30" s="17"/>
      <c r="L30" s="17"/>
      <c r="M30" s="17"/>
      <c r="N30" s="17"/>
      <c r="O30" s="17"/>
      <c r="P30" s="17"/>
    </row>
    <row r="31" spans="2:16" x14ac:dyDescent="0.3">
      <c r="B31" t="s">
        <v>530</v>
      </c>
      <c r="C31" t="s">
        <v>95</v>
      </c>
      <c r="D31" s="17"/>
      <c r="E31" s="17"/>
      <c r="F31" s="17">
        <f>IF(P21&lt;=F26,"FALLO: WACC&lt;=g",F30/(P21-F26))</f>
        <v>929065.34829553764</v>
      </c>
      <c r="G31" s="17"/>
      <c r="H31" s="17"/>
      <c r="I31" s="17"/>
      <c r="J31" s="17"/>
      <c r="K31" s="17"/>
      <c r="L31" s="17"/>
      <c r="M31" s="17"/>
      <c r="N31" s="17"/>
      <c r="O31" s="17"/>
      <c r="P31" s="17"/>
    </row>
    <row r="32" spans="2:16" x14ac:dyDescent="0.3">
      <c r="B32" t="s">
        <v>531</v>
      </c>
      <c r="C32" t="s">
        <v>95</v>
      </c>
      <c r="D32" s="17"/>
      <c r="E32" s="17"/>
      <c r="F32" s="17">
        <f>'04 Operating Model'!P39*'02 Assumptions'!C64</f>
        <v>1367559.9562520166</v>
      </c>
      <c r="G32" s="17"/>
      <c r="H32" s="17"/>
      <c r="I32" s="17"/>
      <c r="J32" s="17"/>
      <c r="K32" s="17"/>
      <c r="L32" s="17"/>
      <c r="M32" s="17"/>
      <c r="N32" s="17"/>
      <c r="O32" s="17"/>
      <c r="P32" s="17"/>
    </row>
    <row r="33" spans="2:16" x14ac:dyDescent="0.3">
      <c r="B33" s="5" t="s">
        <v>532</v>
      </c>
      <c r="C33" s="5"/>
      <c r="D33" s="5"/>
      <c r="E33" s="5"/>
      <c r="F33" s="5" t="str">
        <f>IF('02 Assumptions'!C13=1,"Gordon (crecimiento perpetuo)","Múltiplo de salida EV/EBITDA")</f>
        <v>Gordon (crecimiento perpetuo)</v>
      </c>
      <c r="G33" s="5"/>
      <c r="H33" s="5"/>
      <c r="I33" s="5"/>
      <c r="J33" s="5"/>
      <c r="K33" s="5"/>
      <c r="L33" s="5"/>
      <c r="M33" s="5"/>
      <c r="N33" s="5"/>
      <c r="O33" s="5"/>
      <c r="P33" s="5"/>
    </row>
    <row r="34" spans="2:16" x14ac:dyDescent="0.3">
      <c r="B34" s="3" t="s">
        <v>533</v>
      </c>
      <c r="C34" s="3" t="s">
        <v>95</v>
      </c>
      <c r="D34" s="18"/>
      <c r="E34" s="18"/>
      <c r="F34" s="18">
        <f>IF('02 Assumptions'!C13=1,F31,F32)</f>
        <v>929065.34829553764</v>
      </c>
      <c r="G34" s="18"/>
      <c r="H34" s="18"/>
      <c r="I34" s="18"/>
      <c r="J34" s="18"/>
      <c r="K34" s="18"/>
      <c r="L34" s="18"/>
      <c r="M34" s="18"/>
      <c r="N34" s="18"/>
      <c r="O34" s="18"/>
      <c r="P34" s="18"/>
    </row>
    <row r="35" spans="2:16" x14ac:dyDescent="0.3">
      <c r="B35" t="s">
        <v>534</v>
      </c>
      <c r="C35" t="s">
        <v>209</v>
      </c>
      <c r="D35" s="25"/>
      <c r="E35" s="25"/>
      <c r="F35" s="25">
        <f>1/(1+P21)^'02 Assumptions'!C11</f>
        <v>0.43224234566759173</v>
      </c>
      <c r="G35" s="25"/>
      <c r="H35" s="25"/>
      <c r="I35" s="25"/>
      <c r="J35" s="25"/>
      <c r="K35" s="25"/>
      <c r="L35" s="25"/>
      <c r="M35" s="25"/>
      <c r="N35" s="25"/>
      <c r="O35" s="25"/>
      <c r="P35" s="25"/>
    </row>
    <row r="36" spans="2:16" x14ac:dyDescent="0.3">
      <c r="B36" s="3" t="s">
        <v>535</v>
      </c>
      <c r="C36" s="3" t="s">
        <v>95</v>
      </c>
      <c r="D36" s="18"/>
      <c r="E36" s="18"/>
      <c r="F36" s="18">
        <f>F34*F35</f>
        <v>401581.38542574126</v>
      </c>
      <c r="G36" s="18"/>
      <c r="H36" s="18"/>
      <c r="I36" s="18"/>
      <c r="J36" s="18"/>
      <c r="K36" s="18"/>
      <c r="L36" s="18"/>
      <c r="M36" s="18"/>
      <c r="N36" s="18"/>
      <c r="O36" s="18"/>
      <c r="P36" s="18"/>
    </row>
    <row r="37" spans="2:16" x14ac:dyDescent="0.3">
      <c r="B37" t="s">
        <v>536</v>
      </c>
      <c r="C37" t="s">
        <v>95</v>
      </c>
      <c r="D37" s="17"/>
      <c r="E37" s="17"/>
      <c r="F37" s="17">
        <f>P15*(1+F26)</f>
        <v>60875.579570444344</v>
      </c>
      <c r="G37" s="17"/>
      <c r="H37" s="17"/>
      <c r="I37" s="17"/>
      <c r="J37" s="17"/>
      <c r="K37" s="17"/>
      <c r="L37" s="17"/>
      <c r="M37" s="17"/>
      <c r="N37" s="17"/>
      <c r="O37" s="17"/>
      <c r="P37" s="17"/>
    </row>
    <row r="38" spans="2:16" x14ac:dyDescent="0.3">
      <c r="B38" t="s">
        <v>537</v>
      </c>
      <c r="C38" t="s">
        <v>95</v>
      </c>
      <c r="D38" s="17"/>
      <c r="E38" s="17"/>
      <c r="F38" s="17">
        <f>IF(P21&lt;=F26,"n/a",F37/(P21-F26))</f>
        <v>1058797.8010339045</v>
      </c>
      <c r="G38" s="17"/>
      <c r="H38" s="17"/>
      <c r="I38" s="17"/>
      <c r="J38" s="17"/>
      <c r="K38" s="17"/>
      <c r="L38" s="17"/>
      <c r="M38" s="17"/>
      <c r="N38" s="17"/>
      <c r="O38" s="17"/>
      <c r="P38" s="17"/>
    </row>
    <row r="39" spans="2:16" x14ac:dyDescent="0.3">
      <c r="B39" t="s">
        <v>538</v>
      </c>
      <c r="C39" t="s">
        <v>95</v>
      </c>
      <c r="D39" s="17"/>
      <c r="E39" s="17"/>
      <c r="F39" s="17">
        <f>IFERROR(F34-F38,"n/a")</f>
        <v>-129732.4527383669</v>
      </c>
      <c r="G39" s="17"/>
      <c r="H39" s="17"/>
      <c r="I39" s="17"/>
      <c r="J39" s="17"/>
      <c r="K39" s="17"/>
      <c r="L39" s="17"/>
      <c r="M39" s="17"/>
      <c r="N39" s="17"/>
      <c r="O39" s="17"/>
      <c r="P39" s="17"/>
    </row>
    <row r="41" spans="2:16" x14ac:dyDescent="0.3">
      <c r="B41" s="5" t="s">
        <v>539</v>
      </c>
      <c r="C41" s="5"/>
      <c r="D41" s="5"/>
      <c r="E41" s="5"/>
      <c r="F41" s="5"/>
      <c r="G41" s="5"/>
      <c r="H41" s="5"/>
      <c r="I41" s="5"/>
      <c r="J41" s="5"/>
      <c r="K41" s="5"/>
      <c r="L41" s="5"/>
      <c r="M41" s="5"/>
      <c r="N41" s="5"/>
      <c r="O41" s="5"/>
      <c r="P41" s="5"/>
    </row>
    <row r="42" spans="2:16" x14ac:dyDescent="0.3">
      <c r="B42" t="s">
        <v>540</v>
      </c>
      <c r="C42" t="s">
        <v>95</v>
      </c>
      <c r="D42" s="17"/>
      <c r="E42" s="17"/>
      <c r="F42" s="17">
        <f>SUM(G23:P23)</f>
        <v>206793.80504636379</v>
      </c>
      <c r="G42" s="17"/>
      <c r="H42" s="17"/>
      <c r="I42" s="17"/>
      <c r="J42" s="17"/>
      <c r="K42" s="17"/>
      <c r="L42" s="17"/>
      <c r="M42" s="17"/>
      <c r="N42" s="17"/>
      <c r="O42" s="17"/>
      <c r="P42" s="17"/>
    </row>
    <row r="43" spans="2:16" x14ac:dyDescent="0.3">
      <c r="B43" t="s">
        <v>541</v>
      </c>
      <c r="C43" t="s">
        <v>95</v>
      </c>
      <c r="D43" s="17"/>
      <c r="E43" s="17"/>
      <c r="F43" s="17">
        <f>F36</f>
        <v>401581.38542574126</v>
      </c>
      <c r="G43" s="17"/>
      <c r="H43" s="17"/>
      <c r="I43" s="17"/>
      <c r="J43" s="17"/>
      <c r="K43" s="17"/>
      <c r="L43" s="17"/>
      <c r="M43" s="17"/>
      <c r="N43" s="17"/>
      <c r="O43" s="17"/>
      <c r="P43" s="17"/>
    </row>
    <row r="44" spans="2:16" x14ac:dyDescent="0.3">
      <c r="B44" s="100" t="s">
        <v>542</v>
      </c>
      <c r="C44" s="100" t="s">
        <v>95</v>
      </c>
      <c r="D44" s="107"/>
      <c r="E44" s="107"/>
      <c r="F44" s="107">
        <f>F42+F43</f>
        <v>608375.19047210505</v>
      </c>
      <c r="G44" s="18"/>
      <c r="H44" s="18"/>
      <c r="I44" s="18"/>
      <c r="J44" s="18"/>
      <c r="K44" s="18"/>
      <c r="L44" s="18"/>
      <c r="M44" s="18"/>
      <c r="N44" s="18"/>
      <c r="O44" s="18"/>
      <c r="P44" s="18"/>
    </row>
    <row r="45" spans="2:16" x14ac:dyDescent="0.3">
      <c r="B45" t="s">
        <v>543</v>
      </c>
      <c r="C45" t="s">
        <v>42</v>
      </c>
      <c r="D45" s="19"/>
      <c r="E45" s="19"/>
      <c r="F45" s="19">
        <f>F43/F44</f>
        <v>0.66008836605271526</v>
      </c>
      <c r="G45" s="19"/>
      <c r="H45" s="19"/>
      <c r="I45" s="19"/>
      <c r="J45" s="19"/>
      <c r="K45" s="19"/>
      <c r="L45" s="19"/>
      <c r="M45" s="19"/>
      <c r="N45" s="19"/>
      <c r="O45" s="19"/>
      <c r="P45" s="19"/>
    </row>
    <row r="46" spans="2:16" x14ac:dyDescent="0.3">
      <c r="B46" t="s">
        <v>544</v>
      </c>
      <c r="C46" t="s">
        <v>95</v>
      </c>
      <c r="D46" s="17"/>
      <c r="E46" s="17"/>
      <c r="F46" s="17">
        <f>-'02 Assumptions'!C70</f>
        <v>-129541</v>
      </c>
      <c r="G46" s="17"/>
      <c r="H46" s="17"/>
      <c r="I46" s="17"/>
      <c r="J46" s="17"/>
      <c r="K46" s="17"/>
      <c r="L46" s="17"/>
      <c r="M46" s="17"/>
      <c r="N46" s="17"/>
      <c r="O46" s="17"/>
      <c r="P46" s="17"/>
    </row>
    <row r="47" spans="2:16" x14ac:dyDescent="0.3">
      <c r="B47" t="s">
        <v>545</v>
      </c>
      <c r="C47" t="s">
        <v>95</v>
      </c>
      <c r="D47" s="17"/>
      <c r="E47" s="17"/>
      <c r="F47" s="17">
        <f>-'02 Assumptions'!C71</f>
        <v>-7701</v>
      </c>
      <c r="G47" s="17"/>
      <c r="H47" s="17"/>
      <c r="I47" s="17"/>
      <c r="J47" s="17"/>
      <c r="K47" s="17"/>
      <c r="L47" s="17"/>
      <c r="M47" s="17"/>
      <c r="N47" s="17"/>
      <c r="O47" s="17"/>
      <c r="P47" s="17"/>
    </row>
    <row r="48" spans="2:16" x14ac:dyDescent="0.3">
      <c r="B48" t="s">
        <v>546</v>
      </c>
      <c r="C48" t="s">
        <v>95</v>
      </c>
      <c r="D48" s="17"/>
      <c r="E48" s="17"/>
      <c r="F48" s="17">
        <f>'02 Assumptions'!C72</f>
        <v>31289</v>
      </c>
      <c r="G48" s="17"/>
      <c r="H48" s="17"/>
      <c r="I48" s="17"/>
      <c r="J48" s="17"/>
      <c r="K48" s="17"/>
      <c r="L48" s="17"/>
      <c r="M48" s="17"/>
      <c r="N48" s="17"/>
      <c r="O48" s="17"/>
      <c r="P48" s="17"/>
    </row>
    <row r="49" spans="2:16" x14ac:dyDescent="0.3">
      <c r="B49" t="s">
        <v>547</v>
      </c>
      <c r="C49" t="s">
        <v>95</v>
      </c>
      <c r="D49" s="17"/>
      <c r="E49" s="17"/>
      <c r="F49" s="17">
        <f>-'02 Assumptions'!C68*'03 Historical'!F11</f>
        <v>-1010.355</v>
      </c>
      <c r="G49" s="17"/>
      <c r="H49" s="17"/>
      <c r="I49" s="17"/>
      <c r="J49" s="17"/>
      <c r="K49" s="17"/>
      <c r="L49" s="17"/>
      <c r="M49" s="17"/>
      <c r="N49" s="17"/>
      <c r="O49" s="17"/>
      <c r="P49" s="17"/>
    </row>
    <row r="50" spans="2:16" x14ac:dyDescent="0.3">
      <c r="B50" t="s">
        <v>548</v>
      </c>
      <c r="C50" t="s">
        <v>95</v>
      </c>
      <c r="D50" s="17"/>
      <c r="E50" s="17"/>
      <c r="F50" s="17">
        <f>'02 Assumptions'!C73</f>
        <v>605</v>
      </c>
      <c r="G50" s="17"/>
      <c r="H50" s="17"/>
      <c r="I50" s="17"/>
      <c r="J50" s="17"/>
      <c r="K50" s="17"/>
      <c r="L50" s="17"/>
      <c r="M50" s="17"/>
      <c r="N50" s="17"/>
      <c r="O50" s="17"/>
      <c r="P50" s="17"/>
    </row>
    <row r="51" spans="2:16" x14ac:dyDescent="0.3">
      <c r="B51" t="s">
        <v>549</v>
      </c>
      <c r="C51" t="s">
        <v>95</v>
      </c>
      <c r="D51" s="17"/>
      <c r="E51" s="17"/>
      <c r="F51" s="17">
        <f>-'02 Assumptions'!C74</f>
        <v>-548</v>
      </c>
      <c r="G51" s="17"/>
      <c r="H51" s="17"/>
      <c r="I51" s="17"/>
      <c r="J51" s="17"/>
      <c r="K51" s="17"/>
      <c r="L51" s="17"/>
      <c r="M51" s="17"/>
      <c r="N51" s="17"/>
      <c r="O51" s="17"/>
      <c r="P51" s="17"/>
    </row>
    <row r="52" spans="2:16" x14ac:dyDescent="0.3">
      <c r="B52" t="s">
        <v>550</v>
      </c>
      <c r="C52" t="s">
        <v>95</v>
      </c>
      <c r="D52" s="17"/>
      <c r="E52" s="17"/>
      <c r="F52" s="17">
        <f>-'02 Assumptions'!C75</f>
        <v>-4954</v>
      </c>
      <c r="G52" s="17"/>
      <c r="H52" s="17"/>
      <c r="I52" s="17"/>
      <c r="J52" s="17"/>
      <c r="K52" s="17"/>
      <c r="L52" s="17"/>
      <c r="M52" s="17"/>
      <c r="N52" s="17"/>
      <c r="O52" s="17"/>
      <c r="P52" s="17"/>
    </row>
    <row r="53" spans="2:16" x14ac:dyDescent="0.3">
      <c r="B53" s="100" t="s">
        <v>551</v>
      </c>
      <c r="C53" s="100" t="s">
        <v>95</v>
      </c>
      <c r="D53" s="107"/>
      <c r="E53" s="107"/>
      <c r="F53" s="107">
        <f>F44+SUM(F46:F52)</f>
        <v>496514.83547210507</v>
      </c>
      <c r="G53" s="18"/>
      <c r="H53" s="18"/>
      <c r="I53" s="18"/>
      <c r="J53" s="18"/>
      <c r="K53" s="18"/>
      <c r="L53" s="18"/>
      <c r="M53" s="18"/>
      <c r="N53" s="18"/>
      <c r="O53" s="18"/>
      <c r="P53" s="18"/>
    </row>
    <row r="54" spans="2:16" x14ac:dyDescent="0.3">
      <c r="B54" t="s">
        <v>552</v>
      </c>
      <c r="C54" t="s">
        <v>126</v>
      </c>
      <c r="D54" s="21"/>
      <c r="E54" s="21"/>
      <c r="F54" s="21">
        <f>'02 Assumptions'!C69</f>
        <v>2934</v>
      </c>
      <c r="G54" s="21"/>
      <c r="H54" s="21"/>
      <c r="I54" s="21"/>
      <c r="J54" s="21"/>
      <c r="K54" s="21"/>
      <c r="L54" s="21"/>
      <c r="M54" s="21"/>
      <c r="N54" s="21"/>
      <c r="O54" s="21"/>
      <c r="P54" s="21"/>
    </row>
    <row r="55" spans="2:16" ht="15.6" x14ac:dyDescent="0.3">
      <c r="B55" s="108" t="s">
        <v>553</v>
      </c>
      <c r="C55" s="108" t="s">
        <v>123</v>
      </c>
      <c r="D55" s="109"/>
      <c r="E55" s="109"/>
      <c r="F55" s="172">
        <f>F53/F54</f>
        <v>169.22796028360773</v>
      </c>
      <c r="G55" s="105"/>
      <c r="H55" s="105"/>
      <c r="I55" s="105"/>
      <c r="J55" s="105"/>
      <c r="K55" s="105"/>
      <c r="L55" s="105"/>
      <c r="M55" s="105"/>
      <c r="N55" s="105"/>
      <c r="O55" s="105"/>
      <c r="P55" s="105"/>
    </row>
    <row r="56" spans="2:16" x14ac:dyDescent="0.3">
      <c r="B56" t="s">
        <v>554</v>
      </c>
      <c r="C56" t="s">
        <v>123</v>
      </c>
      <c r="D56" s="20"/>
      <c r="E56" s="20"/>
      <c r="F56" s="168">
        <f>'01 Summary'!$C$10</f>
        <v>0</v>
      </c>
      <c r="G56" s="20"/>
      <c r="H56" s="20"/>
      <c r="I56" s="20"/>
      <c r="J56" s="20"/>
      <c r="K56" s="20"/>
      <c r="L56" s="20"/>
      <c r="M56" s="20"/>
      <c r="N56" s="20"/>
      <c r="O56" s="20"/>
      <c r="P56" s="20"/>
    </row>
    <row r="57" spans="2:16" x14ac:dyDescent="0.3">
      <c r="B57" t="s">
        <v>555</v>
      </c>
      <c r="C57" t="s">
        <v>42</v>
      </c>
      <c r="D57" s="19"/>
      <c r="E57" s="19"/>
      <c r="F57" s="19" t="str">
        <f>IF(F56&lt;=0,"introducir precio",F55/F56-1)</f>
        <v>introducir precio</v>
      </c>
      <c r="G57" s="19"/>
      <c r="H57" s="19"/>
      <c r="I57" s="19"/>
      <c r="J57" s="19"/>
      <c r="K57" s="19"/>
      <c r="L57" s="19"/>
      <c r="M57" s="19"/>
      <c r="N57" s="19"/>
      <c r="O57" s="19"/>
      <c r="P57" s="19"/>
    </row>
    <row r="58" spans="2:16" x14ac:dyDescent="0.3">
      <c r="B58" t="s">
        <v>556</v>
      </c>
      <c r="C58" t="s">
        <v>42</v>
      </c>
      <c r="D58" s="19"/>
      <c r="E58" s="19"/>
      <c r="F58" s="19" t="str">
        <f>IF(F56&lt;=0,"introducir precio",1-F56/F55)</f>
        <v>introducir precio</v>
      </c>
      <c r="G58" s="19"/>
      <c r="H58" s="19"/>
      <c r="I58" s="19"/>
      <c r="J58" s="19"/>
      <c r="K58" s="19"/>
      <c r="L58" s="19"/>
      <c r="M58" s="19"/>
      <c r="N58" s="19"/>
      <c r="O58" s="19"/>
      <c r="P58" s="19"/>
    </row>
    <row r="60" spans="2:16" x14ac:dyDescent="0.3">
      <c r="B60" s="5" t="s">
        <v>557</v>
      </c>
      <c r="C60" s="5"/>
      <c r="D60" s="5"/>
      <c r="E60" s="5"/>
      <c r="F60" s="5"/>
      <c r="G60" s="5"/>
      <c r="H60" s="5"/>
      <c r="I60" s="5"/>
      <c r="J60" s="5"/>
      <c r="K60" s="5"/>
      <c r="L60" s="5"/>
      <c r="M60" s="5"/>
      <c r="N60" s="5"/>
      <c r="O60" s="5"/>
      <c r="P60" s="5"/>
    </row>
    <row r="61" spans="2:16" x14ac:dyDescent="0.3">
      <c r="B61" t="s">
        <v>558</v>
      </c>
      <c r="C61" t="s">
        <v>95</v>
      </c>
      <c r="D61" s="17"/>
      <c r="E61" s="17"/>
      <c r="F61" s="17">
        <f>'04 Operating Model'!P39</f>
        <v>97682.854018001177</v>
      </c>
      <c r="G61" s="17"/>
      <c r="H61" s="17"/>
      <c r="I61" s="17"/>
      <c r="J61" s="17"/>
      <c r="K61" s="17"/>
      <c r="L61" s="17"/>
      <c r="M61" s="17"/>
      <c r="N61" s="17"/>
      <c r="O61" s="17"/>
      <c r="P61" s="17"/>
    </row>
    <row r="62" spans="2:16" x14ac:dyDescent="0.3">
      <c r="B62" t="s">
        <v>559</v>
      </c>
      <c r="C62" t="s">
        <v>209</v>
      </c>
      <c r="D62" s="25"/>
      <c r="E62" s="25"/>
      <c r="F62" s="25">
        <f>IFERROR(F34/F61,"n/a")</f>
        <v>9.5110381206135504</v>
      </c>
      <c r="G62" s="25"/>
      <c r="H62" s="25"/>
      <c r="I62" s="25"/>
      <c r="J62" s="25"/>
      <c r="K62" s="25"/>
      <c r="L62" s="25"/>
      <c r="M62" s="25"/>
      <c r="N62" s="25"/>
      <c r="O62" s="25"/>
      <c r="P62" s="25"/>
    </row>
    <row r="63" spans="2:16" x14ac:dyDescent="0.3">
      <c r="B63" t="s">
        <v>560</v>
      </c>
      <c r="C63" t="s">
        <v>42</v>
      </c>
      <c r="D63" s="19"/>
      <c r="E63" s="19"/>
      <c r="F63" s="19">
        <f>'04 Operating Model'!P30</f>
        <v>0.33658600745277512</v>
      </c>
      <c r="G63" s="19"/>
      <c r="H63" s="19"/>
      <c r="I63" s="19"/>
      <c r="J63" s="19"/>
      <c r="K63" s="19"/>
      <c r="L63" s="19"/>
      <c r="M63" s="19"/>
      <c r="N63" s="19"/>
      <c r="O63" s="19"/>
      <c r="P63" s="19"/>
    </row>
    <row r="64" spans="2:16" x14ac:dyDescent="0.3">
      <c r="B64" t="s">
        <v>561</v>
      </c>
      <c r="C64" t="s">
        <v>42</v>
      </c>
      <c r="D64" s="19"/>
      <c r="E64" s="19"/>
      <c r="F64" s="19">
        <f>'04 Operating Model'!P35</f>
        <v>0.11799999999999999</v>
      </c>
      <c r="G64" s="19"/>
      <c r="H64" s="19"/>
      <c r="I64" s="19"/>
      <c r="J64" s="19"/>
      <c r="K64" s="19"/>
      <c r="L64" s="19"/>
      <c r="M64" s="19"/>
      <c r="N64" s="19"/>
      <c r="O64" s="19"/>
      <c r="P64" s="19"/>
    </row>
    <row r="65" spans="2:16" x14ac:dyDescent="0.3">
      <c r="B65" t="s">
        <v>562</v>
      </c>
      <c r="C65" t="s">
        <v>42</v>
      </c>
      <c r="D65" s="19"/>
      <c r="E65" s="19"/>
      <c r="F65" s="19">
        <f>'04 Operating Model'!P38/'04 Operating Model'!P11</f>
        <v>0.11274703204842552</v>
      </c>
      <c r="G65" s="19"/>
      <c r="H65" s="19"/>
      <c r="I65" s="19"/>
      <c r="J65" s="19"/>
      <c r="K65" s="19"/>
      <c r="L65" s="19"/>
      <c r="M65" s="19"/>
      <c r="N65" s="19"/>
      <c r="O65" s="19"/>
      <c r="P65" s="19"/>
    </row>
    <row r="66" spans="2:16" x14ac:dyDescent="0.3">
      <c r="B66" t="s">
        <v>563</v>
      </c>
      <c r="C66" t="s">
        <v>209</v>
      </c>
      <c r="D66" s="25"/>
      <c r="E66" s="25"/>
      <c r="F66" s="25">
        <f>'04 Operating Model'!P41</f>
        <v>1.0465907426221055</v>
      </c>
      <c r="G66" s="25"/>
      <c r="H66" s="25"/>
      <c r="I66" s="25"/>
      <c r="J66" s="25"/>
      <c r="K66" s="25"/>
      <c r="L66" s="25"/>
      <c r="M66" s="25"/>
      <c r="N66" s="25"/>
      <c r="O66" s="25"/>
      <c r="P66" s="25"/>
    </row>
    <row r="67" spans="2:16" x14ac:dyDescent="0.3">
      <c r="B67" s="102" t="s">
        <v>564</v>
      </c>
      <c r="C67" s="102"/>
      <c r="D67" s="102"/>
      <c r="E67" s="102"/>
      <c r="F67" s="102" t="str">
        <f>IF(P21&gt;F26,"OK","FALLO")</f>
        <v>OK</v>
      </c>
      <c r="G67" s="5"/>
      <c r="H67" s="5"/>
      <c r="I67" s="5"/>
      <c r="J67" s="5"/>
      <c r="K67" s="5"/>
      <c r="L67" s="5"/>
      <c r="M67" s="5"/>
      <c r="N67" s="5"/>
      <c r="O67" s="5"/>
      <c r="P67" s="5"/>
    </row>
    <row r="68" spans="2:16" x14ac:dyDescent="0.3">
      <c r="B68" s="102" t="s">
        <v>565</v>
      </c>
      <c r="C68" s="102"/>
      <c r="D68" s="102"/>
      <c r="E68" s="102"/>
      <c r="F68" s="102" t="str">
        <f>IF(F26&lt;='02 Assumptions'!C65,"OK","FALLO: g por encima del PIB nominal")</f>
        <v>OK</v>
      </c>
      <c r="G68" s="5"/>
      <c r="H68" s="5"/>
      <c r="I68" s="5"/>
      <c r="J68" s="5"/>
      <c r="K68" s="5"/>
      <c r="L68" s="5"/>
      <c r="M68" s="5"/>
      <c r="N68" s="5"/>
      <c r="O68" s="5"/>
      <c r="P68" s="5"/>
    </row>
    <row r="69" spans="2:16" x14ac:dyDescent="0.3">
      <c r="B69" s="102" t="s">
        <v>566</v>
      </c>
      <c r="C69" s="102"/>
      <c r="D69" s="102"/>
      <c r="E69" s="102"/>
      <c r="F69" s="102" t="str">
        <f>IF(AND(F62&gt;=8,F62&lt;=25),"OK","AVISO: múltiplo implícito fuera de rango — revisar g, ROIC terminal o WACC")</f>
        <v>OK</v>
      </c>
      <c r="G69" s="5"/>
      <c r="H69" s="5"/>
      <c r="I69" s="5"/>
      <c r="J69" s="5"/>
      <c r="K69" s="5"/>
      <c r="L69" s="5"/>
      <c r="M69" s="5"/>
      <c r="N69" s="5"/>
      <c r="O69" s="5"/>
      <c r="P69" s="5"/>
    </row>
    <row r="70" spans="2:16" x14ac:dyDescent="0.3">
      <c r="B70" s="102" t="s">
        <v>567</v>
      </c>
      <c r="C70" s="102"/>
      <c r="D70" s="102"/>
      <c r="E70" s="102"/>
      <c r="F70" s="102" t="str">
        <f>IF(F45&gt;0.75,"AVISO: el valor depende mayoritariamente de las hipótesis terminales","OK")</f>
        <v>OK</v>
      </c>
      <c r="G70" s="5"/>
      <c r="H70" s="5"/>
      <c r="I70" s="5"/>
      <c r="J70" s="5"/>
      <c r="K70" s="5"/>
      <c r="L70" s="5"/>
      <c r="M70" s="5"/>
      <c r="N70" s="5"/>
      <c r="O70" s="5"/>
      <c r="P70" s="5"/>
    </row>
    <row r="71" spans="2:16" x14ac:dyDescent="0.3">
      <c r="B71" t="s">
        <v>568</v>
      </c>
      <c r="C71" t="s">
        <v>209</v>
      </c>
      <c r="D71" s="25"/>
      <c r="E71" s="25"/>
      <c r="F71" s="25">
        <f>F44/'03 Historical'!F125</f>
        <v>19.168668172919059</v>
      </c>
      <c r="G71" s="25"/>
      <c r="H71" s="25"/>
      <c r="I71" s="25"/>
      <c r="J71" s="25"/>
      <c r="K71" s="25"/>
      <c r="L71" s="25"/>
      <c r="M71" s="25"/>
      <c r="N71" s="25"/>
      <c r="O71" s="25"/>
      <c r="P71" s="25"/>
    </row>
    <row r="72" spans="2:16" x14ac:dyDescent="0.3">
      <c r="B72" t="s">
        <v>569</v>
      </c>
      <c r="C72" t="s">
        <v>209</v>
      </c>
      <c r="D72" s="25"/>
      <c r="E72" s="25"/>
      <c r="F72" s="25">
        <f>F44/'03 Historical'!F11</f>
        <v>9.032100456850884</v>
      </c>
      <c r="G72" s="25"/>
      <c r="H72" s="25"/>
      <c r="I72" s="25"/>
      <c r="J72" s="25"/>
      <c r="K72" s="25"/>
      <c r="L72" s="25"/>
      <c r="M72" s="25"/>
      <c r="N72" s="25"/>
      <c r="O72" s="25"/>
      <c r="P72" s="25"/>
    </row>
    <row r="73" spans="2:16" x14ac:dyDescent="0.3">
      <c r="B73" t="s">
        <v>570</v>
      </c>
      <c r="C73" t="s">
        <v>95</v>
      </c>
      <c r="D73" s="17"/>
      <c r="E73" s="17"/>
      <c r="F73" s="17">
        <f>SUM(G15:P15)</f>
        <v>357182.13797485863</v>
      </c>
      <c r="G73" s="17"/>
      <c r="H73" s="17"/>
      <c r="I73" s="17"/>
      <c r="J73" s="17"/>
      <c r="K73" s="17"/>
      <c r="L73" s="17"/>
      <c r="M73" s="17"/>
      <c r="N73" s="17"/>
      <c r="O73" s="17"/>
      <c r="P73" s="17"/>
    </row>
    <row r="74" spans="2:16" x14ac:dyDescent="0.3">
      <c r="B74" t="s">
        <v>571</v>
      </c>
      <c r="C74" t="s">
        <v>321</v>
      </c>
      <c r="D74" s="26"/>
      <c r="E74" s="26"/>
      <c r="F74" s="26">
        <f>COUNTIF(G15:P15,"&lt;0")</f>
        <v>1</v>
      </c>
      <c r="G74" s="26"/>
      <c r="H74" s="26"/>
      <c r="I74" s="26"/>
      <c r="J74" s="26"/>
      <c r="K74" s="26"/>
      <c r="L74" s="26"/>
      <c r="M74" s="26"/>
      <c r="N74" s="26"/>
      <c r="O74" s="26"/>
      <c r="P74" s="26"/>
    </row>
    <row r="75" spans="2:16" x14ac:dyDescent="0.3">
      <c r="B75" s="102" t="s">
        <v>572</v>
      </c>
      <c r="C75" s="102"/>
      <c r="D75" s="102"/>
      <c r="E75" s="102"/>
      <c r="F75" s="102" t="str">
        <f>IF(P15&gt;0,"OK","FALLO: FCFF negativo al final del horizonte — el FCFF DCF no es la metodología adecuada")</f>
        <v>OK</v>
      </c>
      <c r="G75" s="5"/>
      <c r="H75" s="5"/>
      <c r="I75" s="5"/>
      <c r="J75" s="5"/>
      <c r="K75" s="5"/>
      <c r="L75" s="5"/>
      <c r="M75" s="5"/>
      <c r="N75" s="5"/>
      <c r="O75" s="5"/>
      <c r="P75"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AB01-CF6E-49F0-8FD6-B1F3863B8A1B}">
  <dimension ref="A1:E57"/>
  <sheetViews>
    <sheetView workbookViewId="0"/>
  </sheetViews>
  <sheetFormatPr baseColWidth="10" defaultRowHeight="14.4" x14ac:dyDescent="0.3"/>
  <cols>
    <col min="2" max="2" width="77.77734375" customWidth="1"/>
    <col min="3" max="3" width="20.33203125" customWidth="1"/>
    <col min="4" max="5" width="79.6640625" customWidth="1"/>
  </cols>
  <sheetData>
    <row r="1" spans="1:4" ht="18" x14ac:dyDescent="0.35">
      <c r="A1" s="4" t="s">
        <v>448</v>
      </c>
    </row>
    <row r="2" spans="1:4" x14ac:dyDescent="0.3">
      <c r="A2" s="90" t="s">
        <v>449</v>
      </c>
    </row>
    <row r="4" spans="1:4" x14ac:dyDescent="0.3">
      <c r="B4" s="5" t="s">
        <v>450</v>
      </c>
      <c r="C4" s="5"/>
      <c r="D4" s="5"/>
    </row>
    <row r="5" spans="1:4" x14ac:dyDescent="0.3">
      <c r="B5" t="s">
        <v>451</v>
      </c>
      <c r="C5" s="92">
        <f ca="1">'00 Panel del Analista'!D207</f>
        <v>0</v>
      </c>
      <c r="D5" t="s">
        <v>42</v>
      </c>
    </row>
    <row r="6" spans="1:4" x14ac:dyDescent="0.3">
      <c r="B6" t="s">
        <v>452</v>
      </c>
      <c r="C6" s="92">
        <f ca="1">'00 Panel del Analista'!D208</f>
        <v>0</v>
      </c>
      <c r="D6" t="s">
        <v>42</v>
      </c>
    </row>
    <row r="7" spans="1:4" x14ac:dyDescent="0.3">
      <c r="B7" t="s">
        <v>453</v>
      </c>
      <c r="C7" s="94">
        <f>C19</f>
        <v>1.2</v>
      </c>
      <c r="D7" t="s">
        <v>209</v>
      </c>
    </row>
    <row r="8" spans="1:4" x14ac:dyDescent="0.3">
      <c r="B8" t="s">
        <v>454</v>
      </c>
      <c r="C8" s="91">
        <f ca="1">'00 Panel del Analista'!D209</f>
        <v>0</v>
      </c>
      <c r="D8" t="s">
        <v>42</v>
      </c>
    </row>
    <row r="9" spans="1:4" x14ac:dyDescent="0.3">
      <c r="B9" s="96" t="s">
        <v>455</v>
      </c>
      <c r="C9" s="97">
        <f>C5+C7*C6+C8</f>
        <v>9.9000000000000005E-2</v>
      </c>
      <c r="D9" s="96" t="s">
        <v>42</v>
      </c>
    </row>
    <row r="11" spans="1:4" x14ac:dyDescent="0.3">
      <c r="B11" s="5" t="s">
        <v>456</v>
      </c>
      <c r="C11" s="5"/>
      <c r="D11" s="5"/>
    </row>
    <row r="12" spans="1:4" x14ac:dyDescent="0.3">
      <c r="B12" t="s">
        <v>457</v>
      </c>
      <c r="C12" s="93">
        <f ca="1">'00 Panel del Analista'!D210</f>
        <v>0</v>
      </c>
      <c r="D12" t="s">
        <v>209</v>
      </c>
    </row>
    <row r="13" spans="1:4" x14ac:dyDescent="0.3">
      <c r="B13" t="s">
        <v>458</v>
      </c>
      <c r="C13" s="43">
        <f ca="1">'00 Panel del Analista'!D211</f>
        <v>0</v>
      </c>
      <c r="D13" t="s">
        <v>209</v>
      </c>
    </row>
    <row r="14" spans="1:4" x14ac:dyDescent="0.3">
      <c r="B14" t="s">
        <v>459</v>
      </c>
      <c r="C14" s="95">
        <f>'02 Assumptions'!C58</f>
        <v>0.21</v>
      </c>
      <c r="D14" t="s">
        <v>42</v>
      </c>
    </row>
    <row r="15" spans="1:4" x14ac:dyDescent="0.3">
      <c r="B15" t="s">
        <v>460</v>
      </c>
      <c r="C15" s="44">
        <f>C12/(1+(1-C14)*C13)</f>
        <v>1.0020876826722338</v>
      </c>
      <c r="D15" t="s">
        <v>209</v>
      </c>
    </row>
    <row r="16" spans="1:4" x14ac:dyDescent="0.3">
      <c r="B16" t="s">
        <v>461</v>
      </c>
      <c r="C16" s="44">
        <f>C31/C32</f>
        <v>0.25</v>
      </c>
      <c r="D16" t="s">
        <v>209</v>
      </c>
    </row>
    <row r="17" spans="2:4" x14ac:dyDescent="0.3">
      <c r="B17" t="s">
        <v>462</v>
      </c>
      <c r="C17" s="44">
        <f>C15*(1+(1-C14)*C16)</f>
        <v>1.2</v>
      </c>
      <c r="D17" t="s">
        <v>209</v>
      </c>
    </row>
    <row r="19" spans="2:4" x14ac:dyDescent="0.3">
      <c r="B19" t="s">
        <v>463</v>
      </c>
      <c r="C19" s="44">
        <f>C17</f>
        <v>1.2</v>
      </c>
      <c r="D19" t="s">
        <v>209</v>
      </c>
    </row>
    <row r="21" spans="2:4" x14ac:dyDescent="0.3">
      <c r="B21" s="5" t="s">
        <v>464</v>
      </c>
      <c r="C21" s="5"/>
      <c r="D21" s="5"/>
    </row>
    <row r="22" spans="2:4" x14ac:dyDescent="0.3">
      <c r="B22" t="s">
        <v>465</v>
      </c>
      <c r="C22" s="62">
        <f>'03 Historical'!F29</f>
        <v>4599</v>
      </c>
      <c r="D22" t="s">
        <v>95</v>
      </c>
    </row>
    <row r="23" spans="2:4" x14ac:dyDescent="0.3">
      <c r="B23" t="s">
        <v>466</v>
      </c>
      <c r="C23" s="62">
        <f>AVERAGE('03 Historical'!E110+'03 Historical'!E112,'03 Historical'!F110+'03 Historical'!F112)</f>
        <v>116372</v>
      </c>
      <c r="D23" t="s">
        <v>95</v>
      </c>
    </row>
    <row r="24" spans="2:4" x14ac:dyDescent="0.3">
      <c r="B24" t="s">
        <v>467</v>
      </c>
      <c r="C24" s="89">
        <f>C22/C23</f>
        <v>3.9519815763242018E-2</v>
      </c>
      <c r="D24" t="s">
        <v>42</v>
      </c>
    </row>
    <row r="25" spans="2:4" x14ac:dyDescent="0.3">
      <c r="B25" t="s">
        <v>468</v>
      </c>
      <c r="C25" s="92">
        <f ca="1">'00 Panel del Analista'!D212</f>
        <v>0</v>
      </c>
      <c r="D25" t="s">
        <v>42</v>
      </c>
    </row>
    <row r="26" spans="2:4" x14ac:dyDescent="0.3">
      <c r="B26" t="s">
        <v>469</v>
      </c>
      <c r="C26" s="89">
        <f>C25*(1-C14)</f>
        <v>4.1474999999999998E-2</v>
      </c>
      <c r="D26" t="s">
        <v>42</v>
      </c>
    </row>
    <row r="28" spans="2:4" x14ac:dyDescent="0.3">
      <c r="B28" s="5" t="s">
        <v>470</v>
      </c>
      <c r="C28" s="5"/>
      <c r="D28" s="5"/>
    </row>
    <row r="29" spans="2:4" x14ac:dyDescent="0.3">
      <c r="B29" t="s">
        <v>471</v>
      </c>
      <c r="C29" s="62">
        <f>IF('01 Summary'!$C$10&lt;=0,0,'01 Summary'!$C$10*'02 Assumptions'!C69)</f>
        <v>0</v>
      </c>
      <c r="D29" t="s">
        <v>95</v>
      </c>
    </row>
    <row r="30" spans="2:4" x14ac:dyDescent="0.3">
      <c r="B30" t="s">
        <v>472</v>
      </c>
      <c r="C30" s="17">
        <f>'02 Assumptions'!C70+'02 Assumptions'!C71</f>
        <v>137242</v>
      </c>
      <c r="D30" t="s">
        <v>95</v>
      </c>
    </row>
    <row r="31" spans="2:4" x14ac:dyDescent="0.3">
      <c r="B31" t="s">
        <v>473</v>
      </c>
      <c r="C31" s="92">
        <f ca="1">'00 Panel del Analista'!D213</f>
        <v>0</v>
      </c>
      <c r="D31" t="s">
        <v>42</v>
      </c>
    </row>
    <row r="32" spans="2:4" x14ac:dyDescent="0.3">
      <c r="B32" t="s">
        <v>474</v>
      </c>
      <c r="C32" s="89">
        <f>1-C31</f>
        <v>0.8</v>
      </c>
      <c r="D32" t="s">
        <v>42</v>
      </c>
    </row>
    <row r="33" spans="2:5" x14ac:dyDescent="0.3">
      <c r="B33" t="s">
        <v>475</v>
      </c>
      <c r="C33" s="89" t="str">
        <f>IF(C29&lt;=0,"introducir precio en Summary!C10",C30/(C30+C29))</f>
        <v>introducir precio en Summary!C10</v>
      </c>
      <c r="D33" t="s">
        <v>42</v>
      </c>
    </row>
    <row r="35" spans="2:5" x14ac:dyDescent="0.3">
      <c r="B35" s="5" t="s">
        <v>476</v>
      </c>
      <c r="C35" s="5"/>
      <c r="D35" s="5"/>
    </row>
    <row r="36" spans="2:5" x14ac:dyDescent="0.3">
      <c r="B36" t="s">
        <v>477</v>
      </c>
      <c r="C36" s="89">
        <f>C32*C9+C31*C26</f>
        <v>8.7495000000000003E-2</v>
      </c>
      <c r="D36" t="s">
        <v>42</v>
      </c>
    </row>
    <row r="37" spans="2:5" x14ac:dyDescent="0.3">
      <c r="B37" t="s">
        <v>478</v>
      </c>
      <c r="C37" s="95">
        <f>'09 Escenarios'!$G$17</f>
        <v>0</v>
      </c>
      <c r="D37" t="s">
        <v>276</v>
      </c>
    </row>
    <row r="38" spans="2:5" x14ac:dyDescent="0.3">
      <c r="B38" s="100" t="s">
        <v>479</v>
      </c>
      <c r="C38" s="99">
        <f>C36+C37</f>
        <v>8.7495000000000003E-2</v>
      </c>
      <c r="D38" s="100" t="s">
        <v>42</v>
      </c>
    </row>
    <row r="40" spans="2:5" x14ac:dyDescent="0.3">
      <c r="B40" s="5" t="s">
        <v>480</v>
      </c>
      <c r="C40" s="5"/>
      <c r="D40" s="5"/>
    </row>
    <row r="41" spans="2:5" x14ac:dyDescent="0.3">
      <c r="B41" t="s">
        <v>481</v>
      </c>
      <c r="C41" s="95">
        <f>'02 Assumptions'!C63</f>
        <v>0.03</v>
      </c>
      <c r="D41" t="s">
        <v>42</v>
      </c>
    </row>
    <row r="42" spans="2:5" x14ac:dyDescent="0.3">
      <c r="B42" s="22" t="s">
        <v>482</v>
      </c>
      <c r="C42" s="22" t="str">
        <f>IF(C38&gt;C41,"OK","FALLO — g debe ser menor que el WACC")</f>
        <v>OK</v>
      </c>
    </row>
    <row r="43" spans="2:5" x14ac:dyDescent="0.3">
      <c r="B43" s="22" t="s">
        <v>483</v>
      </c>
      <c r="C43" s="101">
        <f>C38-C41</f>
        <v>5.7495000000000004E-2</v>
      </c>
      <c r="D43" t="s">
        <v>276</v>
      </c>
    </row>
    <row r="44" spans="2:5" x14ac:dyDescent="0.3">
      <c r="B44" s="22" t="s">
        <v>484</v>
      </c>
      <c r="C44" s="22" t="str">
        <f>IF(C25&gt;=C24,"OK","REVISAR — el coste marginal de la deuda nueva no debería ser inferior al histórico")</f>
        <v>OK</v>
      </c>
    </row>
    <row r="45" spans="2:5" x14ac:dyDescent="0.3">
      <c r="B45" s="22" t="s">
        <v>485</v>
      </c>
      <c r="C45" s="22" t="str">
        <f>IF(C9&gt;C25,"OK","FALLO")</f>
        <v>OK</v>
      </c>
    </row>
    <row r="47" spans="2:5" x14ac:dyDescent="0.3">
      <c r="B47" s="102" t="s">
        <v>486</v>
      </c>
      <c r="C47" s="16"/>
      <c r="D47" s="16"/>
      <c r="E47" s="16"/>
    </row>
    <row r="48" spans="2:5" x14ac:dyDescent="0.3">
      <c r="B48" s="2" t="s">
        <v>61</v>
      </c>
      <c r="C48" s="2" t="s">
        <v>487</v>
      </c>
      <c r="D48" s="2" t="s">
        <v>488</v>
      </c>
      <c r="E48" s="2" t="s">
        <v>489</v>
      </c>
    </row>
    <row r="49" spans="2:5" ht="201.6" x14ac:dyDescent="0.3">
      <c r="B49" s="37" t="s">
        <v>490</v>
      </c>
      <c r="C49" s="103">
        <f>C5</f>
        <v>4.2000000000000003E-2</v>
      </c>
      <c r="D49" s="37" t="s">
        <v>491</v>
      </c>
      <c r="E49" s="37" t="s">
        <v>492</v>
      </c>
    </row>
    <row r="50" spans="2:5" ht="216" x14ac:dyDescent="0.3">
      <c r="B50" s="37" t="s">
        <v>493</v>
      </c>
      <c r="C50" s="103">
        <f>C6</f>
        <v>4.7500000000000001E-2</v>
      </c>
      <c r="D50" s="37" t="s">
        <v>494</v>
      </c>
      <c r="E50" s="37" t="s">
        <v>495</v>
      </c>
    </row>
    <row r="51" spans="2:5" ht="216" x14ac:dyDescent="0.3">
      <c r="B51" s="37" t="s">
        <v>496</v>
      </c>
      <c r="C51" s="104">
        <f>C12</f>
        <v>1.2</v>
      </c>
      <c r="D51" s="37" t="s">
        <v>497</v>
      </c>
      <c r="E51" s="37" t="s">
        <v>498</v>
      </c>
    </row>
    <row r="52" spans="2:5" ht="216" x14ac:dyDescent="0.3">
      <c r="B52" s="37" t="s">
        <v>499</v>
      </c>
      <c r="C52" s="103">
        <f>C25</f>
        <v>5.2499999999999998E-2</v>
      </c>
      <c r="D52" s="37" t="s">
        <v>500</v>
      </c>
      <c r="E52" s="37" t="s">
        <v>501</v>
      </c>
    </row>
    <row r="53" spans="2:5" ht="259.2" x14ac:dyDescent="0.3">
      <c r="B53" s="37" t="s">
        <v>502</v>
      </c>
      <c r="C53" s="103">
        <f>C31</f>
        <v>0.2</v>
      </c>
      <c r="D53" s="37" t="s">
        <v>503</v>
      </c>
      <c r="E53" s="37" t="s">
        <v>504</v>
      </c>
    </row>
    <row r="54" spans="2:5" ht="259.2" x14ac:dyDescent="0.3">
      <c r="B54" s="37" t="s">
        <v>505</v>
      </c>
      <c r="C54" s="103"/>
      <c r="D54" s="37" t="s">
        <v>506</v>
      </c>
      <c r="E54" s="37" t="s">
        <v>507</v>
      </c>
    </row>
    <row r="56" spans="2:5" x14ac:dyDescent="0.3">
      <c r="B56" s="154" t="s">
        <v>1665</v>
      </c>
      <c r="C56" s="50">
        <f ca="1">'00 Panel del Analista'!D214</f>
        <v>0</v>
      </c>
    </row>
    <row r="57" spans="2:5" ht="28.8" x14ac:dyDescent="0.3">
      <c r="B57" s="155" t="s">
        <v>1666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233-DD3F-4DC7-BA2A-F43F1ED8449F}">
  <dimension ref="A1:M65"/>
  <sheetViews>
    <sheetView workbookViewId="0"/>
  </sheetViews>
  <sheetFormatPr baseColWidth="10" defaultRowHeight="14.4" x14ac:dyDescent="0.3"/>
  <cols>
    <col min="2" max="2" width="55.5546875" customWidth="1"/>
    <col min="3" max="3" width="151.88671875" customWidth="1"/>
    <col min="4" max="8" width="17.5546875" customWidth="1"/>
  </cols>
  <sheetData>
    <row r="1" spans="1:13" ht="18" x14ac:dyDescent="0.35">
      <c r="A1" s="4" t="s">
        <v>680</v>
      </c>
    </row>
    <row r="2" spans="1:13" x14ac:dyDescent="0.3">
      <c r="A2" s="117" t="s">
        <v>681</v>
      </c>
    </row>
    <row r="4" spans="1:13" x14ac:dyDescent="0.3">
      <c r="B4" s="5" t="s">
        <v>682</v>
      </c>
      <c r="C4" s="5"/>
      <c r="D4" s="5"/>
      <c r="E4" s="5"/>
      <c r="F4" s="5"/>
      <c r="G4" s="5"/>
      <c r="H4" s="5"/>
      <c r="M4">
        <v>123.45</v>
      </c>
    </row>
    <row r="5" spans="1:13" x14ac:dyDescent="0.3">
      <c r="B5" s="2" t="s">
        <v>687</v>
      </c>
      <c r="D5" s="119">
        <f>'06 DCF'!$F$26+-0.01</f>
        <v>1.9999999999999997E-2</v>
      </c>
      <c r="E5" s="119">
        <f>'06 DCF'!$F$26+-0.005</f>
        <v>2.4999999999999998E-2</v>
      </c>
      <c r="F5" s="119">
        <f>'06 DCF'!$F$26+0</f>
        <v>0.03</v>
      </c>
      <c r="G5" s="119">
        <f>'06 DCF'!$F$26+0.005</f>
        <v>3.4999999999999996E-2</v>
      </c>
      <c r="H5" s="119">
        <f>'06 DCF'!$F$26+0.01</f>
        <v>0.04</v>
      </c>
    </row>
    <row r="6" spans="1:13" x14ac:dyDescent="0.3">
      <c r="C6" s="118">
        <f>'07 WACC'!$C$38+-0.01</f>
        <v>7.7495000000000008E-2</v>
      </c>
      <c r="D6" s="173" cm="1">
        <f t="array" aca="1" ref="D6" ca="1">(SUMPRODUCT('06 DCF'!$G$15:$P$15,1/(1+$C6)^'06 DCF'!$G$20:$P$20)+'06 DCF'!$P$10*(1+D$5)*(1-D$5/'06 DCF'!$F$27)/($C6-D$5)/(1+$C6)^'02 Assumptions'!$C$11+SUM('06 DCF'!$F$46:$F$52))/'06 DCF'!$F$54</f>
        <v>0</v>
      </c>
      <c r="E6" s="174" cm="1">
        <f t="array" aca="1" ref="E6" ca="1">(SUMPRODUCT('06 DCF'!$G$15:$P$15,1/(1+$C6)^'06 DCF'!$G$20:$P$20)+'06 DCF'!$P$10*(1+E$5)*(1-E$5/'06 DCF'!$F$27)/($C6-E$5)/(1+$C6)^'02 Assumptions'!$C$11+SUM('06 DCF'!$F$46:$F$52))/'06 DCF'!$F$54</f>
        <v>0</v>
      </c>
      <c r="F6" s="174" cm="1">
        <f t="array" aca="1" ref="F6" ca="1">(SUMPRODUCT('06 DCF'!$G$15:$P$15,1/(1+$C6)^'06 DCF'!$G$20:$P$20)+'06 DCF'!$P$10*(1+F$5)*(1-F$5/'06 DCF'!$F$27)/($C6-F$5)/(1+$C6)^'02 Assumptions'!$C$11+SUM('06 DCF'!$F$46:$F$52))/'06 DCF'!$F$54</f>
        <v>0</v>
      </c>
      <c r="G6" s="174" cm="1">
        <f t="array" aca="1" ref="G6" ca="1">(SUMPRODUCT('06 DCF'!$G$15:$P$15,1/(1+$C6)^'06 DCF'!$G$20:$P$20)+'06 DCF'!$P$10*(1+G$5)*(1-G$5/'06 DCF'!$F$27)/($C6-G$5)/(1+$C6)^'02 Assumptions'!$C$11+SUM('06 DCF'!$F$46:$F$52))/'06 DCF'!$F$54</f>
        <v>0</v>
      </c>
      <c r="H6" s="175" cm="1">
        <f t="array" aca="1" ref="H6" ca="1">(SUMPRODUCT('06 DCF'!$G$15:$P$15,1/(1+$C6)^'06 DCF'!$G$20:$P$20)+'06 DCF'!$P$10*(1+H$5)*(1-H$5/'06 DCF'!$F$27)/($C6-H$5)/(1+$C6)^'02 Assumptions'!$C$11+SUM('06 DCF'!$F$46:$F$52))/'06 DCF'!$F$54</f>
        <v>0</v>
      </c>
    </row>
    <row r="7" spans="1:13" x14ac:dyDescent="0.3">
      <c r="C7" s="118">
        <f>'07 WACC'!$C$38+-0.005</f>
        <v>8.2494999999999999E-2</v>
      </c>
      <c r="D7" s="176" cm="1">
        <f t="array" aca="1" ref="D7" ca="1">(SUMPRODUCT('06 DCF'!$G$15:$P$15,1/(1+$C7)^'06 DCF'!$G$20:$P$20)+'06 DCF'!$P$10*(1+D$5)*(1-D$5/'06 DCF'!$F$27)/($C7-D$5)/(1+$C7)^'02 Assumptions'!$C$11+SUM('06 DCF'!$F$46:$F$52))/'06 DCF'!$F$54</f>
        <v>0</v>
      </c>
      <c r="E7" s="177" cm="1">
        <f t="array" aca="1" ref="E7" ca="1">(SUMPRODUCT('06 DCF'!$G$15:$P$15,1/(1+$C7)^'06 DCF'!$G$20:$P$20)+'06 DCF'!$P$10*(1+E$5)*(1-E$5/'06 DCF'!$F$27)/($C7-E$5)/(1+$C7)^'02 Assumptions'!$C$11+SUM('06 DCF'!$F$46:$F$52))/'06 DCF'!$F$54</f>
        <v>0</v>
      </c>
      <c r="F7" s="177" cm="1">
        <f t="array" aca="1" ref="F7" ca="1">(SUMPRODUCT('06 DCF'!$G$15:$P$15,1/(1+$C7)^'06 DCF'!$G$20:$P$20)+'06 DCF'!$P$10*(1+F$5)*(1-F$5/'06 DCF'!$F$27)/($C7-F$5)/(1+$C7)^'02 Assumptions'!$C$11+SUM('06 DCF'!$F$46:$F$52))/'06 DCF'!$F$54</f>
        <v>0</v>
      </c>
      <c r="G7" s="177" cm="1">
        <f t="array" aca="1" ref="G7" ca="1">(SUMPRODUCT('06 DCF'!$G$15:$P$15,1/(1+$C7)^'06 DCF'!$G$20:$P$20)+'06 DCF'!$P$10*(1+G$5)*(1-G$5/'06 DCF'!$F$27)/($C7-G$5)/(1+$C7)^'02 Assumptions'!$C$11+SUM('06 DCF'!$F$46:$F$52))/'06 DCF'!$F$54</f>
        <v>0</v>
      </c>
      <c r="H7" s="178" cm="1">
        <f t="array" aca="1" ref="H7" ca="1">(SUMPRODUCT('06 DCF'!$G$15:$P$15,1/(1+$C7)^'06 DCF'!$G$20:$P$20)+'06 DCF'!$P$10*(1+H$5)*(1-H$5/'06 DCF'!$F$27)/($C7-H$5)/(1+$C7)^'02 Assumptions'!$C$11+SUM('06 DCF'!$F$46:$F$52))/'06 DCF'!$F$54</f>
        <v>0</v>
      </c>
    </row>
    <row r="8" spans="1:13" x14ac:dyDescent="0.3">
      <c r="C8" s="118">
        <f>'07 WACC'!$C$38+0</f>
        <v>8.7495000000000003E-2</v>
      </c>
      <c r="D8" s="176" cm="1">
        <f t="array" aca="1" ref="D8" ca="1">(SUMPRODUCT('06 DCF'!$G$15:$P$15,1/(1+$C8)^'06 DCF'!$G$20:$P$20)+'06 DCF'!$P$10*(1+D$5)*(1-D$5/'06 DCF'!$F$27)/($C8-D$5)/(1+$C8)^'02 Assumptions'!$C$11+SUM('06 DCF'!$F$46:$F$52))/'06 DCF'!$F$54</f>
        <v>0</v>
      </c>
      <c r="E8" s="177" cm="1">
        <f t="array" aca="1" ref="E8" ca="1">(SUMPRODUCT('06 DCF'!$G$15:$P$15,1/(1+$C8)^'06 DCF'!$G$20:$P$20)+'06 DCF'!$P$10*(1+E$5)*(1-E$5/'06 DCF'!$F$27)/($C8-E$5)/(1+$C8)^'02 Assumptions'!$C$11+SUM('06 DCF'!$F$46:$F$52))/'06 DCF'!$F$54</f>
        <v>0</v>
      </c>
      <c r="F8" s="179" cm="1">
        <f t="array" aca="1" ref="F8" ca="1">(SUMPRODUCT('06 DCF'!$G$15:$P$15,1/(1+$C8)^'06 DCF'!$G$20:$P$20)+'06 DCF'!$P$10*(1+F$5)*(1-F$5/'06 DCF'!$F$27)/($C8-F$5)/(1+$C8)^'02 Assumptions'!$C$11+SUM('06 DCF'!$F$46:$F$52))/'06 DCF'!$F$54</f>
        <v>0</v>
      </c>
      <c r="G8" s="177" cm="1">
        <f t="array" aca="1" ref="G8" ca="1">(SUMPRODUCT('06 DCF'!$G$15:$P$15,1/(1+$C8)^'06 DCF'!$G$20:$P$20)+'06 DCF'!$P$10*(1+G$5)*(1-G$5/'06 DCF'!$F$27)/($C8-G$5)/(1+$C8)^'02 Assumptions'!$C$11+SUM('06 DCF'!$F$46:$F$52))/'06 DCF'!$F$54</f>
        <v>0</v>
      </c>
      <c r="H8" s="178" cm="1">
        <f t="array" aca="1" ref="H8" ca="1">(SUMPRODUCT('06 DCF'!$G$15:$P$15,1/(1+$C8)^'06 DCF'!$G$20:$P$20)+'06 DCF'!$P$10*(1+H$5)*(1-H$5/'06 DCF'!$F$27)/($C8-H$5)/(1+$C8)^'02 Assumptions'!$C$11+SUM('06 DCF'!$F$46:$F$52))/'06 DCF'!$F$54</f>
        <v>0</v>
      </c>
    </row>
    <row r="9" spans="1:13" x14ac:dyDescent="0.3">
      <c r="C9" s="118">
        <f>'07 WACC'!$C$38+0.005</f>
        <v>9.2495000000000008E-2</v>
      </c>
      <c r="D9" s="176" cm="1">
        <f t="array" aca="1" ref="D9" ca="1">(SUMPRODUCT('06 DCF'!$G$15:$P$15,1/(1+$C9)^'06 DCF'!$G$20:$P$20)+'06 DCF'!$P$10*(1+D$5)*(1-D$5/'06 DCF'!$F$27)/($C9-D$5)/(1+$C9)^'02 Assumptions'!$C$11+SUM('06 DCF'!$F$46:$F$52))/'06 DCF'!$F$54</f>
        <v>0</v>
      </c>
      <c r="E9" s="177" cm="1">
        <f t="array" aca="1" ref="E9" ca="1">(SUMPRODUCT('06 DCF'!$G$15:$P$15,1/(1+$C9)^'06 DCF'!$G$20:$P$20)+'06 DCF'!$P$10*(1+E$5)*(1-E$5/'06 DCF'!$F$27)/($C9-E$5)/(1+$C9)^'02 Assumptions'!$C$11+SUM('06 DCF'!$F$46:$F$52))/'06 DCF'!$F$54</f>
        <v>0</v>
      </c>
      <c r="F9" s="177" cm="1">
        <f t="array" aca="1" ref="F9" ca="1">(SUMPRODUCT('06 DCF'!$G$15:$P$15,1/(1+$C9)^'06 DCF'!$G$20:$P$20)+'06 DCF'!$P$10*(1+F$5)*(1-F$5/'06 DCF'!$F$27)/($C9-F$5)/(1+$C9)^'02 Assumptions'!$C$11+SUM('06 DCF'!$F$46:$F$52))/'06 DCF'!$F$54</f>
        <v>0</v>
      </c>
      <c r="G9" s="177" cm="1">
        <f t="array" aca="1" ref="G9" ca="1">(SUMPRODUCT('06 DCF'!$G$15:$P$15,1/(1+$C9)^'06 DCF'!$G$20:$P$20)+'06 DCF'!$P$10*(1+G$5)*(1-G$5/'06 DCF'!$F$27)/($C9-G$5)/(1+$C9)^'02 Assumptions'!$C$11+SUM('06 DCF'!$F$46:$F$52))/'06 DCF'!$F$54</f>
        <v>0</v>
      </c>
      <c r="H9" s="178" cm="1">
        <f t="array" aca="1" ref="H9" ca="1">(SUMPRODUCT('06 DCF'!$G$15:$P$15,1/(1+$C9)^'06 DCF'!$G$20:$P$20)+'06 DCF'!$P$10*(1+H$5)*(1-H$5/'06 DCF'!$F$27)/($C9-H$5)/(1+$C9)^'02 Assumptions'!$C$11+SUM('06 DCF'!$F$46:$F$52))/'06 DCF'!$F$54</f>
        <v>0</v>
      </c>
    </row>
    <row r="10" spans="1:13" x14ac:dyDescent="0.3">
      <c r="C10" s="118">
        <f>'07 WACC'!$C$38+0.01</f>
        <v>9.7494999999999998E-2</v>
      </c>
      <c r="D10" s="180" cm="1">
        <f t="array" aca="1" ref="D10" ca="1">(SUMPRODUCT('06 DCF'!$G$15:$P$15,1/(1+$C10)^'06 DCF'!$G$20:$P$20)+'06 DCF'!$P$10*(1+D$5)*(1-D$5/'06 DCF'!$F$27)/($C10-D$5)/(1+$C10)^'02 Assumptions'!$C$11+SUM('06 DCF'!$F$46:$F$52))/'06 DCF'!$F$54</f>
        <v>0</v>
      </c>
      <c r="E10" s="181" cm="1">
        <f t="array" aca="1" ref="E10" ca="1">(SUMPRODUCT('06 DCF'!$G$15:$P$15,1/(1+$C10)^'06 DCF'!$G$20:$P$20)+'06 DCF'!$P$10*(1+E$5)*(1-E$5/'06 DCF'!$F$27)/($C10-E$5)/(1+$C10)^'02 Assumptions'!$C$11+SUM('06 DCF'!$F$46:$F$52))/'06 DCF'!$F$54</f>
        <v>0</v>
      </c>
      <c r="F10" s="181" cm="1">
        <f t="array" aca="1" ref="F10" ca="1">(SUMPRODUCT('06 DCF'!$G$15:$P$15,1/(1+$C10)^'06 DCF'!$G$20:$P$20)+'06 DCF'!$P$10*(1+F$5)*(1-F$5/'06 DCF'!$F$27)/($C10-F$5)/(1+$C10)^'02 Assumptions'!$C$11+SUM('06 DCF'!$F$46:$F$52))/'06 DCF'!$F$54</f>
        <v>0</v>
      </c>
      <c r="G10" s="181" cm="1">
        <f t="array" aca="1" ref="G10" ca="1">(SUMPRODUCT('06 DCF'!$G$15:$P$15,1/(1+$C10)^'06 DCF'!$G$20:$P$20)+'06 DCF'!$P$10*(1+G$5)*(1-G$5/'06 DCF'!$F$27)/($C10-G$5)/(1+$C10)^'02 Assumptions'!$C$11+SUM('06 DCF'!$F$46:$F$52))/'06 DCF'!$F$54</f>
        <v>0</v>
      </c>
      <c r="H10" s="182" cm="1">
        <f t="array" aca="1" ref="H10" ca="1">(SUMPRODUCT('06 DCF'!$G$15:$P$15,1/(1+$C10)^'06 DCF'!$G$20:$P$20)+'06 DCF'!$P$10*(1+H$5)*(1-H$5/'06 DCF'!$F$27)/($C10-H$5)/(1+$C10)^'02 Assumptions'!$C$11+SUM('06 DCF'!$F$46:$F$52))/'06 DCF'!$F$54</f>
        <v>0</v>
      </c>
    </row>
    <row r="13" spans="1:13" x14ac:dyDescent="0.3">
      <c r="B13" s="5" t="s">
        <v>683</v>
      </c>
      <c r="C13" s="5"/>
      <c r="D13" s="5"/>
      <c r="E13" s="5"/>
      <c r="F13" s="5"/>
      <c r="G13" s="5"/>
      <c r="H13" s="5"/>
    </row>
    <row r="14" spans="1:13" x14ac:dyDescent="0.3">
      <c r="B14" s="2" t="s">
        <v>688</v>
      </c>
      <c r="D14" s="120"/>
      <c r="E14" s="120"/>
      <c r="F14" s="120"/>
      <c r="G14" s="120"/>
      <c r="H14" s="120"/>
    </row>
    <row r="15" spans="1:13" x14ac:dyDescent="0.3">
      <c r="C15" s="118">
        <f>'07 WACC'!$C$38+-0.01</f>
        <v>7.7495000000000008E-2</v>
      </c>
      <c r="D15" s="173" cm="1">
        <f t="array" aca="1" ref="D15" ca="1">(SUMPRODUCT('06 DCF'!$G$15:$P$15,1/(1+$C15)^'06 DCF'!$G$20:$P$20)+'04 Operating Model'!$P$39*D$14/(1+$C15)^'02 Assumptions'!$C$11+SUM('06 DCF'!$F$46:$F$52))/'06 DCF'!$F$54</f>
        <v>0</v>
      </c>
      <c r="E15" s="174" cm="1">
        <f t="array" aca="1" ref="E15" ca="1">(SUMPRODUCT('06 DCF'!$G$15:$P$15,1/(1+$C15)^'06 DCF'!$G$20:$P$20)+'04 Operating Model'!$P$39*E$14/(1+$C15)^'02 Assumptions'!$C$11+SUM('06 DCF'!$F$46:$F$52))/'06 DCF'!$F$54</f>
        <v>0</v>
      </c>
      <c r="F15" s="174" cm="1">
        <f t="array" aca="1" ref="F15" ca="1">(SUMPRODUCT('06 DCF'!$G$15:$P$15,1/(1+$C15)^'06 DCF'!$G$20:$P$20)+'04 Operating Model'!$P$39*F$14/(1+$C15)^'02 Assumptions'!$C$11+SUM('06 DCF'!$F$46:$F$52))/'06 DCF'!$F$54</f>
        <v>0</v>
      </c>
      <c r="G15" s="174" cm="1">
        <f t="array" aca="1" ref="G15" ca="1">(SUMPRODUCT('06 DCF'!$G$15:$P$15,1/(1+$C15)^'06 DCF'!$G$20:$P$20)+'04 Operating Model'!$P$39*G$14/(1+$C15)^'02 Assumptions'!$C$11+SUM('06 DCF'!$F$46:$F$52))/'06 DCF'!$F$54</f>
        <v>0</v>
      </c>
      <c r="H15" s="175" cm="1">
        <f t="array" aca="1" ref="H15" ca="1">(SUMPRODUCT('06 DCF'!$G$15:$P$15,1/(1+$C15)^'06 DCF'!$G$20:$P$20)+'04 Operating Model'!$P$39*H$14/(1+$C15)^'02 Assumptions'!$C$11+SUM('06 DCF'!$F$46:$F$52))/'06 DCF'!$F$54</f>
        <v>0</v>
      </c>
    </row>
    <row r="16" spans="1:13" x14ac:dyDescent="0.3">
      <c r="C16" s="118">
        <f>'07 WACC'!$C$38+-0.005</f>
        <v>8.2494999999999999E-2</v>
      </c>
      <c r="D16" s="176" cm="1">
        <f t="array" aca="1" ref="D16" ca="1">(SUMPRODUCT('06 DCF'!$G$15:$P$15,1/(1+$C16)^'06 DCF'!$G$20:$P$20)+'04 Operating Model'!$P$39*D$14/(1+$C16)^'02 Assumptions'!$C$11+SUM('06 DCF'!$F$46:$F$52))/'06 DCF'!$F$54</f>
        <v>0</v>
      </c>
      <c r="E16" s="177" cm="1">
        <f t="array" aca="1" ref="E16" ca="1">(SUMPRODUCT('06 DCF'!$G$15:$P$15,1/(1+$C16)^'06 DCF'!$G$20:$P$20)+'04 Operating Model'!$P$39*E$14/(1+$C16)^'02 Assumptions'!$C$11+SUM('06 DCF'!$F$46:$F$52))/'06 DCF'!$F$54</f>
        <v>0</v>
      </c>
      <c r="F16" s="177" cm="1">
        <f t="array" aca="1" ref="F16" ca="1">(SUMPRODUCT('06 DCF'!$G$15:$P$15,1/(1+$C16)^'06 DCF'!$G$20:$P$20)+'04 Operating Model'!$P$39*F$14/(1+$C16)^'02 Assumptions'!$C$11+SUM('06 DCF'!$F$46:$F$52))/'06 DCF'!$F$54</f>
        <v>0</v>
      </c>
      <c r="G16" s="177" cm="1">
        <f t="array" aca="1" ref="G16" ca="1">(SUMPRODUCT('06 DCF'!$G$15:$P$15,1/(1+$C16)^'06 DCF'!$G$20:$P$20)+'04 Operating Model'!$P$39*G$14/(1+$C16)^'02 Assumptions'!$C$11+SUM('06 DCF'!$F$46:$F$52))/'06 DCF'!$F$54</f>
        <v>0</v>
      </c>
      <c r="H16" s="178" cm="1">
        <f t="array" aca="1" ref="H16" ca="1">(SUMPRODUCT('06 DCF'!$G$15:$P$15,1/(1+$C16)^'06 DCF'!$G$20:$P$20)+'04 Operating Model'!$P$39*H$14/(1+$C16)^'02 Assumptions'!$C$11+SUM('06 DCF'!$F$46:$F$52))/'06 DCF'!$F$54</f>
        <v>0</v>
      </c>
    </row>
    <row r="17" spans="2:8" x14ac:dyDescent="0.3">
      <c r="C17" s="118">
        <f>'07 WACC'!$C$38+0</f>
        <v>8.7495000000000003E-2</v>
      </c>
      <c r="D17" s="176" cm="1">
        <f t="array" aca="1" ref="D17" ca="1">(SUMPRODUCT('06 DCF'!$G$15:$P$15,1/(1+$C17)^'06 DCF'!$G$20:$P$20)+'04 Operating Model'!$P$39*D$14/(1+$C17)^'02 Assumptions'!$C$11+SUM('06 DCF'!$F$46:$F$52))/'06 DCF'!$F$54</f>
        <v>0</v>
      </c>
      <c r="E17" s="177" cm="1">
        <f t="array" aca="1" ref="E17" ca="1">(SUMPRODUCT('06 DCF'!$G$15:$P$15,1/(1+$C17)^'06 DCF'!$G$20:$P$20)+'04 Operating Model'!$P$39*E$14/(1+$C17)^'02 Assumptions'!$C$11+SUM('06 DCF'!$F$46:$F$52))/'06 DCF'!$F$54</f>
        <v>0</v>
      </c>
      <c r="F17" s="179" cm="1">
        <f t="array" aca="1" ref="F17" ca="1">(SUMPRODUCT('06 DCF'!$G$15:$P$15,1/(1+$C17)^'06 DCF'!$G$20:$P$20)+'04 Operating Model'!$P$39*F$14/(1+$C17)^'02 Assumptions'!$C$11+SUM('06 DCF'!$F$46:$F$52))/'06 DCF'!$F$54</f>
        <v>0</v>
      </c>
      <c r="G17" s="177" cm="1">
        <f t="array" aca="1" ref="G17" ca="1">(SUMPRODUCT('06 DCF'!$G$15:$P$15,1/(1+$C17)^'06 DCF'!$G$20:$P$20)+'04 Operating Model'!$P$39*G$14/(1+$C17)^'02 Assumptions'!$C$11+SUM('06 DCF'!$F$46:$F$52))/'06 DCF'!$F$54</f>
        <v>0</v>
      </c>
      <c r="H17" s="178" cm="1">
        <f t="array" aca="1" ref="H17" ca="1">(SUMPRODUCT('06 DCF'!$G$15:$P$15,1/(1+$C17)^'06 DCF'!$G$20:$P$20)+'04 Operating Model'!$P$39*H$14/(1+$C17)^'02 Assumptions'!$C$11+SUM('06 DCF'!$F$46:$F$52))/'06 DCF'!$F$54</f>
        <v>0</v>
      </c>
    </row>
    <row r="18" spans="2:8" x14ac:dyDescent="0.3">
      <c r="C18" s="118">
        <f>'07 WACC'!$C$38+0.005</f>
        <v>9.2495000000000008E-2</v>
      </c>
      <c r="D18" s="176" cm="1">
        <f t="array" aca="1" ref="D18" ca="1">(SUMPRODUCT('06 DCF'!$G$15:$P$15,1/(1+$C18)^'06 DCF'!$G$20:$P$20)+'04 Operating Model'!$P$39*D$14/(1+$C18)^'02 Assumptions'!$C$11+SUM('06 DCF'!$F$46:$F$52))/'06 DCF'!$F$54</f>
        <v>0</v>
      </c>
      <c r="E18" s="177" cm="1">
        <f t="array" aca="1" ref="E18" ca="1">(SUMPRODUCT('06 DCF'!$G$15:$P$15,1/(1+$C18)^'06 DCF'!$G$20:$P$20)+'04 Operating Model'!$P$39*E$14/(1+$C18)^'02 Assumptions'!$C$11+SUM('06 DCF'!$F$46:$F$52))/'06 DCF'!$F$54</f>
        <v>0</v>
      </c>
      <c r="F18" s="177" cm="1">
        <f t="array" aca="1" ref="F18" ca="1">(SUMPRODUCT('06 DCF'!$G$15:$P$15,1/(1+$C18)^'06 DCF'!$G$20:$P$20)+'04 Operating Model'!$P$39*F$14/(1+$C18)^'02 Assumptions'!$C$11+SUM('06 DCF'!$F$46:$F$52))/'06 DCF'!$F$54</f>
        <v>0</v>
      </c>
      <c r="G18" s="177" cm="1">
        <f t="array" aca="1" ref="G18" ca="1">(SUMPRODUCT('06 DCF'!$G$15:$P$15,1/(1+$C18)^'06 DCF'!$G$20:$P$20)+'04 Operating Model'!$P$39*G$14/(1+$C18)^'02 Assumptions'!$C$11+SUM('06 DCF'!$F$46:$F$52))/'06 DCF'!$F$54</f>
        <v>0</v>
      </c>
      <c r="H18" s="178" cm="1">
        <f t="array" aca="1" ref="H18" ca="1">(SUMPRODUCT('06 DCF'!$G$15:$P$15,1/(1+$C18)^'06 DCF'!$G$20:$P$20)+'04 Operating Model'!$P$39*H$14/(1+$C18)^'02 Assumptions'!$C$11+SUM('06 DCF'!$F$46:$F$52))/'06 DCF'!$F$54</f>
        <v>0</v>
      </c>
    </row>
    <row r="19" spans="2:8" x14ac:dyDescent="0.3">
      <c r="C19" s="118">
        <f>'07 WACC'!$C$38+0.01</f>
        <v>9.7494999999999998E-2</v>
      </c>
      <c r="D19" s="180" cm="1">
        <f t="array" aca="1" ref="D19" ca="1">(SUMPRODUCT('06 DCF'!$G$15:$P$15,1/(1+$C19)^'06 DCF'!$G$20:$P$20)+'04 Operating Model'!$P$39*D$14/(1+$C19)^'02 Assumptions'!$C$11+SUM('06 DCF'!$F$46:$F$52))/'06 DCF'!$F$54</f>
        <v>0</v>
      </c>
      <c r="E19" s="181" cm="1">
        <f t="array" aca="1" ref="E19" ca="1">(SUMPRODUCT('06 DCF'!$G$15:$P$15,1/(1+$C19)^'06 DCF'!$G$20:$P$20)+'04 Operating Model'!$P$39*E$14/(1+$C19)^'02 Assumptions'!$C$11+SUM('06 DCF'!$F$46:$F$52))/'06 DCF'!$F$54</f>
        <v>0</v>
      </c>
      <c r="F19" s="181" cm="1">
        <f t="array" aca="1" ref="F19" ca="1">(SUMPRODUCT('06 DCF'!$G$15:$P$15,1/(1+$C19)^'06 DCF'!$G$20:$P$20)+'04 Operating Model'!$P$39*F$14/(1+$C19)^'02 Assumptions'!$C$11+SUM('06 DCF'!$F$46:$F$52))/'06 DCF'!$F$54</f>
        <v>0</v>
      </c>
      <c r="G19" s="181" cm="1">
        <f t="array" aca="1" ref="G19" ca="1">(SUMPRODUCT('06 DCF'!$G$15:$P$15,1/(1+$C19)^'06 DCF'!$G$20:$P$20)+'04 Operating Model'!$P$39*G$14/(1+$C19)^'02 Assumptions'!$C$11+SUM('06 DCF'!$F$46:$F$52))/'06 DCF'!$F$54</f>
        <v>0</v>
      </c>
      <c r="H19" s="182" cm="1">
        <f t="array" aca="1" ref="H19" ca="1">(SUMPRODUCT('06 DCF'!$G$15:$P$15,1/(1+$C19)^'06 DCF'!$G$20:$P$20)+'04 Operating Model'!$P$39*H$14/(1+$C19)^'02 Assumptions'!$C$11+SUM('06 DCF'!$F$46:$F$52))/'06 DCF'!$F$54</f>
        <v>0</v>
      </c>
    </row>
    <row r="22" spans="2:8" x14ac:dyDescent="0.3">
      <c r="B22" s="5" t="s">
        <v>684</v>
      </c>
      <c r="C22" s="5"/>
      <c r="D22" s="5"/>
      <c r="E22" s="5"/>
      <c r="F22" s="5"/>
      <c r="G22" s="5"/>
      <c r="H22" s="5"/>
    </row>
    <row r="23" spans="2:8" x14ac:dyDescent="0.3">
      <c r="B23" s="2" t="s">
        <v>1657</v>
      </c>
      <c r="D23" s="152"/>
      <c r="E23" s="152"/>
      <c r="F23" s="152"/>
      <c r="G23" s="152"/>
      <c r="H23" s="152"/>
    </row>
    <row r="24" spans="2:8" x14ac:dyDescent="0.3">
      <c r="C24" s="118">
        <f>'07 WACC'!$C$38+-0.01</f>
        <v>7.7495000000000008E-2</v>
      </c>
      <c r="D24" s="173" cm="1">
        <f t="array" aca="1" ref="D24" ca="1">(SUMPRODUCT('06 DCF'!$G$15:$P$15+D$23*'04 Operating Model'!$G$11:$P$11*(1-'04 Operating Model'!$G$55:$P$55),1/(1+$C24)^'06 DCF'!$G$20:$P$20)+('06 DCF'!$P$10+D$23*'04 Operating Model'!$P$11*(1-'04 Operating Model'!$P$55))*(1+'06 DCF'!$F$26)*(1-'06 DCF'!$F$26/'06 DCF'!$F$27)/($C24-'06 DCF'!$F$26)/(1+$C24)^'02 Assumptions'!$C$11+SUM('06 DCF'!$F$46:$F$52))/'06 DCF'!$F$54</f>
        <v>0</v>
      </c>
      <c r="E24" s="174" cm="1">
        <f t="array" aca="1" ref="E24" ca="1">(SUMPRODUCT('06 DCF'!$G$15:$P$15+E$23*'04 Operating Model'!$G$11:$P$11*(1-'04 Operating Model'!$G$55:$P$55),1/(1+$C24)^'06 DCF'!$G$20:$P$20)+('06 DCF'!$P$10+E$23*'04 Operating Model'!$P$11*(1-'04 Operating Model'!$P$55))*(1+'06 DCF'!$F$26)*(1-'06 DCF'!$F$26/'06 DCF'!$F$27)/($C24-'06 DCF'!$F$26)/(1+$C24)^'02 Assumptions'!$C$11+SUM('06 DCF'!$F$46:$F$52))/'06 DCF'!$F$54</f>
        <v>0</v>
      </c>
      <c r="F24" s="174" cm="1">
        <f t="array" aca="1" ref="F24" ca="1">(SUMPRODUCT('06 DCF'!$G$15:$P$15+F$23*'04 Operating Model'!$G$11:$P$11*(1-'04 Operating Model'!$G$55:$P$55),1/(1+$C24)^'06 DCF'!$G$20:$P$20)+('06 DCF'!$P$10+F$23*'04 Operating Model'!$P$11*(1-'04 Operating Model'!$P$55))*(1+'06 DCF'!$F$26)*(1-'06 DCF'!$F$26/'06 DCF'!$F$27)/($C24-'06 DCF'!$F$26)/(1+$C24)^'02 Assumptions'!$C$11+SUM('06 DCF'!$F$46:$F$52))/'06 DCF'!$F$54</f>
        <v>0</v>
      </c>
      <c r="G24" s="174" cm="1">
        <f t="array" aca="1" ref="G24" ca="1">(SUMPRODUCT('06 DCF'!$G$15:$P$15+G$23*'04 Operating Model'!$G$11:$P$11*(1-'04 Operating Model'!$G$55:$P$55),1/(1+$C24)^'06 DCF'!$G$20:$P$20)+('06 DCF'!$P$10+G$23*'04 Operating Model'!$P$11*(1-'04 Operating Model'!$P$55))*(1+'06 DCF'!$F$26)*(1-'06 DCF'!$F$26/'06 DCF'!$F$27)/($C24-'06 DCF'!$F$26)/(1+$C24)^'02 Assumptions'!$C$11+SUM('06 DCF'!$F$46:$F$52))/'06 DCF'!$F$54</f>
        <v>0</v>
      </c>
      <c r="H24" s="175" cm="1">
        <f t="array" aca="1" ref="H24" ca="1">(SUMPRODUCT('06 DCF'!$G$15:$P$15+H$23*'04 Operating Model'!$G$11:$P$11*(1-'04 Operating Model'!$G$55:$P$55),1/(1+$C24)^'06 DCF'!$G$20:$P$20)+('06 DCF'!$P$10+H$23*'04 Operating Model'!$P$11*(1-'04 Operating Model'!$P$55))*(1+'06 DCF'!$F$26)*(1-'06 DCF'!$F$26/'06 DCF'!$F$27)/($C24-'06 DCF'!$F$26)/(1+$C24)^'02 Assumptions'!$C$11+SUM('06 DCF'!$F$46:$F$52))/'06 DCF'!$F$54</f>
        <v>0</v>
      </c>
    </row>
    <row r="25" spans="2:8" x14ac:dyDescent="0.3">
      <c r="C25" s="118">
        <f>'07 WACC'!$C$38+-0.005</f>
        <v>8.2494999999999999E-2</v>
      </c>
      <c r="D25" s="176" cm="1">
        <f t="array" aca="1" ref="D25" ca="1">(SUMPRODUCT('06 DCF'!$G$15:$P$15+D$23*'04 Operating Model'!$G$11:$P$11*(1-'04 Operating Model'!$G$55:$P$55),1/(1+$C25)^'06 DCF'!$G$20:$P$20)+('06 DCF'!$P$10+D$23*'04 Operating Model'!$P$11*(1-'04 Operating Model'!$P$55))*(1+'06 DCF'!$F$26)*(1-'06 DCF'!$F$26/'06 DCF'!$F$27)/($C25-'06 DCF'!$F$26)/(1+$C25)^'02 Assumptions'!$C$11+SUM('06 DCF'!$F$46:$F$52))/'06 DCF'!$F$54</f>
        <v>0</v>
      </c>
      <c r="E25" s="177" cm="1">
        <f t="array" aca="1" ref="E25" ca="1">(SUMPRODUCT('06 DCF'!$G$15:$P$15+E$23*'04 Operating Model'!$G$11:$P$11*(1-'04 Operating Model'!$G$55:$P$55),1/(1+$C25)^'06 DCF'!$G$20:$P$20)+('06 DCF'!$P$10+E$23*'04 Operating Model'!$P$11*(1-'04 Operating Model'!$P$55))*(1+'06 DCF'!$F$26)*(1-'06 DCF'!$F$26/'06 DCF'!$F$27)/($C25-'06 DCF'!$F$26)/(1+$C25)^'02 Assumptions'!$C$11+SUM('06 DCF'!$F$46:$F$52))/'06 DCF'!$F$54</f>
        <v>0</v>
      </c>
      <c r="F25" s="177" cm="1">
        <f t="array" aca="1" ref="F25" ca="1">(SUMPRODUCT('06 DCF'!$G$15:$P$15+F$23*'04 Operating Model'!$G$11:$P$11*(1-'04 Operating Model'!$G$55:$P$55),1/(1+$C25)^'06 DCF'!$G$20:$P$20)+('06 DCF'!$P$10+F$23*'04 Operating Model'!$P$11*(1-'04 Operating Model'!$P$55))*(1+'06 DCF'!$F$26)*(1-'06 DCF'!$F$26/'06 DCF'!$F$27)/($C25-'06 DCF'!$F$26)/(1+$C25)^'02 Assumptions'!$C$11+SUM('06 DCF'!$F$46:$F$52))/'06 DCF'!$F$54</f>
        <v>0</v>
      </c>
      <c r="G25" s="177" cm="1">
        <f t="array" aca="1" ref="G25" ca="1">(SUMPRODUCT('06 DCF'!$G$15:$P$15+G$23*'04 Operating Model'!$G$11:$P$11*(1-'04 Operating Model'!$G$55:$P$55),1/(1+$C25)^'06 DCF'!$G$20:$P$20)+('06 DCF'!$P$10+G$23*'04 Operating Model'!$P$11*(1-'04 Operating Model'!$P$55))*(1+'06 DCF'!$F$26)*(1-'06 DCF'!$F$26/'06 DCF'!$F$27)/($C25-'06 DCF'!$F$26)/(1+$C25)^'02 Assumptions'!$C$11+SUM('06 DCF'!$F$46:$F$52))/'06 DCF'!$F$54</f>
        <v>0</v>
      </c>
      <c r="H25" s="178" cm="1">
        <f t="array" aca="1" ref="H25" ca="1">(SUMPRODUCT('06 DCF'!$G$15:$P$15+H$23*'04 Operating Model'!$G$11:$P$11*(1-'04 Operating Model'!$G$55:$P$55),1/(1+$C25)^'06 DCF'!$G$20:$P$20)+('06 DCF'!$P$10+H$23*'04 Operating Model'!$P$11*(1-'04 Operating Model'!$P$55))*(1+'06 DCF'!$F$26)*(1-'06 DCF'!$F$26/'06 DCF'!$F$27)/($C25-'06 DCF'!$F$26)/(1+$C25)^'02 Assumptions'!$C$11+SUM('06 DCF'!$F$46:$F$52))/'06 DCF'!$F$54</f>
        <v>0</v>
      </c>
    </row>
    <row r="26" spans="2:8" x14ac:dyDescent="0.3">
      <c r="C26" s="118">
        <f>'07 WACC'!$C$38+0</f>
        <v>8.7495000000000003E-2</v>
      </c>
      <c r="D26" s="176" cm="1">
        <f t="array" aca="1" ref="D26" ca="1">(SUMPRODUCT('06 DCF'!$G$15:$P$15+D$23*'04 Operating Model'!$G$11:$P$11*(1-'04 Operating Model'!$G$55:$P$55),1/(1+$C26)^'06 DCF'!$G$20:$P$20)+('06 DCF'!$P$10+D$23*'04 Operating Model'!$P$11*(1-'04 Operating Model'!$P$55))*(1+'06 DCF'!$F$26)*(1-'06 DCF'!$F$26/'06 DCF'!$F$27)/($C26-'06 DCF'!$F$26)/(1+$C26)^'02 Assumptions'!$C$11+SUM('06 DCF'!$F$46:$F$52))/'06 DCF'!$F$54</f>
        <v>0</v>
      </c>
      <c r="E26" s="177" cm="1">
        <f t="array" aca="1" ref="E26" ca="1">(SUMPRODUCT('06 DCF'!$G$15:$P$15+E$23*'04 Operating Model'!$G$11:$P$11*(1-'04 Operating Model'!$G$55:$P$55),1/(1+$C26)^'06 DCF'!$G$20:$P$20)+('06 DCF'!$P$10+E$23*'04 Operating Model'!$P$11*(1-'04 Operating Model'!$P$55))*(1+'06 DCF'!$F$26)*(1-'06 DCF'!$F$26/'06 DCF'!$F$27)/($C26-'06 DCF'!$F$26)/(1+$C26)^'02 Assumptions'!$C$11+SUM('06 DCF'!$F$46:$F$52))/'06 DCF'!$F$54</f>
        <v>0</v>
      </c>
      <c r="F26" s="179" cm="1">
        <f t="array" aca="1" ref="F26" ca="1">(SUMPRODUCT('06 DCF'!$G$15:$P$15+F$23*'04 Operating Model'!$G$11:$P$11*(1-'04 Operating Model'!$G$55:$P$55),1/(1+$C26)^'06 DCF'!$G$20:$P$20)+('06 DCF'!$P$10+F$23*'04 Operating Model'!$P$11*(1-'04 Operating Model'!$P$55))*(1+'06 DCF'!$F$26)*(1-'06 DCF'!$F$26/'06 DCF'!$F$27)/($C26-'06 DCF'!$F$26)/(1+$C26)^'02 Assumptions'!$C$11+SUM('06 DCF'!$F$46:$F$52))/'06 DCF'!$F$54</f>
        <v>0</v>
      </c>
      <c r="G26" s="177" cm="1">
        <f t="array" aca="1" ref="G26" ca="1">(SUMPRODUCT('06 DCF'!$G$15:$P$15+G$23*'04 Operating Model'!$G$11:$P$11*(1-'04 Operating Model'!$G$55:$P$55),1/(1+$C26)^'06 DCF'!$G$20:$P$20)+('06 DCF'!$P$10+G$23*'04 Operating Model'!$P$11*(1-'04 Operating Model'!$P$55))*(1+'06 DCF'!$F$26)*(1-'06 DCF'!$F$26/'06 DCF'!$F$27)/($C26-'06 DCF'!$F$26)/(1+$C26)^'02 Assumptions'!$C$11+SUM('06 DCF'!$F$46:$F$52))/'06 DCF'!$F$54</f>
        <v>0</v>
      </c>
      <c r="H26" s="178" cm="1">
        <f t="array" aca="1" ref="H26" ca="1">(SUMPRODUCT('06 DCF'!$G$15:$P$15+H$23*'04 Operating Model'!$G$11:$P$11*(1-'04 Operating Model'!$G$55:$P$55),1/(1+$C26)^'06 DCF'!$G$20:$P$20)+('06 DCF'!$P$10+H$23*'04 Operating Model'!$P$11*(1-'04 Operating Model'!$P$55))*(1+'06 DCF'!$F$26)*(1-'06 DCF'!$F$26/'06 DCF'!$F$27)/($C26-'06 DCF'!$F$26)/(1+$C26)^'02 Assumptions'!$C$11+SUM('06 DCF'!$F$46:$F$52))/'06 DCF'!$F$54</f>
        <v>0</v>
      </c>
    </row>
    <row r="27" spans="2:8" x14ac:dyDescent="0.3">
      <c r="C27" s="118">
        <f>'07 WACC'!$C$38+0.005</f>
        <v>9.2495000000000008E-2</v>
      </c>
      <c r="D27" s="176" cm="1">
        <f t="array" aca="1" ref="D27" ca="1">(SUMPRODUCT('06 DCF'!$G$15:$P$15+D$23*'04 Operating Model'!$G$11:$P$11*(1-'04 Operating Model'!$G$55:$P$55),1/(1+$C27)^'06 DCF'!$G$20:$P$20)+('06 DCF'!$P$10+D$23*'04 Operating Model'!$P$11*(1-'04 Operating Model'!$P$55))*(1+'06 DCF'!$F$26)*(1-'06 DCF'!$F$26/'06 DCF'!$F$27)/($C27-'06 DCF'!$F$26)/(1+$C27)^'02 Assumptions'!$C$11+SUM('06 DCF'!$F$46:$F$52))/'06 DCF'!$F$54</f>
        <v>0</v>
      </c>
      <c r="E27" s="177" cm="1">
        <f t="array" aca="1" ref="E27" ca="1">(SUMPRODUCT('06 DCF'!$G$15:$P$15+E$23*'04 Operating Model'!$G$11:$P$11*(1-'04 Operating Model'!$G$55:$P$55),1/(1+$C27)^'06 DCF'!$G$20:$P$20)+('06 DCF'!$P$10+E$23*'04 Operating Model'!$P$11*(1-'04 Operating Model'!$P$55))*(1+'06 DCF'!$F$26)*(1-'06 DCF'!$F$26/'06 DCF'!$F$27)/($C27-'06 DCF'!$F$26)/(1+$C27)^'02 Assumptions'!$C$11+SUM('06 DCF'!$F$46:$F$52))/'06 DCF'!$F$54</f>
        <v>0</v>
      </c>
      <c r="F27" s="177" cm="1">
        <f t="array" aca="1" ref="F27" ca="1">(SUMPRODUCT('06 DCF'!$G$15:$P$15+F$23*'04 Operating Model'!$G$11:$P$11*(1-'04 Operating Model'!$G$55:$P$55),1/(1+$C27)^'06 DCF'!$G$20:$P$20)+('06 DCF'!$P$10+F$23*'04 Operating Model'!$P$11*(1-'04 Operating Model'!$P$55))*(1+'06 DCF'!$F$26)*(1-'06 DCF'!$F$26/'06 DCF'!$F$27)/($C27-'06 DCF'!$F$26)/(1+$C27)^'02 Assumptions'!$C$11+SUM('06 DCF'!$F$46:$F$52))/'06 DCF'!$F$54</f>
        <v>0</v>
      </c>
      <c r="G27" s="177" cm="1">
        <f t="array" aca="1" ref="G27" ca="1">(SUMPRODUCT('06 DCF'!$G$15:$P$15+G$23*'04 Operating Model'!$G$11:$P$11*(1-'04 Operating Model'!$G$55:$P$55),1/(1+$C27)^'06 DCF'!$G$20:$P$20)+('06 DCF'!$P$10+G$23*'04 Operating Model'!$P$11*(1-'04 Operating Model'!$P$55))*(1+'06 DCF'!$F$26)*(1-'06 DCF'!$F$26/'06 DCF'!$F$27)/($C27-'06 DCF'!$F$26)/(1+$C27)^'02 Assumptions'!$C$11+SUM('06 DCF'!$F$46:$F$52))/'06 DCF'!$F$54</f>
        <v>0</v>
      </c>
      <c r="H27" s="178" cm="1">
        <f t="array" aca="1" ref="H27" ca="1">(SUMPRODUCT('06 DCF'!$G$15:$P$15+H$23*'04 Operating Model'!$G$11:$P$11*(1-'04 Operating Model'!$G$55:$P$55),1/(1+$C27)^'06 DCF'!$G$20:$P$20)+('06 DCF'!$P$10+H$23*'04 Operating Model'!$P$11*(1-'04 Operating Model'!$P$55))*(1+'06 DCF'!$F$26)*(1-'06 DCF'!$F$26/'06 DCF'!$F$27)/($C27-'06 DCF'!$F$26)/(1+$C27)^'02 Assumptions'!$C$11+SUM('06 DCF'!$F$46:$F$52))/'06 DCF'!$F$54</f>
        <v>0</v>
      </c>
    </row>
    <row r="28" spans="2:8" x14ac:dyDescent="0.3">
      <c r="C28" s="118">
        <f>'07 WACC'!$C$38+0.01</f>
        <v>9.7494999999999998E-2</v>
      </c>
      <c r="D28" s="180" cm="1">
        <f t="array" aca="1" ref="D28" ca="1">(SUMPRODUCT('06 DCF'!$G$15:$P$15+D$23*'04 Operating Model'!$G$11:$P$11*(1-'04 Operating Model'!$G$55:$P$55),1/(1+$C28)^'06 DCF'!$G$20:$P$20)+('06 DCF'!$P$10+D$23*'04 Operating Model'!$P$11*(1-'04 Operating Model'!$P$55))*(1+'06 DCF'!$F$26)*(1-'06 DCF'!$F$26/'06 DCF'!$F$27)/($C28-'06 DCF'!$F$26)/(1+$C28)^'02 Assumptions'!$C$11+SUM('06 DCF'!$F$46:$F$52))/'06 DCF'!$F$54</f>
        <v>0</v>
      </c>
      <c r="E28" s="181" cm="1">
        <f t="array" aca="1" ref="E28" ca="1">(SUMPRODUCT('06 DCF'!$G$15:$P$15+E$23*'04 Operating Model'!$G$11:$P$11*(1-'04 Operating Model'!$G$55:$P$55),1/(1+$C28)^'06 DCF'!$G$20:$P$20)+('06 DCF'!$P$10+E$23*'04 Operating Model'!$P$11*(1-'04 Operating Model'!$P$55))*(1+'06 DCF'!$F$26)*(1-'06 DCF'!$F$26/'06 DCF'!$F$27)/($C28-'06 DCF'!$F$26)/(1+$C28)^'02 Assumptions'!$C$11+SUM('06 DCF'!$F$46:$F$52))/'06 DCF'!$F$54</f>
        <v>0</v>
      </c>
      <c r="F28" s="181" cm="1">
        <f t="array" aca="1" ref="F28" ca="1">(SUMPRODUCT('06 DCF'!$G$15:$P$15+F$23*'04 Operating Model'!$G$11:$P$11*(1-'04 Operating Model'!$G$55:$P$55),1/(1+$C28)^'06 DCF'!$G$20:$P$20)+('06 DCF'!$P$10+F$23*'04 Operating Model'!$P$11*(1-'04 Operating Model'!$P$55))*(1+'06 DCF'!$F$26)*(1-'06 DCF'!$F$26/'06 DCF'!$F$27)/($C28-'06 DCF'!$F$26)/(1+$C28)^'02 Assumptions'!$C$11+SUM('06 DCF'!$F$46:$F$52))/'06 DCF'!$F$54</f>
        <v>0</v>
      </c>
      <c r="G28" s="181" cm="1">
        <f t="array" aca="1" ref="G28" ca="1">(SUMPRODUCT('06 DCF'!$G$15:$P$15+G$23*'04 Operating Model'!$G$11:$P$11*(1-'04 Operating Model'!$G$55:$P$55),1/(1+$C28)^'06 DCF'!$G$20:$P$20)+('06 DCF'!$P$10+G$23*'04 Operating Model'!$P$11*(1-'04 Operating Model'!$P$55))*(1+'06 DCF'!$F$26)*(1-'06 DCF'!$F$26/'06 DCF'!$F$27)/($C28-'06 DCF'!$F$26)/(1+$C28)^'02 Assumptions'!$C$11+SUM('06 DCF'!$F$46:$F$52))/'06 DCF'!$F$54</f>
        <v>0</v>
      </c>
      <c r="H28" s="182" cm="1">
        <f t="array" aca="1" ref="H28" ca="1">(SUMPRODUCT('06 DCF'!$G$15:$P$15+H$23*'04 Operating Model'!$G$11:$P$11*(1-'04 Operating Model'!$G$55:$P$55),1/(1+$C28)^'06 DCF'!$G$20:$P$20)+('06 DCF'!$P$10+H$23*'04 Operating Model'!$P$11*(1-'04 Operating Model'!$P$55))*(1+'06 DCF'!$F$26)*(1-'06 DCF'!$F$26/'06 DCF'!$F$27)/($C28-'06 DCF'!$F$26)/(1+$C28)^'02 Assumptions'!$C$11+SUM('06 DCF'!$F$46:$F$52))/'06 DCF'!$F$54</f>
        <v>0</v>
      </c>
    </row>
    <row r="31" spans="2:8" x14ac:dyDescent="0.3">
      <c r="B31" s="5" t="s">
        <v>685</v>
      </c>
      <c r="C31" s="5"/>
      <c r="D31" s="5"/>
      <c r="E31" s="5"/>
      <c r="F31" s="5"/>
      <c r="G31" s="5"/>
      <c r="H31" s="5"/>
    </row>
    <row r="32" spans="2:8" x14ac:dyDescent="0.3">
      <c r="B32" s="2" t="s">
        <v>1658</v>
      </c>
      <c r="D32" s="152"/>
      <c r="E32" s="152"/>
      <c r="F32" s="152"/>
      <c r="G32" s="152"/>
      <c r="H32" s="152"/>
    </row>
    <row r="33" spans="2:8" x14ac:dyDescent="0.3">
      <c r="C33" s="118">
        <f>'07 WACC'!$C$38+-0.01</f>
        <v>7.7495000000000008E-2</v>
      </c>
      <c r="D33" s="173" cm="1">
        <f t="array" aca="1" ref="D33" ca="1">(SUMPRODUCT('06 DCF'!$G$15:$P$15-D$32*'04 Operating Model'!$G$11:$P$11,1/(1+$C33)^'06 DCF'!$G$20:$P$20)+'06 DCF'!$P$10*(1+'06 DCF'!$F$26)*(1-'06 DCF'!$F$26/'06 DCF'!$F$27)/($C33-'06 DCF'!$F$26)/(1+$C33)^'02 Assumptions'!$C$11+SUM('06 DCF'!$F$46:$F$52))/'06 DCF'!$F$54</f>
        <v>0</v>
      </c>
      <c r="E33" s="174" cm="1">
        <f t="array" aca="1" ref="E33" ca="1">(SUMPRODUCT('06 DCF'!$G$15:$P$15-E$32*'04 Operating Model'!$G$11:$P$11,1/(1+$C33)^'06 DCF'!$G$20:$P$20)+'06 DCF'!$P$10*(1+'06 DCF'!$F$26)*(1-'06 DCF'!$F$26/'06 DCF'!$F$27)/($C33-'06 DCF'!$F$26)/(1+$C33)^'02 Assumptions'!$C$11+SUM('06 DCF'!$F$46:$F$52))/'06 DCF'!$F$54</f>
        <v>0</v>
      </c>
      <c r="F33" s="174" cm="1">
        <f t="array" aca="1" ref="F33" ca="1">(SUMPRODUCT('06 DCF'!$G$15:$P$15-F$32*'04 Operating Model'!$G$11:$P$11,1/(1+$C33)^'06 DCF'!$G$20:$P$20)+'06 DCF'!$P$10*(1+'06 DCF'!$F$26)*(1-'06 DCF'!$F$26/'06 DCF'!$F$27)/($C33-'06 DCF'!$F$26)/(1+$C33)^'02 Assumptions'!$C$11+SUM('06 DCF'!$F$46:$F$52))/'06 DCF'!$F$54</f>
        <v>0</v>
      </c>
      <c r="G33" s="174" cm="1">
        <f t="array" aca="1" ref="G33" ca="1">(SUMPRODUCT('06 DCF'!$G$15:$P$15-G$32*'04 Operating Model'!$G$11:$P$11,1/(1+$C33)^'06 DCF'!$G$20:$P$20)+'06 DCF'!$P$10*(1+'06 DCF'!$F$26)*(1-'06 DCF'!$F$26/'06 DCF'!$F$27)/($C33-'06 DCF'!$F$26)/(1+$C33)^'02 Assumptions'!$C$11+SUM('06 DCF'!$F$46:$F$52))/'06 DCF'!$F$54</f>
        <v>0</v>
      </c>
      <c r="H33" s="175" cm="1">
        <f t="array" aca="1" ref="H33" ca="1">(SUMPRODUCT('06 DCF'!$G$15:$P$15-H$32*'04 Operating Model'!$G$11:$P$11,1/(1+$C33)^'06 DCF'!$G$20:$P$20)+'06 DCF'!$P$10*(1+'06 DCF'!$F$26)*(1-'06 DCF'!$F$26/'06 DCF'!$F$27)/($C33-'06 DCF'!$F$26)/(1+$C33)^'02 Assumptions'!$C$11+SUM('06 DCF'!$F$46:$F$52))/'06 DCF'!$F$54</f>
        <v>0</v>
      </c>
    </row>
    <row r="34" spans="2:8" x14ac:dyDescent="0.3">
      <c r="C34" s="118">
        <f>'07 WACC'!$C$38+-0.005</f>
        <v>8.2494999999999999E-2</v>
      </c>
      <c r="D34" s="176" cm="1">
        <f t="array" aca="1" ref="D34" ca="1">(SUMPRODUCT('06 DCF'!$G$15:$P$15-D$32*'04 Operating Model'!$G$11:$P$11,1/(1+$C34)^'06 DCF'!$G$20:$P$20)+'06 DCF'!$P$10*(1+'06 DCF'!$F$26)*(1-'06 DCF'!$F$26/'06 DCF'!$F$27)/($C34-'06 DCF'!$F$26)/(1+$C34)^'02 Assumptions'!$C$11+SUM('06 DCF'!$F$46:$F$52))/'06 DCF'!$F$54</f>
        <v>0</v>
      </c>
      <c r="E34" s="177" cm="1">
        <f t="array" aca="1" ref="E34" ca="1">(SUMPRODUCT('06 DCF'!$G$15:$P$15-E$32*'04 Operating Model'!$G$11:$P$11,1/(1+$C34)^'06 DCF'!$G$20:$P$20)+'06 DCF'!$P$10*(1+'06 DCF'!$F$26)*(1-'06 DCF'!$F$26/'06 DCF'!$F$27)/($C34-'06 DCF'!$F$26)/(1+$C34)^'02 Assumptions'!$C$11+SUM('06 DCF'!$F$46:$F$52))/'06 DCF'!$F$54</f>
        <v>0</v>
      </c>
      <c r="F34" s="177" cm="1">
        <f t="array" aca="1" ref="F34" ca="1">(SUMPRODUCT('06 DCF'!$G$15:$P$15-F$32*'04 Operating Model'!$G$11:$P$11,1/(1+$C34)^'06 DCF'!$G$20:$P$20)+'06 DCF'!$P$10*(1+'06 DCF'!$F$26)*(1-'06 DCF'!$F$26/'06 DCF'!$F$27)/($C34-'06 DCF'!$F$26)/(1+$C34)^'02 Assumptions'!$C$11+SUM('06 DCF'!$F$46:$F$52))/'06 DCF'!$F$54</f>
        <v>0</v>
      </c>
      <c r="G34" s="177" cm="1">
        <f t="array" aca="1" ref="G34" ca="1">(SUMPRODUCT('06 DCF'!$G$15:$P$15-G$32*'04 Operating Model'!$G$11:$P$11,1/(1+$C34)^'06 DCF'!$G$20:$P$20)+'06 DCF'!$P$10*(1+'06 DCF'!$F$26)*(1-'06 DCF'!$F$26/'06 DCF'!$F$27)/($C34-'06 DCF'!$F$26)/(1+$C34)^'02 Assumptions'!$C$11+SUM('06 DCF'!$F$46:$F$52))/'06 DCF'!$F$54</f>
        <v>0</v>
      </c>
      <c r="H34" s="178" cm="1">
        <f t="array" aca="1" ref="H34" ca="1">(SUMPRODUCT('06 DCF'!$G$15:$P$15-H$32*'04 Operating Model'!$G$11:$P$11,1/(1+$C34)^'06 DCF'!$G$20:$P$20)+'06 DCF'!$P$10*(1+'06 DCF'!$F$26)*(1-'06 DCF'!$F$26/'06 DCF'!$F$27)/($C34-'06 DCF'!$F$26)/(1+$C34)^'02 Assumptions'!$C$11+SUM('06 DCF'!$F$46:$F$52))/'06 DCF'!$F$54</f>
        <v>0</v>
      </c>
    </row>
    <row r="35" spans="2:8" x14ac:dyDescent="0.3">
      <c r="C35" s="118">
        <f>'07 WACC'!$C$38+0</f>
        <v>8.7495000000000003E-2</v>
      </c>
      <c r="D35" s="176" cm="1">
        <f t="array" aca="1" ref="D35" ca="1">(SUMPRODUCT('06 DCF'!$G$15:$P$15-D$32*'04 Operating Model'!$G$11:$P$11,1/(1+$C35)^'06 DCF'!$G$20:$P$20)+'06 DCF'!$P$10*(1+'06 DCF'!$F$26)*(1-'06 DCF'!$F$26/'06 DCF'!$F$27)/($C35-'06 DCF'!$F$26)/(1+$C35)^'02 Assumptions'!$C$11+SUM('06 DCF'!$F$46:$F$52))/'06 DCF'!$F$54</f>
        <v>0</v>
      </c>
      <c r="E35" s="177" cm="1">
        <f t="array" aca="1" ref="E35" ca="1">(SUMPRODUCT('06 DCF'!$G$15:$P$15-E$32*'04 Operating Model'!$G$11:$P$11,1/(1+$C35)^'06 DCF'!$G$20:$P$20)+'06 DCF'!$P$10*(1+'06 DCF'!$F$26)*(1-'06 DCF'!$F$26/'06 DCF'!$F$27)/($C35-'06 DCF'!$F$26)/(1+$C35)^'02 Assumptions'!$C$11+SUM('06 DCF'!$F$46:$F$52))/'06 DCF'!$F$54</f>
        <v>0</v>
      </c>
      <c r="F35" s="179" cm="1">
        <f t="array" aca="1" ref="F35" ca="1">(SUMPRODUCT('06 DCF'!$G$15:$P$15-F$32*'04 Operating Model'!$G$11:$P$11,1/(1+$C35)^'06 DCF'!$G$20:$P$20)+'06 DCF'!$P$10*(1+'06 DCF'!$F$26)*(1-'06 DCF'!$F$26/'06 DCF'!$F$27)/($C35-'06 DCF'!$F$26)/(1+$C35)^'02 Assumptions'!$C$11+SUM('06 DCF'!$F$46:$F$52))/'06 DCF'!$F$54</f>
        <v>0</v>
      </c>
      <c r="G35" s="177" cm="1">
        <f t="array" aca="1" ref="G35" ca="1">(SUMPRODUCT('06 DCF'!$G$15:$P$15-G$32*'04 Operating Model'!$G$11:$P$11,1/(1+$C35)^'06 DCF'!$G$20:$P$20)+'06 DCF'!$P$10*(1+'06 DCF'!$F$26)*(1-'06 DCF'!$F$26/'06 DCF'!$F$27)/($C35-'06 DCF'!$F$26)/(1+$C35)^'02 Assumptions'!$C$11+SUM('06 DCF'!$F$46:$F$52))/'06 DCF'!$F$54</f>
        <v>0</v>
      </c>
      <c r="H35" s="178" cm="1">
        <f t="array" aca="1" ref="H35" ca="1">(SUMPRODUCT('06 DCF'!$G$15:$P$15-H$32*'04 Operating Model'!$G$11:$P$11,1/(1+$C35)^'06 DCF'!$G$20:$P$20)+'06 DCF'!$P$10*(1+'06 DCF'!$F$26)*(1-'06 DCF'!$F$26/'06 DCF'!$F$27)/($C35-'06 DCF'!$F$26)/(1+$C35)^'02 Assumptions'!$C$11+SUM('06 DCF'!$F$46:$F$52))/'06 DCF'!$F$54</f>
        <v>0</v>
      </c>
    </row>
    <row r="36" spans="2:8" x14ac:dyDescent="0.3">
      <c r="C36" s="118">
        <f>'07 WACC'!$C$38+0.005</f>
        <v>9.2495000000000008E-2</v>
      </c>
      <c r="D36" s="176" cm="1">
        <f t="array" aca="1" ref="D36" ca="1">(SUMPRODUCT('06 DCF'!$G$15:$P$15-D$32*'04 Operating Model'!$G$11:$P$11,1/(1+$C36)^'06 DCF'!$G$20:$P$20)+'06 DCF'!$P$10*(1+'06 DCF'!$F$26)*(1-'06 DCF'!$F$26/'06 DCF'!$F$27)/($C36-'06 DCF'!$F$26)/(1+$C36)^'02 Assumptions'!$C$11+SUM('06 DCF'!$F$46:$F$52))/'06 DCF'!$F$54</f>
        <v>0</v>
      </c>
      <c r="E36" s="177" cm="1">
        <f t="array" aca="1" ref="E36" ca="1">(SUMPRODUCT('06 DCF'!$G$15:$P$15-E$32*'04 Operating Model'!$G$11:$P$11,1/(1+$C36)^'06 DCF'!$G$20:$P$20)+'06 DCF'!$P$10*(1+'06 DCF'!$F$26)*(1-'06 DCF'!$F$26/'06 DCF'!$F$27)/($C36-'06 DCF'!$F$26)/(1+$C36)^'02 Assumptions'!$C$11+SUM('06 DCF'!$F$46:$F$52))/'06 DCF'!$F$54</f>
        <v>0</v>
      </c>
      <c r="F36" s="177" cm="1">
        <f t="array" aca="1" ref="F36" ca="1">(SUMPRODUCT('06 DCF'!$G$15:$P$15-F$32*'04 Operating Model'!$G$11:$P$11,1/(1+$C36)^'06 DCF'!$G$20:$P$20)+'06 DCF'!$P$10*(1+'06 DCF'!$F$26)*(1-'06 DCF'!$F$26/'06 DCF'!$F$27)/($C36-'06 DCF'!$F$26)/(1+$C36)^'02 Assumptions'!$C$11+SUM('06 DCF'!$F$46:$F$52))/'06 DCF'!$F$54</f>
        <v>0</v>
      </c>
      <c r="G36" s="177" cm="1">
        <f t="array" aca="1" ref="G36" ca="1">(SUMPRODUCT('06 DCF'!$G$15:$P$15-G$32*'04 Operating Model'!$G$11:$P$11,1/(1+$C36)^'06 DCF'!$G$20:$P$20)+'06 DCF'!$P$10*(1+'06 DCF'!$F$26)*(1-'06 DCF'!$F$26/'06 DCF'!$F$27)/($C36-'06 DCF'!$F$26)/(1+$C36)^'02 Assumptions'!$C$11+SUM('06 DCF'!$F$46:$F$52))/'06 DCF'!$F$54</f>
        <v>0</v>
      </c>
      <c r="H36" s="178" cm="1">
        <f t="array" aca="1" ref="H36" ca="1">(SUMPRODUCT('06 DCF'!$G$15:$P$15-H$32*'04 Operating Model'!$G$11:$P$11,1/(1+$C36)^'06 DCF'!$G$20:$P$20)+'06 DCF'!$P$10*(1+'06 DCF'!$F$26)*(1-'06 DCF'!$F$26/'06 DCF'!$F$27)/($C36-'06 DCF'!$F$26)/(1+$C36)^'02 Assumptions'!$C$11+SUM('06 DCF'!$F$46:$F$52))/'06 DCF'!$F$54</f>
        <v>0</v>
      </c>
    </row>
    <row r="37" spans="2:8" x14ac:dyDescent="0.3">
      <c r="C37" s="118">
        <f>'07 WACC'!$C$38+0.01</f>
        <v>9.7494999999999998E-2</v>
      </c>
      <c r="D37" s="180" cm="1">
        <f t="array" aca="1" ref="D37" ca="1">(SUMPRODUCT('06 DCF'!$G$15:$P$15-D$32*'04 Operating Model'!$G$11:$P$11,1/(1+$C37)^'06 DCF'!$G$20:$P$20)+'06 DCF'!$P$10*(1+'06 DCF'!$F$26)*(1-'06 DCF'!$F$26/'06 DCF'!$F$27)/($C37-'06 DCF'!$F$26)/(1+$C37)^'02 Assumptions'!$C$11+SUM('06 DCF'!$F$46:$F$52))/'06 DCF'!$F$54</f>
        <v>0</v>
      </c>
      <c r="E37" s="181" cm="1">
        <f t="array" aca="1" ref="E37" ca="1">(SUMPRODUCT('06 DCF'!$G$15:$P$15-E$32*'04 Operating Model'!$G$11:$P$11,1/(1+$C37)^'06 DCF'!$G$20:$P$20)+'06 DCF'!$P$10*(1+'06 DCF'!$F$26)*(1-'06 DCF'!$F$26/'06 DCF'!$F$27)/($C37-'06 DCF'!$F$26)/(1+$C37)^'02 Assumptions'!$C$11+SUM('06 DCF'!$F$46:$F$52))/'06 DCF'!$F$54</f>
        <v>0</v>
      </c>
      <c r="F37" s="181" cm="1">
        <f t="array" aca="1" ref="F37" ca="1">(SUMPRODUCT('06 DCF'!$G$15:$P$15-F$32*'04 Operating Model'!$G$11:$P$11,1/(1+$C37)^'06 DCF'!$G$20:$P$20)+'06 DCF'!$P$10*(1+'06 DCF'!$F$26)*(1-'06 DCF'!$F$26/'06 DCF'!$F$27)/($C37-'06 DCF'!$F$26)/(1+$C37)^'02 Assumptions'!$C$11+SUM('06 DCF'!$F$46:$F$52))/'06 DCF'!$F$54</f>
        <v>0</v>
      </c>
      <c r="G37" s="181" cm="1">
        <f t="array" aca="1" ref="G37" ca="1">(SUMPRODUCT('06 DCF'!$G$15:$P$15-G$32*'04 Operating Model'!$G$11:$P$11,1/(1+$C37)^'06 DCF'!$G$20:$P$20)+'06 DCF'!$P$10*(1+'06 DCF'!$F$26)*(1-'06 DCF'!$F$26/'06 DCF'!$F$27)/($C37-'06 DCF'!$F$26)/(1+$C37)^'02 Assumptions'!$C$11+SUM('06 DCF'!$F$46:$F$52))/'06 DCF'!$F$54</f>
        <v>0</v>
      </c>
      <c r="H37" s="182" cm="1">
        <f t="array" aca="1" ref="H37" ca="1">(SUMPRODUCT('06 DCF'!$G$15:$P$15-H$32*'04 Operating Model'!$G$11:$P$11,1/(1+$C37)^'06 DCF'!$G$20:$P$20)+'06 DCF'!$P$10*(1+'06 DCF'!$F$26)*(1-'06 DCF'!$F$26/'06 DCF'!$F$27)/($C37-'06 DCF'!$F$26)/(1+$C37)^'02 Assumptions'!$C$11+SUM('06 DCF'!$F$46:$F$52))/'06 DCF'!$F$54</f>
        <v>0</v>
      </c>
    </row>
    <row r="40" spans="2:8" x14ac:dyDescent="0.3">
      <c r="B40" s="5" t="s">
        <v>686</v>
      </c>
      <c r="C40" s="5"/>
      <c r="D40" s="5"/>
      <c r="E40" s="5"/>
      <c r="F40" s="5"/>
      <c r="G40" s="5"/>
      <c r="H40" s="5"/>
    </row>
    <row r="41" spans="2:8" x14ac:dyDescent="0.3">
      <c r="B41" s="2" t="s">
        <v>1659</v>
      </c>
      <c r="D41" s="152"/>
      <c r="E41" s="152"/>
      <c r="F41" s="152"/>
      <c r="G41" s="152"/>
      <c r="H41" s="152"/>
    </row>
    <row r="42" spans="2:8" x14ac:dyDescent="0.3">
      <c r="C42" s="118">
        <f>'07 WACC'!$C$38+-0.01</f>
        <v>7.7495000000000008E-2</v>
      </c>
      <c r="D42" s="173" cm="1">
        <f t="array" aca="1" ref="D42" ca="1">(SUMPRODUCT('06 DCF'!$G$15:$P$15-D$41*'06 DCF'!$G$7:$P$7,1/(1+$C42)^'06 DCF'!$G$20:$P$20)+('06 DCF'!$P$10-D$41*'06 DCF'!$P$7)*(1+'06 DCF'!$F$26)*(1-'06 DCF'!$F$26/'06 DCF'!$F$27)/($C42-'06 DCF'!$F$26)/(1+$C42)^'02 Assumptions'!$C$11+SUM('06 DCF'!$F$46:$F$52))/'06 DCF'!$F$54</f>
        <v>0</v>
      </c>
      <c r="E42" s="174" cm="1">
        <f t="array" aca="1" ref="E42" ca="1">(SUMPRODUCT('06 DCF'!$G$15:$P$15-E$41*'06 DCF'!$G$7:$P$7,1/(1+$C42)^'06 DCF'!$G$20:$P$20)+('06 DCF'!$P$10-E$41*'06 DCF'!$P$7)*(1+'06 DCF'!$F$26)*(1-'06 DCF'!$F$26/'06 DCF'!$F$27)/($C42-'06 DCF'!$F$26)/(1+$C42)^'02 Assumptions'!$C$11+SUM('06 DCF'!$F$46:$F$52))/'06 DCF'!$F$54</f>
        <v>0</v>
      </c>
      <c r="F42" s="174" cm="1">
        <f t="array" aca="1" ref="F42" ca="1">(SUMPRODUCT('06 DCF'!$G$15:$P$15-F$41*'06 DCF'!$G$7:$P$7,1/(1+$C42)^'06 DCF'!$G$20:$P$20)+('06 DCF'!$P$10-F$41*'06 DCF'!$P$7)*(1+'06 DCF'!$F$26)*(1-'06 DCF'!$F$26/'06 DCF'!$F$27)/($C42-'06 DCF'!$F$26)/(1+$C42)^'02 Assumptions'!$C$11+SUM('06 DCF'!$F$46:$F$52))/'06 DCF'!$F$54</f>
        <v>0</v>
      </c>
      <c r="G42" s="174" cm="1">
        <f t="array" aca="1" ref="G42" ca="1">(SUMPRODUCT('06 DCF'!$G$15:$P$15-G$41*'06 DCF'!$G$7:$P$7,1/(1+$C42)^'06 DCF'!$G$20:$P$20)+('06 DCF'!$P$10-G$41*'06 DCF'!$P$7)*(1+'06 DCF'!$F$26)*(1-'06 DCF'!$F$26/'06 DCF'!$F$27)/($C42-'06 DCF'!$F$26)/(1+$C42)^'02 Assumptions'!$C$11+SUM('06 DCF'!$F$46:$F$52))/'06 DCF'!$F$54</f>
        <v>0</v>
      </c>
      <c r="H42" s="175" cm="1">
        <f t="array" aca="1" ref="H42" ca="1">(SUMPRODUCT('06 DCF'!$G$15:$P$15-H$41*'06 DCF'!$G$7:$P$7,1/(1+$C42)^'06 DCF'!$G$20:$P$20)+('06 DCF'!$P$10-H$41*'06 DCF'!$P$7)*(1+'06 DCF'!$F$26)*(1-'06 DCF'!$F$26/'06 DCF'!$F$27)/($C42-'06 DCF'!$F$26)/(1+$C42)^'02 Assumptions'!$C$11+SUM('06 DCF'!$F$46:$F$52))/'06 DCF'!$F$54</f>
        <v>0</v>
      </c>
    </row>
    <row r="43" spans="2:8" x14ac:dyDescent="0.3">
      <c r="C43" s="118">
        <f>'07 WACC'!$C$38+-0.005</f>
        <v>8.2494999999999999E-2</v>
      </c>
      <c r="D43" s="176" cm="1">
        <f t="array" aca="1" ref="D43" ca="1">(SUMPRODUCT('06 DCF'!$G$15:$P$15-D$41*'06 DCF'!$G$7:$P$7,1/(1+$C43)^'06 DCF'!$G$20:$P$20)+('06 DCF'!$P$10-D$41*'06 DCF'!$P$7)*(1+'06 DCF'!$F$26)*(1-'06 DCF'!$F$26/'06 DCF'!$F$27)/($C43-'06 DCF'!$F$26)/(1+$C43)^'02 Assumptions'!$C$11+SUM('06 DCF'!$F$46:$F$52))/'06 DCF'!$F$54</f>
        <v>0</v>
      </c>
      <c r="E43" s="177" cm="1">
        <f t="array" aca="1" ref="E43" ca="1">(SUMPRODUCT('06 DCF'!$G$15:$P$15-E$41*'06 DCF'!$G$7:$P$7,1/(1+$C43)^'06 DCF'!$G$20:$P$20)+('06 DCF'!$P$10-E$41*'06 DCF'!$P$7)*(1+'06 DCF'!$F$26)*(1-'06 DCF'!$F$26/'06 DCF'!$F$27)/($C43-'06 DCF'!$F$26)/(1+$C43)^'02 Assumptions'!$C$11+SUM('06 DCF'!$F$46:$F$52))/'06 DCF'!$F$54</f>
        <v>0</v>
      </c>
      <c r="F43" s="177" cm="1">
        <f t="array" aca="1" ref="F43" ca="1">(SUMPRODUCT('06 DCF'!$G$15:$P$15-F$41*'06 DCF'!$G$7:$P$7,1/(1+$C43)^'06 DCF'!$G$20:$P$20)+('06 DCF'!$P$10-F$41*'06 DCF'!$P$7)*(1+'06 DCF'!$F$26)*(1-'06 DCF'!$F$26/'06 DCF'!$F$27)/($C43-'06 DCF'!$F$26)/(1+$C43)^'02 Assumptions'!$C$11+SUM('06 DCF'!$F$46:$F$52))/'06 DCF'!$F$54</f>
        <v>0</v>
      </c>
      <c r="G43" s="177" cm="1">
        <f t="array" aca="1" ref="G43" ca="1">(SUMPRODUCT('06 DCF'!$G$15:$P$15-G$41*'06 DCF'!$G$7:$P$7,1/(1+$C43)^'06 DCF'!$G$20:$P$20)+('06 DCF'!$P$10-G$41*'06 DCF'!$P$7)*(1+'06 DCF'!$F$26)*(1-'06 DCF'!$F$26/'06 DCF'!$F$27)/($C43-'06 DCF'!$F$26)/(1+$C43)^'02 Assumptions'!$C$11+SUM('06 DCF'!$F$46:$F$52))/'06 DCF'!$F$54</f>
        <v>0</v>
      </c>
      <c r="H43" s="178" cm="1">
        <f t="array" aca="1" ref="H43" ca="1">(SUMPRODUCT('06 DCF'!$G$15:$P$15-H$41*'06 DCF'!$G$7:$P$7,1/(1+$C43)^'06 DCF'!$G$20:$P$20)+('06 DCF'!$P$10-H$41*'06 DCF'!$P$7)*(1+'06 DCF'!$F$26)*(1-'06 DCF'!$F$26/'06 DCF'!$F$27)/($C43-'06 DCF'!$F$26)/(1+$C43)^'02 Assumptions'!$C$11+SUM('06 DCF'!$F$46:$F$52))/'06 DCF'!$F$54</f>
        <v>0</v>
      </c>
    </row>
    <row r="44" spans="2:8" x14ac:dyDescent="0.3">
      <c r="C44" s="118">
        <f>'07 WACC'!$C$38+0</f>
        <v>8.7495000000000003E-2</v>
      </c>
      <c r="D44" s="176" cm="1">
        <f t="array" aca="1" ref="D44" ca="1">(SUMPRODUCT('06 DCF'!$G$15:$P$15-D$41*'06 DCF'!$G$7:$P$7,1/(1+$C44)^'06 DCF'!$G$20:$P$20)+('06 DCF'!$P$10-D$41*'06 DCF'!$P$7)*(1+'06 DCF'!$F$26)*(1-'06 DCF'!$F$26/'06 DCF'!$F$27)/($C44-'06 DCF'!$F$26)/(1+$C44)^'02 Assumptions'!$C$11+SUM('06 DCF'!$F$46:$F$52))/'06 DCF'!$F$54</f>
        <v>0</v>
      </c>
      <c r="E44" s="177" cm="1">
        <f t="array" aca="1" ref="E44" ca="1">(SUMPRODUCT('06 DCF'!$G$15:$P$15-E$41*'06 DCF'!$G$7:$P$7,1/(1+$C44)^'06 DCF'!$G$20:$P$20)+('06 DCF'!$P$10-E$41*'06 DCF'!$P$7)*(1+'06 DCF'!$F$26)*(1-'06 DCF'!$F$26/'06 DCF'!$F$27)/($C44-'06 DCF'!$F$26)/(1+$C44)^'02 Assumptions'!$C$11+SUM('06 DCF'!$F$46:$F$52))/'06 DCF'!$F$54</f>
        <v>0</v>
      </c>
      <c r="F44" s="179" cm="1">
        <f t="array" aca="1" ref="F44" ca="1">(SUMPRODUCT('06 DCF'!$G$15:$P$15-F$41*'06 DCF'!$G$7:$P$7,1/(1+$C44)^'06 DCF'!$G$20:$P$20)+('06 DCF'!$P$10-F$41*'06 DCF'!$P$7)*(1+'06 DCF'!$F$26)*(1-'06 DCF'!$F$26/'06 DCF'!$F$27)/($C44-'06 DCF'!$F$26)/(1+$C44)^'02 Assumptions'!$C$11+SUM('06 DCF'!$F$46:$F$52))/'06 DCF'!$F$54</f>
        <v>0</v>
      </c>
      <c r="G44" s="177" cm="1">
        <f t="array" aca="1" ref="G44" ca="1">(SUMPRODUCT('06 DCF'!$G$15:$P$15-G$41*'06 DCF'!$G$7:$P$7,1/(1+$C44)^'06 DCF'!$G$20:$P$20)+('06 DCF'!$P$10-G$41*'06 DCF'!$P$7)*(1+'06 DCF'!$F$26)*(1-'06 DCF'!$F$26/'06 DCF'!$F$27)/($C44-'06 DCF'!$F$26)/(1+$C44)^'02 Assumptions'!$C$11+SUM('06 DCF'!$F$46:$F$52))/'06 DCF'!$F$54</f>
        <v>0</v>
      </c>
      <c r="H44" s="178" cm="1">
        <f t="array" aca="1" ref="H44" ca="1">(SUMPRODUCT('06 DCF'!$G$15:$P$15-H$41*'06 DCF'!$G$7:$P$7,1/(1+$C44)^'06 DCF'!$G$20:$P$20)+('06 DCF'!$P$10-H$41*'06 DCF'!$P$7)*(1+'06 DCF'!$F$26)*(1-'06 DCF'!$F$26/'06 DCF'!$F$27)/($C44-'06 DCF'!$F$26)/(1+$C44)^'02 Assumptions'!$C$11+SUM('06 DCF'!$F$46:$F$52))/'06 DCF'!$F$54</f>
        <v>0</v>
      </c>
    </row>
    <row r="45" spans="2:8" x14ac:dyDescent="0.3">
      <c r="C45" s="118">
        <f>'07 WACC'!$C$38+0.005</f>
        <v>9.2495000000000008E-2</v>
      </c>
      <c r="D45" s="176" cm="1">
        <f t="array" aca="1" ref="D45" ca="1">(SUMPRODUCT('06 DCF'!$G$15:$P$15-D$41*'06 DCF'!$G$7:$P$7,1/(1+$C45)^'06 DCF'!$G$20:$P$20)+('06 DCF'!$P$10-D$41*'06 DCF'!$P$7)*(1+'06 DCF'!$F$26)*(1-'06 DCF'!$F$26/'06 DCF'!$F$27)/($C45-'06 DCF'!$F$26)/(1+$C45)^'02 Assumptions'!$C$11+SUM('06 DCF'!$F$46:$F$52))/'06 DCF'!$F$54</f>
        <v>0</v>
      </c>
      <c r="E45" s="177" cm="1">
        <f t="array" aca="1" ref="E45" ca="1">(SUMPRODUCT('06 DCF'!$G$15:$P$15-E$41*'06 DCF'!$G$7:$P$7,1/(1+$C45)^'06 DCF'!$G$20:$P$20)+('06 DCF'!$P$10-E$41*'06 DCF'!$P$7)*(1+'06 DCF'!$F$26)*(1-'06 DCF'!$F$26/'06 DCF'!$F$27)/($C45-'06 DCF'!$F$26)/(1+$C45)^'02 Assumptions'!$C$11+SUM('06 DCF'!$F$46:$F$52))/'06 DCF'!$F$54</f>
        <v>0</v>
      </c>
      <c r="F45" s="177" cm="1">
        <f t="array" aca="1" ref="F45" ca="1">(SUMPRODUCT('06 DCF'!$G$15:$P$15-F$41*'06 DCF'!$G$7:$P$7,1/(1+$C45)^'06 DCF'!$G$20:$P$20)+('06 DCF'!$P$10-F$41*'06 DCF'!$P$7)*(1+'06 DCF'!$F$26)*(1-'06 DCF'!$F$26/'06 DCF'!$F$27)/($C45-'06 DCF'!$F$26)/(1+$C45)^'02 Assumptions'!$C$11+SUM('06 DCF'!$F$46:$F$52))/'06 DCF'!$F$54</f>
        <v>0</v>
      </c>
      <c r="G45" s="177" cm="1">
        <f t="array" aca="1" ref="G45" ca="1">(SUMPRODUCT('06 DCF'!$G$15:$P$15-G$41*'06 DCF'!$G$7:$P$7,1/(1+$C45)^'06 DCF'!$G$20:$P$20)+('06 DCF'!$P$10-G$41*'06 DCF'!$P$7)*(1+'06 DCF'!$F$26)*(1-'06 DCF'!$F$26/'06 DCF'!$F$27)/($C45-'06 DCF'!$F$26)/(1+$C45)^'02 Assumptions'!$C$11+SUM('06 DCF'!$F$46:$F$52))/'06 DCF'!$F$54</f>
        <v>0</v>
      </c>
      <c r="H45" s="178" cm="1">
        <f t="array" aca="1" ref="H45" ca="1">(SUMPRODUCT('06 DCF'!$G$15:$P$15-H$41*'06 DCF'!$G$7:$P$7,1/(1+$C45)^'06 DCF'!$G$20:$P$20)+('06 DCF'!$P$10-H$41*'06 DCF'!$P$7)*(1+'06 DCF'!$F$26)*(1-'06 DCF'!$F$26/'06 DCF'!$F$27)/($C45-'06 DCF'!$F$26)/(1+$C45)^'02 Assumptions'!$C$11+SUM('06 DCF'!$F$46:$F$52))/'06 DCF'!$F$54</f>
        <v>0</v>
      </c>
    </row>
    <row r="46" spans="2:8" x14ac:dyDescent="0.3">
      <c r="C46" s="118">
        <f>'07 WACC'!$C$38+0.01</f>
        <v>9.7494999999999998E-2</v>
      </c>
      <c r="D46" s="180" cm="1">
        <f t="array" aca="1" ref="D46" ca="1">(SUMPRODUCT('06 DCF'!$G$15:$P$15-D$41*'06 DCF'!$G$7:$P$7,1/(1+$C46)^'06 DCF'!$G$20:$P$20)+('06 DCF'!$P$10-D$41*'06 DCF'!$P$7)*(1+'06 DCF'!$F$26)*(1-'06 DCF'!$F$26/'06 DCF'!$F$27)/($C46-'06 DCF'!$F$26)/(1+$C46)^'02 Assumptions'!$C$11+SUM('06 DCF'!$F$46:$F$52))/'06 DCF'!$F$54</f>
        <v>0</v>
      </c>
      <c r="E46" s="181" cm="1">
        <f t="array" aca="1" ref="E46" ca="1">(SUMPRODUCT('06 DCF'!$G$15:$P$15-E$41*'06 DCF'!$G$7:$P$7,1/(1+$C46)^'06 DCF'!$G$20:$P$20)+('06 DCF'!$P$10-E$41*'06 DCF'!$P$7)*(1+'06 DCF'!$F$26)*(1-'06 DCF'!$F$26/'06 DCF'!$F$27)/($C46-'06 DCF'!$F$26)/(1+$C46)^'02 Assumptions'!$C$11+SUM('06 DCF'!$F$46:$F$52))/'06 DCF'!$F$54</f>
        <v>0</v>
      </c>
      <c r="F46" s="181" cm="1">
        <f t="array" aca="1" ref="F46" ca="1">(SUMPRODUCT('06 DCF'!$G$15:$P$15-F$41*'06 DCF'!$G$7:$P$7,1/(1+$C46)^'06 DCF'!$G$20:$P$20)+('06 DCF'!$P$10-F$41*'06 DCF'!$P$7)*(1+'06 DCF'!$F$26)*(1-'06 DCF'!$F$26/'06 DCF'!$F$27)/($C46-'06 DCF'!$F$26)/(1+$C46)^'02 Assumptions'!$C$11+SUM('06 DCF'!$F$46:$F$52))/'06 DCF'!$F$54</f>
        <v>0</v>
      </c>
      <c r="G46" s="181" cm="1">
        <f t="array" aca="1" ref="G46" ca="1">(SUMPRODUCT('06 DCF'!$G$15:$P$15-G$41*'06 DCF'!$G$7:$P$7,1/(1+$C46)^'06 DCF'!$G$20:$P$20)+('06 DCF'!$P$10-G$41*'06 DCF'!$P$7)*(1+'06 DCF'!$F$26)*(1-'06 DCF'!$F$26/'06 DCF'!$F$27)/($C46-'06 DCF'!$F$26)/(1+$C46)^'02 Assumptions'!$C$11+SUM('06 DCF'!$F$46:$F$52))/'06 DCF'!$F$54</f>
        <v>0</v>
      </c>
      <c r="H46" s="182" cm="1">
        <f t="array" aca="1" ref="H46" ca="1">(SUMPRODUCT('06 DCF'!$G$15:$P$15-H$41*'06 DCF'!$G$7:$P$7,1/(1+$C46)^'06 DCF'!$G$20:$P$20)+('06 DCF'!$P$10-H$41*'06 DCF'!$P$7)*(1+'06 DCF'!$F$26)*(1-'06 DCF'!$F$26/'06 DCF'!$F$27)/($C46-'06 DCF'!$F$26)/(1+$C46)^'02 Assumptions'!$C$11+SUM('06 DCF'!$F$46:$F$52))/'06 DCF'!$F$54</f>
        <v>0</v>
      </c>
    </row>
    <row r="49" spans="2:8" x14ac:dyDescent="0.3">
      <c r="B49" s="5" t="s">
        <v>689</v>
      </c>
      <c r="C49" s="5"/>
      <c r="D49" s="5"/>
      <c r="E49" s="5"/>
      <c r="F49" s="5"/>
      <c r="G49" s="5"/>
      <c r="H49" s="5"/>
    </row>
    <row r="50" spans="2:8" x14ac:dyDescent="0.3">
      <c r="B50" s="2" t="s">
        <v>271</v>
      </c>
      <c r="C50" s="2" t="s">
        <v>690</v>
      </c>
      <c r="D50" s="2" t="s">
        <v>691</v>
      </c>
      <c r="E50" s="2" t="s">
        <v>692</v>
      </c>
      <c r="F50" s="2" t="s">
        <v>693</v>
      </c>
    </row>
    <row r="51" spans="2:8" x14ac:dyDescent="0.3">
      <c r="B51" t="s">
        <v>694</v>
      </c>
      <c r="C51" s="168">
        <f>MIN(D8:H8)</f>
        <v>153.31534645035327</v>
      </c>
      <c r="D51" s="168">
        <f>MAX(D8:H8)</f>
        <v>191.68812373401528</v>
      </c>
      <c r="E51" s="168">
        <f t="shared" ref="E51:E56" si="0">D51-C51</f>
        <v>38.372777283662003</v>
      </c>
      <c r="F51" s="121" t="str">
        <f t="shared" ref="F51:F56" si="1">IF(E51&gt;=LARGE($E$51:$E$56,2),"PRIMARIO",IF(E51&gt;=LARGE($E$51:$E$56,4),"SECUNDARIO","BAJO IMPACTO"))</f>
        <v>SECUNDARIO</v>
      </c>
    </row>
    <row r="52" spans="2:8" x14ac:dyDescent="0.3">
      <c r="B52" t="s">
        <v>695</v>
      </c>
      <c r="C52" s="168">
        <f>MIN(D6:D10)</f>
        <v>124.52366587274955</v>
      </c>
      <c r="D52" s="168">
        <f>MAX(D6:D10)</f>
        <v>192.36591410214237</v>
      </c>
      <c r="E52" s="168">
        <f t="shared" si="0"/>
        <v>67.842248229392823</v>
      </c>
      <c r="F52" s="121" t="str">
        <f t="shared" si="1"/>
        <v>PRIMARIO</v>
      </c>
    </row>
    <row r="53" spans="2:8" x14ac:dyDescent="0.3">
      <c r="B53" t="s">
        <v>696</v>
      </c>
      <c r="C53" s="168">
        <f>MIN(D26:H26)</f>
        <v>148.4316866173057</v>
      </c>
      <c r="D53" s="168">
        <f>MAX(D26:H26)</f>
        <v>190.0242339499097</v>
      </c>
      <c r="E53" s="168">
        <f t="shared" si="0"/>
        <v>41.592547332603999</v>
      </c>
      <c r="F53" s="121" t="str">
        <f t="shared" si="1"/>
        <v>SECUNDARIO</v>
      </c>
    </row>
    <row r="54" spans="2:8" x14ac:dyDescent="0.3">
      <c r="B54" t="s">
        <v>697</v>
      </c>
      <c r="C54" s="168">
        <f>MIN(D44:H44)</f>
        <v>160.86768067687282</v>
      </c>
      <c r="D54" s="168">
        <f>MAX(D44:H44)</f>
        <v>177.58823989034255</v>
      </c>
      <c r="E54" s="168">
        <f t="shared" si="0"/>
        <v>16.720559213469727</v>
      </c>
      <c r="F54" s="121" t="str">
        <f t="shared" si="1"/>
        <v>BAJO IMPACTO</v>
      </c>
    </row>
    <row r="55" spans="2:8" x14ac:dyDescent="0.3">
      <c r="B55" t="s">
        <v>698</v>
      </c>
      <c r="C55" s="168">
        <f>MIN(D35:H35)</f>
        <v>162.27016540398921</v>
      </c>
      <c r="D55" s="168">
        <f>MAX(D35:H35)</f>
        <v>176.18575516322619</v>
      </c>
      <c r="E55" s="168">
        <f t="shared" si="0"/>
        <v>13.91558975923698</v>
      </c>
      <c r="F55" s="121" t="str">
        <f t="shared" si="1"/>
        <v>BAJO IMPACTO</v>
      </c>
    </row>
    <row r="56" spans="2:8" x14ac:dyDescent="0.3">
      <c r="B56" t="s">
        <v>699</v>
      </c>
      <c r="C56" s="168">
        <f>MIN(D17:H17)</f>
        <v>176.26452268875988</v>
      </c>
      <c r="D56" s="168">
        <f>MAX(D17:H17)</f>
        <v>291.39108288574903</v>
      </c>
      <c r="E56" s="168">
        <f t="shared" si="0"/>
        <v>115.12656019698915</v>
      </c>
      <c r="F56" s="121" t="str">
        <f t="shared" si="1"/>
        <v>PRIMARIO</v>
      </c>
    </row>
    <row r="58" spans="2:8" x14ac:dyDescent="0.3">
      <c r="B58" s="100" t="s">
        <v>700</v>
      </c>
      <c r="C58" s="98"/>
      <c r="D58" s="98"/>
      <c r="E58" s="98"/>
      <c r="F58" s="98"/>
      <c r="G58" s="98"/>
      <c r="H58" s="98"/>
    </row>
    <row r="59" spans="2:8" x14ac:dyDescent="0.3">
      <c r="B59" s="90" t="s">
        <v>701</v>
      </c>
    </row>
    <row r="60" spans="2:8" x14ac:dyDescent="0.3">
      <c r="B60" s="37" t="s">
        <v>702</v>
      </c>
      <c r="C60" s="37" t="s">
        <v>703</v>
      </c>
    </row>
    <row r="61" spans="2:8" x14ac:dyDescent="0.3">
      <c r="B61" s="37" t="s">
        <v>704</v>
      </c>
      <c r="C61" s="37" t="s">
        <v>705</v>
      </c>
    </row>
    <row r="62" spans="2:8" x14ac:dyDescent="0.3">
      <c r="B62" s="37" t="s">
        <v>706</v>
      </c>
      <c r="C62" s="37" t="s">
        <v>707</v>
      </c>
    </row>
    <row r="63" spans="2:8" x14ac:dyDescent="0.3">
      <c r="B63" s="37" t="s">
        <v>708</v>
      </c>
      <c r="C63" s="37" t="s">
        <v>709</v>
      </c>
    </row>
    <row r="64" spans="2:8" ht="28.8" x14ac:dyDescent="0.3">
      <c r="B64" s="37" t="s">
        <v>710</v>
      </c>
      <c r="C64" s="37" t="s">
        <v>711</v>
      </c>
    </row>
    <row r="65" spans="2:3" x14ac:dyDescent="0.3">
      <c r="B65" s="37" t="s">
        <v>712</v>
      </c>
      <c r="C65" s="37" t="s">
        <v>713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3A17-6DE8-4FCF-9690-BA9DDD8429E5}">
  <dimension ref="A1:G32"/>
  <sheetViews>
    <sheetView workbookViewId="0"/>
  </sheetViews>
  <sheetFormatPr baseColWidth="10" defaultRowHeight="14.4" x14ac:dyDescent="0.3"/>
  <cols>
    <col min="2" max="2" width="61.109375" customWidth="1"/>
    <col min="3" max="3" width="129.6640625" customWidth="1"/>
    <col min="4" max="7" width="16.6640625" customWidth="1"/>
  </cols>
  <sheetData>
    <row r="1" spans="1:7" ht="18" x14ac:dyDescent="0.35">
      <c r="A1" s="4" t="s">
        <v>266</v>
      </c>
    </row>
    <row r="2" spans="1:7" x14ac:dyDescent="0.3">
      <c r="A2" s="14" t="s">
        <v>267</v>
      </c>
    </row>
    <row r="4" spans="1:7" x14ac:dyDescent="0.3">
      <c r="B4" s="40" t="s">
        <v>268</v>
      </c>
      <c r="C4" s="41">
        <f ca="1">'00 Panel del Analista'!D228</f>
        <v>0</v>
      </c>
    </row>
    <row r="5" spans="1:7" x14ac:dyDescent="0.3">
      <c r="B5" s="3" t="s">
        <v>269</v>
      </c>
      <c r="C5" s="3" t="str">
        <f>CHOOSE($C$4,"BEAR","BASE","BULL")</f>
        <v>BASE</v>
      </c>
    </row>
    <row r="7" spans="1:7" x14ac:dyDescent="0.3">
      <c r="B7" s="5" t="s">
        <v>270</v>
      </c>
      <c r="C7" s="5"/>
      <c r="D7" s="5"/>
      <c r="E7" s="5"/>
      <c r="F7" s="5"/>
      <c r="G7" s="5"/>
    </row>
    <row r="8" spans="1:7" x14ac:dyDescent="0.3">
      <c r="B8" s="2" t="s">
        <v>271</v>
      </c>
      <c r="C8" s="2" t="s">
        <v>89</v>
      </c>
      <c r="D8" s="2" t="s">
        <v>272</v>
      </c>
      <c r="E8" s="2" t="s">
        <v>273</v>
      </c>
      <c r="F8" s="2" t="s">
        <v>274</v>
      </c>
      <c r="G8" s="2" t="s">
        <v>275</v>
      </c>
    </row>
    <row r="9" spans="1:7" x14ac:dyDescent="0.3">
      <c r="B9" t="s">
        <v>1683</v>
      </c>
      <c r="C9" s="66" t="s">
        <v>209</v>
      </c>
      <c r="D9" s="43">
        <f ca="1">'00 Panel del Analista'!D218</f>
        <v>0</v>
      </c>
      <c r="E9" s="43">
        <f ca="1">'00 Panel del Analista'!E218</f>
        <v>0</v>
      </c>
      <c r="F9" s="43">
        <f ca="1">'00 Panel del Analista'!F218</f>
        <v>0</v>
      </c>
      <c r="G9" s="65">
        <f t="shared" ref="G9:G17" si="0">CHOOSE($C$4,D9,E9,F9)</f>
        <v>1</v>
      </c>
    </row>
    <row r="10" spans="1:7" x14ac:dyDescent="0.3">
      <c r="B10" t="s">
        <v>277</v>
      </c>
      <c r="C10" s="66" t="s">
        <v>42</v>
      </c>
      <c r="D10" s="51">
        <f ca="1">'00 Panel del Analista'!D219</f>
        <v>0</v>
      </c>
      <c r="E10" s="51">
        <f ca="1">'00 Panel del Analista'!E219</f>
        <v>0</v>
      </c>
      <c r="F10" s="51">
        <f ca="1">'00 Panel del Analista'!F219</f>
        <v>0</v>
      </c>
      <c r="G10" s="52">
        <f t="shared" si="0"/>
        <v>0</v>
      </c>
    </row>
    <row r="11" spans="1:7" x14ac:dyDescent="0.3">
      <c r="B11" t="s">
        <v>278</v>
      </c>
      <c r="C11" s="66" t="s">
        <v>42</v>
      </c>
      <c r="D11" s="51">
        <f ca="1">'00 Panel del Analista'!D220</f>
        <v>0</v>
      </c>
      <c r="E11" s="51">
        <f ca="1">'00 Panel del Analista'!E220</f>
        <v>0</v>
      </c>
      <c r="F11" s="51">
        <f ca="1">'00 Panel del Analista'!F220</f>
        <v>0</v>
      </c>
      <c r="G11" s="52">
        <f t="shared" si="0"/>
        <v>0</v>
      </c>
    </row>
    <row r="12" spans="1:7" x14ac:dyDescent="0.3">
      <c r="B12" t="s">
        <v>279</v>
      </c>
      <c r="C12" s="66" t="s">
        <v>42</v>
      </c>
      <c r="D12" s="51">
        <f ca="1">'00 Panel del Analista'!D221</f>
        <v>0</v>
      </c>
      <c r="E12" s="51">
        <f ca="1">'00 Panel del Analista'!E221</f>
        <v>0</v>
      </c>
      <c r="F12" s="51">
        <f ca="1">'00 Panel del Analista'!F221</f>
        <v>0</v>
      </c>
      <c r="G12" s="52">
        <f t="shared" si="0"/>
        <v>0</v>
      </c>
    </row>
    <row r="13" spans="1:7" x14ac:dyDescent="0.3">
      <c r="B13" t="s">
        <v>280</v>
      </c>
      <c r="C13" s="66" t="s">
        <v>209</v>
      </c>
      <c r="D13" s="43">
        <f ca="1">'00 Panel del Analista'!D222</f>
        <v>0</v>
      </c>
      <c r="E13" s="43">
        <f ca="1">'00 Panel del Analista'!E222</f>
        <v>0</v>
      </c>
      <c r="F13" s="43">
        <f ca="1">'00 Panel del Analista'!F222</f>
        <v>0</v>
      </c>
      <c r="G13" s="65">
        <f t="shared" si="0"/>
        <v>1</v>
      </c>
    </row>
    <row r="14" spans="1:7" x14ac:dyDescent="0.3">
      <c r="B14" t="s">
        <v>281</v>
      </c>
      <c r="C14" s="66" t="s">
        <v>213</v>
      </c>
      <c r="D14" s="45">
        <f ca="1">'00 Panel del Analista'!D223</f>
        <v>0</v>
      </c>
      <c r="E14" s="45">
        <f ca="1">'00 Panel del Analista'!E223</f>
        <v>0</v>
      </c>
      <c r="F14" s="45">
        <f ca="1">'00 Panel del Analista'!F223</f>
        <v>0</v>
      </c>
      <c r="G14" s="55">
        <f t="shared" si="0"/>
        <v>0</v>
      </c>
    </row>
    <row r="15" spans="1:7" x14ac:dyDescent="0.3">
      <c r="B15" t="s">
        <v>282</v>
      </c>
      <c r="C15" s="66" t="s">
        <v>42</v>
      </c>
      <c r="D15" s="51">
        <f ca="1">'00 Panel del Analista'!D224</f>
        <v>0</v>
      </c>
      <c r="E15" s="51">
        <f ca="1">'00 Panel del Analista'!E224</f>
        <v>0</v>
      </c>
      <c r="F15" s="51">
        <f ca="1">'00 Panel del Analista'!F224</f>
        <v>0</v>
      </c>
      <c r="G15" s="52">
        <f t="shared" si="0"/>
        <v>0</v>
      </c>
    </row>
    <row r="16" spans="1:7" x14ac:dyDescent="0.3">
      <c r="B16" t="s">
        <v>283</v>
      </c>
      <c r="C16" s="66" t="s">
        <v>42</v>
      </c>
      <c r="D16" s="51">
        <f ca="1">'00 Panel del Analista'!D225</f>
        <v>0</v>
      </c>
      <c r="E16" s="51">
        <f ca="1">'00 Panel del Analista'!E225</f>
        <v>0</v>
      </c>
      <c r="F16" s="51">
        <f ca="1">'00 Panel del Analista'!F225</f>
        <v>0</v>
      </c>
      <c r="G16" s="52">
        <f t="shared" si="0"/>
        <v>0</v>
      </c>
    </row>
    <row r="17" spans="2:7" x14ac:dyDescent="0.3">
      <c r="B17" t="s">
        <v>284</v>
      </c>
      <c r="C17" s="66" t="s">
        <v>42</v>
      </c>
      <c r="D17" s="51">
        <f ca="1">'00 Panel del Analista'!D226</f>
        <v>0</v>
      </c>
      <c r="E17" s="51">
        <f ca="1">'00 Panel del Analista'!E226</f>
        <v>0</v>
      </c>
      <c r="F17" s="51">
        <f ca="1">'00 Panel del Analista'!F226</f>
        <v>0</v>
      </c>
      <c r="G17" s="52">
        <f t="shared" si="0"/>
        <v>0</v>
      </c>
    </row>
    <row r="19" spans="2:7" x14ac:dyDescent="0.3">
      <c r="B19" s="5" t="s">
        <v>285</v>
      </c>
      <c r="C19" s="5"/>
    </row>
    <row r="20" spans="2:7" ht="28.8" x14ac:dyDescent="0.3">
      <c r="B20" s="37" t="s">
        <v>272</v>
      </c>
      <c r="C20" s="37" t="s">
        <v>286</v>
      </c>
    </row>
    <row r="21" spans="2:7" x14ac:dyDescent="0.3">
      <c r="B21" s="37" t="s">
        <v>273</v>
      </c>
      <c r="C21" s="37" t="s">
        <v>287</v>
      </c>
    </row>
    <row r="22" spans="2:7" ht="28.8" x14ac:dyDescent="0.3">
      <c r="B22" s="37" t="s">
        <v>274</v>
      </c>
      <c r="C22" s="37" t="s">
        <v>288</v>
      </c>
    </row>
    <row r="23" spans="2:7" ht="28.8" x14ac:dyDescent="0.3">
      <c r="B23" s="37" t="s">
        <v>289</v>
      </c>
      <c r="C23" s="37" t="s">
        <v>290</v>
      </c>
    </row>
    <row r="24" spans="2:7" ht="57.6" x14ac:dyDescent="0.3">
      <c r="B24" s="37" t="s">
        <v>289</v>
      </c>
      <c r="C24" s="37" t="s">
        <v>1684</v>
      </c>
    </row>
    <row r="25" spans="2:7" x14ac:dyDescent="0.3">
      <c r="B25" s="5" t="s">
        <v>291</v>
      </c>
      <c r="C25" s="5"/>
    </row>
    <row r="26" spans="2:7" x14ac:dyDescent="0.3">
      <c r="B26" s="2" t="s">
        <v>292</v>
      </c>
      <c r="C26" s="2" t="s">
        <v>293</v>
      </c>
    </row>
    <row r="27" spans="2:7" x14ac:dyDescent="0.3">
      <c r="B27" t="s">
        <v>294</v>
      </c>
      <c r="C27" s="46">
        <f>'06 DCF'!$F$44</f>
        <v>608375.19047210505</v>
      </c>
    </row>
    <row r="28" spans="2:7" x14ac:dyDescent="0.3">
      <c r="B28" t="s">
        <v>295</v>
      </c>
      <c r="C28" s="46">
        <f>'06 DCF'!$F$53</f>
        <v>496514.83547210507</v>
      </c>
    </row>
    <row r="29" spans="2:7" x14ac:dyDescent="0.3">
      <c r="B29" t="s">
        <v>296</v>
      </c>
      <c r="C29" s="20">
        <f>'06 DCF'!$F$55</f>
        <v>169.22796028360773</v>
      </c>
    </row>
    <row r="30" spans="2:7" x14ac:dyDescent="0.3">
      <c r="B30" t="s">
        <v>297</v>
      </c>
      <c r="C30" s="20">
        <f>'01 Summary'!$C$10</f>
        <v>0</v>
      </c>
    </row>
    <row r="31" spans="2:7" x14ac:dyDescent="0.3">
      <c r="B31" t="s">
        <v>298</v>
      </c>
      <c r="C31" s="47" t="str">
        <f>IF(C30&lt;=0,"introducir precio",C29/C30-1)</f>
        <v>introducir precio</v>
      </c>
    </row>
    <row r="32" spans="2:7" x14ac:dyDescent="0.3">
      <c r="B32" t="s">
        <v>299</v>
      </c>
      <c r="C32" s="47">
        <f>'06 DCF'!$F$45</f>
        <v>0.66008836605271526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721B-7237-43A4-9FBA-9F6237D28B99}">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1883</v>
      </c>
    </row>
    <row r="2" spans="1:16" x14ac:dyDescent="0.3">
      <c r="A2" s="14" t="s">
        <v>1913</v>
      </c>
    </row>
    <row r="4" spans="1:16"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6" x14ac:dyDescent="0.3">
      <c r="B6" s="5" t="s">
        <v>1884</v>
      </c>
      <c r="C6" s="5"/>
      <c r="D6" s="5"/>
      <c r="E6" s="5"/>
      <c r="F6" s="5"/>
      <c r="G6" s="5"/>
      <c r="H6" s="5"/>
      <c r="I6" s="5"/>
      <c r="J6" s="5"/>
      <c r="K6" s="5"/>
      <c r="L6" s="5"/>
      <c r="M6" s="5"/>
      <c r="N6" s="5"/>
      <c r="O6" s="5"/>
      <c r="P6" s="5"/>
    </row>
    <row r="7" spans="1:16" x14ac:dyDescent="0.3">
      <c r="B7" t="s">
        <v>94</v>
      </c>
      <c r="C7" t="s">
        <v>95</v>
      </c>
      <c r="D7" s="17"/>
      <c r="E7" s="17"/>
      <c r="F7" s="17">
        <f ca="1">'03 Historical'!F7</f>
        <v>0</v>
      </c>
      <c r="G7" s="17">
        <f ca="1">F7*(1+'02 Assumptions'!G19*'09 Escenarios'!$D$9)</f>
        <v>0</v>
      </c>
      <c r="H7" s="17">
        <f ca="1">G7*(1+'02 Assumptions'!H19*'09 Escenarios'!$D$9)</f>
        <v>0</v>
      </c>
      <c r="I7" s="17">
        <f ca="1">H7*(1+'02 Assumptions'!I19*'09 Escenarios'!$D$9)</f>
        <v>0</v>
      </c>
      <c r="J7" s="17">
        <f ca="1">I7*(1+'02 Assumptions'!J19*'09 Escenarios'!$D$9)</f>
        <v>0</v>
      </c>
      <c r="K7" s="17">
        <f ca="1">J7*(1+'02 Assumptions'!K19*'09 Escenarios'!$D$9)</f>
        <v>0</v>
      </c>
      <c r="L7" s="17">
        <f ca="1">K7*(1+'02 Assumptions'!L19*'09 Escenarios'!$D$9)</f>
        <v>0</v>
      </c>
      <c r="M7" s="17">
        <f ca="1">L7*(1+'02 Assumptions'!M19*'09 Escenarios'!$D$9)</f>
        <v>0</v>
      </c>
      <c r="N7" s="17">
        <f ca="1">M7*(1+'02 Assumptions'!N19*'09 Escenarios'!$D$9)</f>
        <v>0</v>
      </c>
      <c r="O7" s="17">
        <f ca="1">N7*(1+'02 Assumptions'!O19*'09 Escenarios'!$D$9)</f>
        <v>0</v>
      </c>
      <c r="P7" s="17">
        <f ca="1">O7*(1+'02 Assumptions'!P19*'09 Escenarios'!$D$9)</f>
        <v>0</v>
      </c>
    </row>
    <row r="8" spans="1:16" x14ac:dyDescent="0.3">
      <c r="B8" t="s">
        <v>1885</v>
      </c>
      <c r="C8" t="s">
        <v>95</v>
      </c>
      <c r="D8" s="17"/>
      <c r="E8" s="17"/>
      <c r="F8" s="17">
        <f ca="1">'03 Historical'!F8</f>
        <v>0</v>
      </c>
      <c r="G8" s="17">
        <f ca="1">F8*(1+'02 Assumptions'!G21+'09 Escenarios'!$D$10)</f>
        <v>0</v>
      </c>
      <c r="H8" s="17">
        <f ca="1">G8*(1+'02 Assumptions'!H21+'09 Escenarios'!$D$10)</f>
        <v>0</v>
      </c>
      <c r="I8" s="17">
        <f ca="1">H8*(1+'02 Assumptions'!I21+'09 Escenarios'!$D$10)</f>
        <v>0</v>
      </c>
      <c r="J8" s="17">
        <f ca="1">I8*(1+'02 Assumptions'!J21+'09 Escenarios'!$D$10)</f>
        <v>0</v>
      </c>
      <c r="K8" s="17">
        <f ca="1">J8*(1+'02 Assumptions'!K21+'09 Escenarios'!$D$10)</f>
        <v>0</v>
      </c>
      <c r="L8" s="17">
        <f ca="1">K8*(1+'02 Assumptions'!L21+'09 Escenarios'!$D$10)</f>
        <v>0</v>
      </c>
      <c r="M8" s="17">
        <f ca="1">L8*(1+'02 Assumptions'!M21+'09 Escenarios'!$D$10)</f>
        <v>0</v>
      </c>
      <c r="N8" s="17">
        <f ca="1">M8*(1+'02 Assumptions'!N21+'09 Escenarios'!$D$10)</f>
        <v>0</v>
      </c>
      <c r="O8" s="17">
        <f ca="1">N8*(1+'02 Assumptions'!O21+'09 Escenarios'!$D$10)</f>
        <v>0</v>
      </c>
      <c r="P8" s="17">
        <f ca="1">O8*(1+'02 Assumptions'!P21+'09 Escenarios'!$D$10)</f>
        <v>0</v>
      </c>
    </row>
    <row r="9" spans="1:16" x14ac:dyDescent="0.3">
      <c r="B9" t="s">
        <v>97</v>
      </c>
      <c r="C9" t="s">
        <v>95</v>
      </c>
      <c r="D9" s="17"/>
      <c r="E9" s="17"/>
      <c r="F9" s="17">
        <f ca="1">'03 Historical'!F9</f>
        <v>0</v>
      </c>
      <c r="G9" s="17">
        <f ca="1">F9*(1+'02 Assumptions'!G23+'09 Escenarios'!$D$10)</f>
        <v>0</v>
      </c>
      <c r="H9" s="17">
        <f ca="1">G9*(1+'02 Assumptions'!H23+'09 Escenarios'!$D$10)</f>
        <v>0</v>
      </c>
      <c r="I9" s="17">
        <f ca="1">H9*(1+'02 Assumptions'!I23+'09 Escenarios'!$D$10)</f>
        <v>0</v>
      </c>
      <c r="J9" s="17">
        <f ca="1">I9*(1+'02 Assumptions'!J23+'09 Escenarios'!$D$10)</f>
        <v>0</v>
      </c>
      <c r="K9" s="17">
        <f ca="1">J9*(1+'02 Assumptions'!K23+'09 Escenarios'!$D$10)</f>
        <v>0</v>
      </c>
      <c r="L9" s="17">
        <f ca="1">K9*(1+'02 Assumptions'!L23+'09 Escenarios'!$D$10)</f>
        <v>0</v>
      </c>
      <c r="M9" s="17">
        <f ca="1">L9*(1+'02 Assumptions'!M23+'09 Escenarios'!$D$10)</f>
        <v>0</v>
      </c>
      <c r="N9" s="17">
        <f ca="1">M9*(1+'02 Assumptions'!N23+'09 Escenarios'!$D$10)</f>
        <v>0</v>
      </c>
      <c r="O9" s="17">
        <f ca="1">N9*(1+'02 Assumptions'!O23+'09 Escenarios'!$D$10)</f>
        <v>0</v>
      </c>
      <c r="P9" s="17">
        <f ca="1">O9*(1+'02 Assumptions'!P23+'09 Escenarios'!$D$10)</f>
        <v>0</v>
      </c>
    </row>
    <row r="10" spans="1:16" x14ac:dyDescent="0.3">
      <c r="B10" t="s">
        <v>98</v>
      </c>
      <c r="C10" t="s">
        <v>95</v>
      </c>
      <c r="D10" s="17"/>
      <c r="E10" s="17"/>
      <c r="F10" s="17">
        <f ca="1">'03 Historical'!F10</f>
        <v>0</v>
      </c>
      <c r="G10" s="17">
        <f ca="1">F10*(1+'02 Assumptions'!G25+'09 Escenarios'!$D$10)</f>
        <v>0</v>
      </c>
      <c r="H10" s="17">
        <f ca="1">G10*(1+'02 Assumptions'!H25+'09 Escenarios'!$D$10)</f>
        <v>0</v>
      </c>
      <c r="I10" s="17">
        <f ca="1">H10*(1+'02 Assumptions'!I25+'09 Escenarios'!$D$10)</f>
        <v>0</v>
      </c>
      <c r="J10" s="17">
        <f ca="1">I10*(1+'02 Assumptions'!J25+'09 Escenarios'!$D$10)</f>
        <v>0</v>
      </c>
      <c r="K10" s="17">
        <f ca="1">J10*(1+'02 Assumptions'!K25+'09 Escenarios'!$D$10)</f>
        <v>0</v>
      </c>
      <c r="L10" s="17">
        <f ca="1">K10*(1+'02 Assumptions'!L25+'09 Escenarios'!$D$10)</f>
        <v>0</v>
      </c>
      <c r="M10" s="17">
        <f ca="1">L10*(1+'02 Assumptions'!M25+'09 Escenarios'!$D$10)</f>
        <v>0</v>
      </c>
      <c r="N10" s="17">
        <f ca="1">M10*(1+'02 Assumptions'!N25+'09 Escenarios'!$D$10)</f>
        <v>0</v>
      </c>
      <c r="O10" s="17">
        <f ca="1">N10*(1+'02 Assumptions'!O25+'09 Escenarios'!$D$10)</f>
        <v>0</v>
      </c>
      <c r="P10" s="17">
        <f ca="1">O10*(1+'02 Assumptions'!P25+'09 Escenarios'!$D$10)</f>
        <v>0</v>
      </c>
    </row>
    <row r="11" spans="1:16" x14ac:dyDescent="0.3">
      <c r="B11" s="3" t="s">
        <v>407</v>
      </c>
      <c r="C11" s="3" t="s">
        <v>95</v>
      </c>
      <c r="D11" s="18"/>
      <c r="E11" s="18"/>
      <c r="F11" s="18">
        <f t="shared" ref="F11:P11" ca="1" si="0">SUM(F7:F10)</f>
        <v>0</v>
      </c>
      <c r="G11" s="18">
        <f t="shared" ca="1" si="0"/>
        <v>0</v>
      </c>
      <c r="H11" s="18">
        <f t="shared" ca="1" si="0"/>
        <v>0</v>
      </c>
      <c r="I11" s="18">
        <f t="shared" ca="1" si="0"/>
        <v>0</v>
      </c>
      <c r="J11" s="18">
        <f t="shared" ca="1" si="0"/>
        <v>0</v>
      </c>
      <c r="K11" s="18">
        <f t="shared" ca="1" si="0"/>
        <v>0</v>
      </c>
      <c r="L11" s="18">
        <f t="shared" ca="1" si="0"/>
        <v>0</v>
      </c>
      <c r="M11" s="18">
        <f t="shared" ca="1" si="0"/>
        <v>0</v>
      </c>
      <c r="N11" s="18">
        <f t="shared" ca="1" si="0"/>
        <v>0</v>
      </c>
      <c r="O11" s="18">
        <f t="shared" ca="1" si="0"/>
        <v>0</v>
      </c>
      <c r="P11" s="18">
        <f t="shared" ca="1" si="0"/>
        <v>0</v>
      </c>
    </row>
    <row r="12" spans="1:16" x14ac:dyDescent="0.3">
      <c r="B12" t="s">
        <v>1886</v>
      </c>
      <c r="C12" t="s">
        <v>42</v>
      </c>
      <c r="D12" s="19"/>
      <c r="E12" s="19"/>
      <c r="F12" s="19"/>
      <c r="G12" s="19">
        <f t="shared" ref="G12:P12" ca="1" si="1">G11/F11-1</f>
        <v>0</v>
      </c>
      <c r="H12" s="19">
        <f t="shared" ca="1" si="1"/>
        <v>0</v>
      </c>
      <c r="I12" s="19">
        <f t="shared" ca="1" si="1"/>
        <v>0</v>
      </c>
      <c r="J12" s="19">
        <f t="shared" ca="1" si="1"/>
        <v>0</v>
      </c>
      <c r="K12" s="19">
        <f t="shared" ca="1" si="1"/>
        <v>0</v>
      </c>
      <c r="L12" s="19">
        <f t="shared" ca="1" si="1"/>
        <v>0</v>
      </c>
      <c r="M12" s="19">
        <f t="shared" ca="1" si="1"/>
        <v>0</v>
      </c>
      <c r="N12" s="19">
        <f t="shared" ca="1" si="1"/>
        <v>0</v>
      </c>
      <c r="O12" s="19">
        <f t="shared" ca="1" si="1"/>
        <v>0</v>
      </c>
      <c r="P12" s="19">
        <f t="shared" ca="1" si="1"/>
        <v>0</v>
      </c>
    </row>
    <row r="13" spans="1:16" x14ac:dyDescent="0.3">
      <c r="B13" s="5" t="s">
        <v>1887</v>
      </c>
      <c r="C13" s="5"/>
      <c r="D13" s="5"/>
      <c r="E13" s="5"/>
      <c r="F13" s="5"/>
      <c r="G13" s="5"/>
      <c r="H13" s="5"/>
      <c r="I13" s="5"/>
      <c r="J13" s="5"/>
      <c r="K13" s="5"/>
      <c r="L13" s="5"/>
      <c r="M13" s="5"/>
      <c r="N13" s="5"/>
      <c r="O13" s="5"/>
      <c r="P13" s="5"/>
    </row>
    <row r="14" spans="1:16" x14ac:dyDescent="0.3">
      <c r="B14" t="s">
        <v>105</v>
      </c>
      <c r="C14" t="s">
        <v>42</v>
      </c>
      <c r="D14" s="19"/>
      <c r="E14" s="19"/>
      <c r="F14" s="19"/>
      <c r="G14" s="19">
        <f ca="1">'02 Assumptions'!G29+'09 Escenarios'!$D$11</f>
        <v>0</v>
      </c>
      <c r="H14" s="19">
        <f ca="1">'02 Assumptions'!H29+'09 Escenarios'!$D$11</f>
        <v>0</v>
      </c>
      <c r="I14" s="19">
        <f ca="1">'02 Assumptions'!I29+'09 Escenarios'!$D$11</f>
        <v>0</v>
      </c>
      <c r="J14" s="19">
        <f ca="1">'02 Assumptions'!J29+'09 Escenarios'!$D$11</f>
        <v>0</v>
      </c>
      <c r="K14" s="19">
        <f ca="1">'02 Assumptions'!K29+'09 Escenarios'!$D$11</f>
        <v>0</v>
      </c>
      <c r="L14" s="19">
        <f ca="1">'02 Assumptions'!L29+'09 Escenarios'!$D$11</f>
        <v>0</v>
      </c>
      <c r="M14" s="19">
        <f ca="1">'02 Assumptions'!M29+'09 Escenarios'!$D$11</f>
        <v>0</v>
      </c>
      <c r="N14" s="19">
        <f ca="1">'02 Assumptions'!N29+'09 Escenarios'!$D$11</f>
        <v>0</v>
      </c>
      <c r="O14" s="19">
        <f ca="1">'02 Assumptions'!O29+'09 Escenarios'!$D$11</f>
        <v>0</v>
      </c>
      <c r="P14" s="19">
        <f ca="1">'02 Assumptions'!P29+'09 Escenarios'!$D$11</f>
        <v>0</v>
      </c>
    </row>
    <row r="15" spans="1:16" x14ac:dyDescent="0.3">
      <c r="B15" t="s">
        <v>1888</v>
      </c>
      <c r="C15" t="s">
        <v>95</v>
      </c>
      <c r="D15" s="17"/>
      <c r="E15" s="17"/>
      <c r="F15" s="17"/>
      <c r="G15" s="17">
        <f t="shared" ref="G15:P15" ca="1" si="2">G11*G14</f>
        <v>0</v>
      </c>
      <c r="H15" s="17">
        <f t="shared" ca="1" si="2"/>
        <v>0</v>
      </c>
      <c r="I15" s="17">
        <f t="shared" ca="1" si="2"/>
        <v>0</v>
      </c>
      <c r="J15" s="17">
        <f t="shared" ca="1" si="2"/>
        <v>0</v>
      </c>
      <c r="K15" s="17">
        <f t="shared" ca="1" si="2"/>
        <v>0</v>
      </c>
      <c r="L15" s="17">
        <f t="shared" ca="1" si="2"/>
        <v>0</v>
      </c>
      <c r="M15" s="17">
        <f t="shared" ca="1" si="2"/>
        <v>0</v>
      </c>
      <c r="N15" s="17">
        <f t="shared" ca="1" si="2"/>
        <v>0</v>
      </c>
      <c r="O15" s="17">
        <f t="shared" ca="1" si="2"/>
        <v>0</v>
      </c>
      <c r="P15" s="17">
        <f t="shared" ca="1" si="2"/>
        <v>0</v>
      </c>
    </row>
    <row r="16" spans="1:16" x14ac:dyDescent="0.3">
      <c r="B16" t="s">
        <v>410</v>
      </c>
      <c r="C16" t="s">
        <v>95</v>
      </c>
      <c r="D16" s="17"/>
      <c r="E16" s="17"/>
      <c r="F16" s="17"/>
      <c r="G16" s="17">
        <f t="shared" ref="G16:P16" ca="1" si="3">G11-G15</f>
        <v>0</v>
      </c>
      <c r="H16" s="17">
        <f t="shared" ca="1" si="3"/>
        <v>0</v>
      </c>
      <c r="I16" s="17">
        <f t="shared" ca="1" si="3"/>
        <v>0</v>
      </c>
      <c r="J16" s="17">
        <f t="shared" ca="1" si="3"/>
        <v>0</v>
      </c>
      <c r="K16" s="17">
        <f t="shared" ca="1" si="3"/>
        <v>0</v>
      </c>
      <c r="L16" s="17">
        <f t="shared" ca="1" si="3"/>
        <v>0</v>
      </c>
      <c r="M16" s="17">
        <f t="shared" ca="1" si="3"/>
        <v>0</v>
      </c>
      <c r="N16" s="17">
        <f t="shared" ca="1" si="3"/>
        <v>0</v>
      </c>
      <c r="O16" s="17">
        <f t="shared" ca="1" si="3"/>
        <v>0</v>
      </c>
      <c r="P16" s="17">
        <f t="shared" ca="1" si="3"/>
        <v>0</v>
      </c>
    </row>
    <row r="17" spans="2:16" x14ac:dyDescent="0.3">
      <c r="B17" t="s">
        <v>106</v>
      </c>
      <c r="C17" t="s">
        <v>95</v>
      </c>
      <c r="D17" s="17"/>
      <c r="E17" s="17"/>
      <c r="F17" s="17"/>
      <c r="G17" s="17">
        <f ca="1">G11*('02 Assumptions'!G31+'09 Escenarios'!$D$12*'02 Assumptions'!$Q$32)</f>
        <v>0</v>
      </c>
      <c r="H17" s="17">
        <f ca="1">H11*('02 Assumptions'!H31+'09 Escenarios'!$D$12*'02 Assumptions'!$Q$32)</f>
        <v>0</v>
      </c>
      <c r="I17" s="17">
        <f ca="1">I11*('02 Assumptions'!I31+'09 Escenarios'!$D$12*'02 Assumptions'!$Q$32)</f>
        <v>0</v>
      </c>
      <c r="J17" s="17">
        <f ca="1">J11*('02 Assumptions'!J31+'09 Escenarios'!$D$12*'02 Assumptions'!$Q$32)</f>
        <v>0</v>
      </c>
      <c r="K17" s="17">
        <f ca="1">K11*('02 Assumptions'!K31+'09 Escenarios'!$D$12*'02 Assumptions'!$Q$32)</f>
        <v>0</v>
      </c>
      <c r="L17" s="17">
        <f ca="1">L11*('02 Assumptions'!L31+'09 Escenarios'!$D$12*'02 Assumptions'!$Q$32)</f>
        <v>0</v>
      </c>
      <c r="M17" s="17">
        <f ca="1">M11*('02 Assumptions'!M31+'09 Escenarios'!$D$12*'02 Assumptions'!$Q$32)</f>
        <v>0</v>
      </c>
      <c r="N17" s="17">
        <f ca="1">N11*('02 Assumptions'!N31+'09 Escenarios'!$D$12*'02 Assumptions'!$Q$32)</f>
        <v>0</v>
      </c>
      <c r="O17" s="17">
        <f ca="1">O11*('02 Assumptions'!O31+'09 Escenarios'!$D$12*'02 Assumptions'!$Q$32)</f>
        <v>0</v>
      </c>
      <c r="P17" s="17">
        <f ca="1">P11*('02 Assumptions'!P31+'09 Escenarios'!$D$12*'02 Assumptions'!$Q$32)</f>
        <v>0</v>
      </c>
    </row>
    <row r="18" spans="2:16" x14ac:dyDescent="0.3">
      <c r="B18" t="s">
        <v>1889</v>
      </c>
      <c r="C18" t="s">
        <v>95</v>
      </c>
      <c r="D18" s="17"/>
      <c r="E18" s="17"/>
      <c r="F18" s="17"/>
      <c r="G18" s="17">
        <f ca="1">G11*('02 Assumptions'!G33+'09 Escenarios'!$D$12*'02 Assumptions'!$Q$34)</f>
        <v>0</v>
      </c>
      <c r="H18" s="17">
        <f ca="1">H11*('02 Assumptions'!H33+'09 Escenarios'!$D$12*'02 Assumptions'!$Q$34)</f>
        <v>0</v>
      </c>
      <c r="I18" s="17">
        <f ca="1">I11*('02 Assumptions'!I33+'09 Escenarios'!$D$12*'02 Assumptions'!$Q$34)</f>
        <v>0</v>
      </c>
      <c r="J18" s="17">
        <f ca="1">J11*('02 Assumptions'!J33+'09 Escenarios'!$D$12*'02 Assumptions'!$Q$34)</f>
        <v>0</v>
      </c>
      <c r="K18" s="17">
        <f ca="1">K11*('02 Assumptions'!K33+'09 Escenarios'!$D$12*'02 Assumptions'!$Q$34)</f>
        <v>0</v>
      </c>
      <c r="L18" s="17">
        <f ca="1">L11*('02 Assumptions'!L33+'09 Escenarios'!$D$12*'02 Assumptions'!$Q$34)</f>
        <v>0</v>
      </c>
      <c r="M18" s="17">
        <f ca="1">M11*('02 Assumptions'!M33+'09 Escenarios'!$D$12*'02 Assumptions'!$Q$34)</f>
        <v>0</v>
      </c>
      <c r="N18" s="17">
        <f ca="1">N11*('02 Assumptions'!N33+'09 Escenarios'!$D$12*'02 Assumptions'!$Q$34)</f>
        <v>0</v>
      </c>
      <c r="O18" s="17">
        <f ca="1">O11*('02 Assumptions'!O33+'09 Escenarios'!$D$12*'02 Assumptions'!$Q$34)</f>
        <v>0</v>
      </c>
      <c r="P18" s="17">
        <f ca="1">P11*('02 Assumptions'!P33+'09 Escenarios'!$D$12*'02 Assumptions'!$Q$34)</f>
        <v>0</v>
      </c>
    </row>
    <row r="19" spans="2:16" x14ac:dyDescent="0.3">
      <c r="B19" t="s">
        <v>1890</v>
      </c>
      <c r="C19" t="s">
        <v>95</v>
      </c>
      <c r="D19" s="17"/>
      <c r="E19" s="17"/>
      <c r="F19" s="17"/>
      <c r="G19" s="17">
        <f ca="1">G11*('02 Assumptions'!G35+'09 Escenarios'!$D$12*'02 Assumptions'!$Q$36)</f>
        <v>0</v>
      </c>
      <c r="H19" s="17">
        <f ca="1">H11*('02 Assumptions'!H35+'09 Escenarios'!$D$12*'02 Assumptions'!$Q$36)</f>
        <v>0</v>
      </c>
      <c r="I19" s="17">
        <f ca="1">I11*('02 Assumptions'!I35+'09 Escenarios'!$D$12*'02 Assumptions'!$Q$36)</f>
        <v>0</v>
      </c>
      <c r="J19" s="17">
        <f ca="1">J11*('02 Assumptions'!J35+'09 Escenarios'!$D$12*'02 Assumptions'!$Q$36)</f>
        <v>0</v>
      </c>
      <c r="K19" s="17">
        <f ca="1">K11*('02 Assumptions'!K35+'09 Escenarios'!$D$12*'02 Assumptions'!$Q$36)</f>
        <v>0</v>
      </c>
      <c r="L19" s="17">
        <f ca="1">L11*('02 Assumptions'!L35+'09 Escenarios'!$D$12*'02 Assumptions'!$Q$36)</f>
        <v>0</v>
      </c>
      <c r="M19" s="17">
        <f ca="1">M11*('02 Assumptions'!M35+'09 Escenarios'!$D$12*'02 Assumptions'!$Q$36)</f>
        <v>0</v>
      </c>
      <c r="N19" s="17">
        <f ca="1">N11*('02 Assumptions'!N35+'09 Escenarios'!$D$12*'02 Assumptions'!$Q$36)</f>
        <v>0</v>
      </c>
      <c r="O19" s="17">
        <f ca="1">O11*('02 Assumptions'!O35+'09 Escenarios'!$D$12*'02 Assumptions'!$Q$36)</f>
        <v>0</v>
      </c>
      <c r="P19" s="17">
        <f ca="1">P11*('02 Assumptions'!P35+'09 Escenarios'!$D$12*'02 Assumptions'!$Q$36)</f>
        <v>0</v>
      </c>
    </row>
    <row r="20" spans="2:16" x14ac:dyDescent="0.3">
      <c r="B20" t="s">
        <v>109</v>
      </c>
      <c r="C20" t="s">
        <v>95</v>
      </c>
      <c r="D20" s="17"/>
      <c r="E20" s="17"/>
      <c r="F20" s="17"/>
      <c r="G20" s="17">
        <f ca="1">'02 Assumptions'!G37</f>
        <v>0</v>
      </c>
      <c r="H20" s="17">
        <f ca="1">'02 Assumptions'!H37</f>
        <v>0</v>
      </c>
      <c r="I20" s="17">
        <f ca="1">'02 Assumptions'!I37</f>
        <v>0</v>
      </c>
      <c r="J20" s="17">
        <f ca="1">'02 Assumptions'!J37</f>
        <v>0</v>
      </c>
      <c r="K20" s="17">
        <f ca="1">'02 Assumptions'!K37</f>
        <v>0</v>
      </c>
      <c r="L20" s="17">
        <f ca="1">'02 Assumptions'!L37</f>
        <v>0</v>
      </c>
      <c r="M20" s="17">
        <f ca="1">'02 Assumptions'!M37</f>
        <v>0</v>
      </c>
      <c r="N20" s="17">
        <f ca="1">'02 Assumptions'!N37</f>
        <v>0</v>
      </c>
      <c r="O20" s="17">
        <f ca="1">'02 Assumptions'!O37</f>
        <v>0</v>
      </c>
      <c r="P20" s="17">
        <f ca="1">'02 Assumptions'!P37</f>
        <v>0</v>
      </c>
    </row>
    <row r="21" spans="2:16" x14ac:dyDescent="0.3">
      <c r="B21" t="s">
        <v>348</v>
      </c>
      <c r="C21" t="s">
        <v>95</v>
      </c>
      <c r="D21" s="17"/>
      <c r="E21" s="17"/>
      <c r="F21" s="17"/>
      <c r="G21" s="17">
        <f ca="1">'02 Assumptions'!G38</f>
        <v>0</v>
      </c>
      <c r="H21" s="17">
        <f ca="1">'02 Assumptions'!H38</f>
        <v>0</v>
      </c>
      <c r="I21" s="17">
        <f ca="1">'02 Assumptions'!I38</f>
        <v>0</v>
      </c>
      <c r="J21" s="17">
        <f ca="1">'02 Assumptions'!J38</f>
        <v>0</v>
      </c>
      <c r="K21" s="17">
        <f ca="1">'02 Assumptions'!K38</f>
        <v>0</v>
      </c>
      <c r="L21" s="17">
        <f ca="1">'02 Assumptions'!L38</f>
        <v>0</v>
      </c>
      <c r="M21" s="17">
        <f ca="1">'02 Assumptions'!M38</f>
        <v>0</v>
      </c>
      <c r="N21" s="17">
        <f ca="1">'02 Assumptions'!N38</f>
        <v>0</v>
      </c>
      <c r="O21" s="17">
        <f ca="1">'02 Assumptions'!O38</f>
        <v>0</v>
      </c>
      <c r="P21" s="17">
        <f ca="1">'02 Assumptions'!P38</f>
        <v>0</v>
      </c>
    </row>
    <row r="22" spans="2:16" x14ac:dyDescent="0.3">
      <c r="B22" t="s">
        <v>1891</v>
      </c>
      <c r="C22" t="s">
        <v>95</v>
      </c>
      <c r="D22" s="17"/>
      <c r="E22" s="17"/>
      <c r="F22" s="17"/>
      <c r="G22" s="17">
        <f t="shared" ref="G22:P22" ca="1" si="4">SUM(G17:G21)</f>
        <v>0</v>
      </c>
      <c r="H22" s="17">
        <f t="shared" ca="1" si="4"/>
        <v>0</v>
      </c>
      <c r="I22" s="17">
        <f t="shared" ca="1" si="4"/>
        <v>0</v>
      </c>
      <c r="J22" s="17">
        <f t="shared" ca="1" si="4"/>
        <v>0</v>
      </c>
      <c r="K22" s="17">
        <f t="shared" ca="1" si="4"/>
        <v>0</v>
      </c>
      <c r="L22" s="17">
        <f t="shared" ca="1" si="4"/>
        <v>0</v>
      </c>
      <c r="M22" s="17">
        <f t="shared" ca="1" si="4"/>
        <v>0</v>
      </c>
      <c r="N22" s="17">
        <f t="shared" ca="1" si="4"/>
        <v>0</v>
      </c>
      <c r="O22" s="17">
        <f t="shared" ca="1" si="4"/>
        <v>0</v>
      </c>
      <c r="P22" s="17">
        <f t="shared" ca="1" si="4"/>
        <v>0</v>
      </c>
    </row>
    <row r="23" spans="2:16" x14ac:dyDescent="0.3">
      <c r="B23" s="3" t="s">
        <v>415</v>
      </c>
      <c r="C23" s="3" t="s">
        <v>95</v>
      </c>
      <c r="D23" s="18"/>
      <c r="E23" s="18"/>
      <c r="F23" s="18"/>
      <c r="G23" s="18">
        <f t="shared" ref="G23:P23" ca="1" si="5">G15-G22</f>
        <v>0</v>
      </c>
      <c r="H23" s="18">
        <f t="shared" ca="1" si="5"/>
        <v>0</v>
      </c>
      <c r="I23" s="18">
        <f t="shared" ca="1" si="5"/>
        <v>0</v>
      </c>
      <c r="J23" s="18">
        <f t="shared" ca="1" si="5"/>
        <v>0</v>
      </c>
      <c r="K23" s="18">
        <f t="shared" ca="1" si="5"/>
        <v>0</v>
      </c>
      <c r="L23" s="18">
        <f t="shared" ca="1" si="5"/>
        <v>0</v>
      </c>
      <c r="M23" s="18">
        <f t="shared" ca="1" si="5"/>
        <v>0</v>
      </c>
      <c r="N23" s="18">
        <f t="shared" ca="1" si="5"/>
        <v>0</v>
      </c>
      <c r="O23" s="18">
        <f t="shared" ca="1" si="5"/>
        <v>0</v>
      </c>
      <c r="P23" s="18">
        <f t="shared" ca="1" si="5"/>
        <v>0</v>
      </c>
    </row>
    <row r="24" spans="2:16" x14ac:dyDescent="0.3">
      <c r="B24" s="3" t="s">
        <v>1892</v>
      </c>
      <c r="C24" s="3" t="s">
        <v>95</v>
      </c>
      <c r="D24" s="18"/>
      <c r="E24" s="18"/>
      <c r="F24" s="18"/>
      <c r="G24" s="18">
        <f t="shared" ref="G24:P24" ca="1" si="6">G23+G21</f>
        <v>0</v>
      </c>
      <c r="H24" s="18">
        <f t="shared" ca="1" si="6"/>
        <v>0</v>
      </c>
      <c r="I24" s="18">
        <f t="shared" ca="1" si="6"/>
        <v>0</v>
      </c>
      <c r="J24" s="18">
        <f t="shared" ca="1" si="6"/>
        <v>0</v>
      </c>
      <c r="K24" s="18">
        <f t="shared" ca="1" si="6"/>
        <v>0</v>
      </c>
      <c r="L24" s="18">
        <f t="shared" ca="1" si="6"/>
        <v>0</v>
      </c>
      <c r="M24" s="18">
        <f t="shared" ca="1" si="6"/>
        <v>0</v>
      </c>
      <c r="N24" s="18">
        <f t="shared" ca="1" si="6"/>
        <v>0</v>
      </c>
      <c r="O24" s="18">
        <f t="shared" ca="1" si="6"/>
        <v>0</v>
      </c>
      <c r="P24" s="18">
        <f t="shared" ca="1" si="6"/>
        <v>0</v>
      </c>
    </row>
    <row r="25" spans="2:16" x14ac:dyDescent="0.3">
      <c r="B25" t="s">
        <v>417</v>
      </c>
      <c r="C25" t="s">
        <v>42</v>
      </c>
      <c r="D25" s="19"/>
      <c r="E25" s="19"/>
      <c r="F25" s="19"/>
      <c r="G25" s="19">
        <f t="shared" ref="G25:P25" ca="1" si="7">G24/G11</f>
        <v>0</v>
      </c>
      <c r="H25" s="19">
        <f t="shared" ca="1" si="7"/>
        <v>0</v>
      </c>
      <c r="I25" s="19">
        <f t="shared" ca="1" si="7"/>
        <v>0</v>
      </c>
      <c r="J25" s="19">
        <f t="shared" ca="1" si="7"/>
        <v>0</v>
      </c>
      <c r="K25" s="19">
        <f t="shared" ca="1" si="7"/>
        <v>0</v>
      </c>
      <c r="L25" s="19">
        <f t="shared" ca="1" si="7"/>
        <v>0</v>
      </c>
      <c r="M25" s="19">
        <f t="shared" ca="1" si="7"/>
        <v>0</v>
      </c>
      <c r="N25" s="19">
        <f t="shared" ca="1" si="7"/>
        <v>0</v>
      </c>
      <c r="O25" s="19">
        <f t="shared" ca="1" si="7"/>
        <v>0</v>
      </c>
      <c r="P25" s="19">
        <f t="shared" ca="1" si="7"/>
        <v>0</v>
      </c>
    </row>
    <row r="26" spans="2:16" x14ac:dyDescent="0.3">
      <c r="B26" s="5" t="s">
        <v>349</v>
      </c>
      <c r="C26" s="5"/>
      <c r="D26" s="5"/>
      <c r="E26" s="5"/>
      <c r="F26" s="5"/>
      <c r="G26" s="5"/>
      <c r="H26" s="5"/>
      <c r="I26" s="5"/>
      <c r="J26" s="5"/>
      <c r="K26" s="5"/>
      <c r="L26" s="5"/>
      <c r="M26" s="5"/>
      <c r="N26" s="5"/>
      <c r="O26" s="5"/>
      <c r="P26" s="5"/>
    </row>
    <row r="27" spans="2:16" x14ac:dyDescent="0.3">
      <c r="B27" t="s">
        <v>419</v>
      </c>
      <c r="C27" t="s">
        <v>95</v>
      </c>
      <c r="D27" s="17"/>
      <c r="E27" s="17"/>
      <c r="F27" s="17"/>
      <c r="G27" s="17">
        <f t="shared" ref="G27:P27" ca="1" si="8">F30</f>
        <v>0</v>
      </c>
      <c r="H27" s="17">
        <f t="shared" ca="1" si="8"/>
        <v>0</v>
      </c>
      <c r="I27" s="17">
        <f t="shared" ca="1" si="8"/>
        <v>0</v>
      </c>
      <c r="J27" s="17">
        <f t="shared" ca="1" si="8"/>
        <v>0</v>
      </c>
      <c r="K27" s="17">
        <f t="shared" ca="1" si="8"/>
        <v>0</v>
      </c>
      <c r="L27" s="17">
        <f t="shared" ca="1" si="8"/>
        <v>0</v>
      </c>
      <c r="M27" s="17">
        <f t="shared" ca="1" si="8"/>
        <v>0</v>
      </c>
      <c r="N27" s="17">
        <f t="shared" ca="1" si="8"/>
        <v>0</v>
      </c>
      <c r="O27" s="17">
        <f t="shared" ca="1" si="8"/>
        <v>0</v>
      </c>
      <c r="P27" s="17">
        <f t="shared" ca="1" si="8"/>
        <v>0</v>
      </c>
    </row>
    <row r="28" spans="2:16" x14ac:dyDescent="0.3">
      <c r="B28" t="s">
        <v>206</v>
      </c>
      <c r="C28" t="s">
        <v>95</v>
      </c>
      <c r="D28" s="17"/>
      <c r="E28" s="17"/>
      <c r="F28" s="17"/>
      <c r="G28" s="17">
        <f ca="1">G11*'02 Assumptions'!G41*'09 Escenarios'!$D$13</f>
        <v>0</v>
      </c>
      <c r="H28" s="17">
        <f ca="1">H11*'02 Assumptions'!H41*'09 Escenarios'!$D$13</f>
        <v>0</v>
      </c>
      <c r="I28" s="17">
        <f ca="1">I11*'02 Assumptions'!I41*'09 Escenarios'!$D$13</f>
        <v>0</v>
      </c>
      <c r="J28" s="17">
        <f ca="1">J11*'02 Assumptions'!J41*'09 Escenarios'!$D$13</f>
        <v>0</v>
      </c>
      <c r="K28" s="17">
        <f ca="1">K11*'02 Assumptions'!K41*'09 Escenarios'!$D$13</f>
        <v>0</v>
      </c>
      <c r="L28" s="17">
        <f ca="1">L11*'02 Assumptions'!L41*'09 Escenarios'!$D$13</f>
        <v>0</v>
      </c>
      <c r="M28" s="17">
        <f ca="1">M11*'02 Assumptions'!M41*'09 Escenarios'!$D$13</f>
        <v>0</v>
      </c>
      <c r="N28" s="17">
        <f ca="1">N11*'02 Assumptions'!N41*'09 Escenarios'!$D$13</f>
        <v>0</v>
      </c>
      <c r="O28" s="17">
        <f ca="1">O11*'02 Assumptions'!O41*'09 Escenarios'!$D$13</f>
        <v>0</v>
      </c>
      <c r="P28" s="17">
        <f ca="1">P11*'02 Assumptions'!P41*'09 Escenarios'!$D$13</f>
        <v>0</v>
      </c>
    </row>
    <row r="29" spans="2:16" x14ac:dyDescent="0.3">
      <c r="B29" t="s">
        <v>163</v>
      </c>
      <c r="C29" t="s">
        <v>95</v>
      </c>
      <c r="D29" s="17"/>
      <c r="E29" s="17"/>
      <c r="F29" s="17"/>
      <c r="G29" s="17">
        <f ca="1">(G27+G28/2)/'02 Assumptions'!$C$43</f>
        <v>0</v>
      </c>
      <c r="H29" s="17">
        <f ca="1">(H27+H28/2)/'02 Assumptions'!$C$43</f>
        <v>0</v>
      </c>
      <c r="I29" s="17">
        <f ca="1">(I27+I28/2)/'02 Assumptions'!$C$43</f>
        <v>0</v>
      </c>
      <c r="J29" s="17">
        <f ca="1">(J27+J28/2)/'02 Assumptions'!$C$43</f>
        <v>0</v>
      </c>
      <c r="K29" s="17">
        <f ca="1">(K27+K28/2)/'02 Assumptions'!$C$43</f>
        <v>0</v>
      </c>
      <c r="L29" s="17">
        <f ca="1">(L27+L28/2)/'02 Assumptions'!$C$43</f>
        <v>0</v>
      </c>
      <c r="M29" s="17">
        <f ca="1">(M27+M28/2)/'02 Assumptions'!$C$43</f>
        <v>0</v>
      </c>
      <c r="N29" s="17">
        <f ca="1">(N27+N28/2)/'02 Assumptions'!$C$43</f>
        <v>0</v>
      </c>
      <c r="O29" s="17">
        <f ca="1">(O27+O28/2)/'02 Assumptions'!$C$43</f>
        <v>0</v>
      </c>
      <c r="P29" s="17">
        <f ca="1">(P27+P28/2)/'02 Assumptions'!$C$43</f>
        <v>0</v>
      </c>
    </row>
    <row r="30" spans="2:16" x14ac:dyDescent="0.3">
      <c r="B30" t="s">
        <v>421</v>
      </c>
      <c r="C30" t="s">
        <v>95</v>
      </c>
      <c r="D30" s="17"/>
      <c r="E30" s="17"/>
      <c r="F30" s="17">
        <f ca="1">'03 Historical'!F48</f>
        <v>0</v>
      </c>
      <c r="G30" s="17">
        <f t="shared" ref="G30:P30" ca="1" si="9">G27+G28-G29</f>
        <v>0</v>
      </c>
      <c r="H30" s="17">
        <f t="shared" ca="1" si="9"/>
        <v>0</v>
      </c>
      <c r="I30" s="17">
        <f t="shared" ca="1" si="9"/>
        <v>0</v>
      </c>
      <c r="J30" s="17">
        <f t="shared" ca="1" si="9"/>
        <v>0</v>
      </c>
      <c r="K30" s="17">
        <f t="shared" ca="1" si="9"/>
        <v>0</v>
      </c>
      <c r="L30" s="17">
        <f t="shared" ca="1" si="9"/>
        <v>0</v>
      </c>
      <c r="M30" s="17">
        <f t="shared" ca="1" si="9"/>
        <v>0</v>
      </c>
      <c r="N30" s="17">
        <f t="shared" ca="1" si="9"/>
        <v>0</v>
      </c>
      <c r="O30" s="17">
        <f t="shared" ca="1" si="9"/>
        <v>0</v>
      </c>
      <c r="P30" s="17">
        <f t="shared" ca="1" si="9"/>
        <v>0</v>
      </c>
    </row>
    <row r="31" spans="2:16" x14ac:dyDescent="0.3">
      <c r="B31" t="s">
        <v>1893</v>
      </c>
      <c r="C31" t="s">
        <v>95</v>
      </c>
      <c r="D31" s="17"/>
      <c r="E31" s="17"/>
      <c r="F31" s="17"/>
      <c r="G31" s="17">
        <f t="shared" ref="G31:P31" ca="1" si="10">G29+G20</f>
        <v>0</v>
      </c>
      <c r="H31" s="17">
        <f t="shared" ca="1" si="10"/>
        <v>0</v>
      </c>
      <c r="I31" s="17">
        <f t="shared" ca="1" si="10"/>
        <v>0</v>
      </c>
      <c r="J31" s="17">
        <f t="shared" ca="1" si="10"/>
        <v>0</v>
      </c>
      <c r="K31" s="17">
        <f t="shared" ca="1" si="10"/>
        <v>0</v>
      </c>
      <c r="L31" s="17">
        <f t="shared" ca="1" si="10"/>
        <v>0</v>
      </c>
      <c r="M31" s="17">
        <f t="shared" ca="1" si="10"/>
        <v>0</v>
      </c>
      <c r="N31" s="17">
        <f t="shared" ca="1" si="10"/>
        <v>0</v>
      </c>
      <c r="O31" s="17">
        <f t="shared" ca="1" si="10"/>
        <v>0</v>
      </c>
      <c r="P31" s="17">
        <f t="shared" ca="1" si="10"/>
        <v>0</v>
      </c>
    </row>
    <row r="32" spans="2:16" x14ac:dyDescent="0.3">
      <c r="B32" s="3" t="s">
        <v>1894</v>
      </c>
      <c r="C32" s="3" t="s">
        <v>95</v>
      </c>
      <c r="D32" s="18"/>
      <c r="E32" s="18"/>
      <c r="F32" s="18"/>
      <c r="G32" s="18">
        <f t="shared" ref="G32:P32" ca="1" si="11">G24+G31</f>
        <v>0</v>
      </c>
      <c r="H32" s="18">
        <f t="shared" ca="1" si="11"/>
        <v>0</v>
      </c>
      <c r="I32" s="18">
        <f t="shared" ca="1" si="11"/>
        <v>0</v>
      </c>
      <c r="J32" s="18">
        <f t="shared" ca="1" si="11"/>
        <v>0</v>
      </c>
      <c r="K32" s="18">
        <f t="shared" ca="1" si="11"/>
        <v>0</v>
      </c>
      <c r="L32" s="18">
        <f t="shared" ca="1" si="11"/>
        <v>0</v>
      </c>
      <c r="M32" s="18">
        <f t="shared" ca="1" si="11"/>
        <v>0</v>
      </c>
      <c r="N32" s="18">
        <f t="shared" ca="1" si="11"/>
        <v>0</v>
      </c>
      <c r="O32" s="18">
        <f t="shared" ca="1" si="11"/>
        <v>0</v>
      </c>
      <c r="P32" s="18">
        <f t="shared" ca="1" si="11"/>
        <v>0</v>
      </c>
    </row>
    <row r="33" spans="2:16" x14ac:dyDescent="0.3">
      <c r="B33" s="5" t="s">
        <v>1895</v>
      </c>
      <c r="C33" s="5"/>
      <c r="D33" s="5"/>
      <c r="E33" s="5"/>
      <c r="F33" s="5"/>
      <c r="G33" s="5"/>
      <c r="H33" s="5"/>
      <c r="I33" s="5"/>
      <c r="J33" s="5"/>
      <c r="K33" s="5"/>
      <c r="L33" s="5"/>
      <c r="M33" s="5"/>
      <c r="N33" s="5"/>
      <c r="O33" s="5"/>
      <c r="P33" s="5"/>
    </row>
    <row r="34" spans="2:16" x14ac:dyDescent="0.3">
      <c r="B34" t="s">
        <v>1896</v>
      </c>
      <c r="C34" t="s">
        <v>95</v>
      </c>
      <c r="D34" s="17"/>
      <c r="E34" s="17"/>
      <c r="F34" s="17"/>
      <c r="G34" s="17">
        <f ca="1">('02 Assumptions'!G47+'09 Escenarios'!$D$14)/365*G11</f>
        <v>0</v>
      </c>
      <c r="H34" s="17">
        <f ca="1">('02 Assumptions'!H47+'09 Escenarios'!$D$14)/365*H11</f>
        <v>0</v>
      </c>
      <c r="I34" s="17">
        <f ca="1">('02 Assumptions'!I47+'09 Escenarios'!$D$14)/365*I11</f>
        <v>0</v>
      </c>
      <c r="J34" s="17">
        <f ca="1">('02 Assumptions'!J47+'09 Escenarios'!$D$14)/365*J11</f>
        <v>0</v>
      </c>
      <c r="K34" s="17">
        <f ca="1">('02 Assumptions'!K47+'09 Escenarios'!$D$14)/365*K11</f>
        <v>0</v>
      </c>
      <c r="L34" s="17">
        <f ca="1">('02 Assumptions'!L47+'09 Escenarios'!$D$14)/365*L11</f>
        <v>0</v>
      </c>
      <c r="M34" s="17">
        <f ca="1">('02 Assumptions'!M47+'09 Escenarios'!$D$14)/365*M11</f>
        <v>0</v>
      </c>
      <c r="N34" s="17">
        <f ca="1">('02 Assumptions'!N47+'09 Escenarios'!$D$14)/365*N11</f>
        <v>0</v>
      </c>
      <c r="O34" s="17">
        <f ca="1">('02 Assumptions'!O47+'09 Escenarios'!$D$14)/365*O11</f>
        <v>0</v>
      </c>
      <c r="P34" s="17">
        <f ca="1">('02 Assumptions'!P47+'09 Escenarios'!$D$14)/365*P11</f>
        <v>0</v>
      </c>
    </row>
    <row r="35" spans="2:16" x14ac:dyDescent="0.3">
      <c r="B35" t="s">
        <v>426</v>
      </c>
      <c r="C35" t="s">
        <v>95</v>
      </c>
      <c r="D35" s="17"/>
      <c r="E35" s="17"/>
      <c r="F35" s="17"/>
      <c r="G35" s="17">
        <f ca="1">G11*'02 Assumptions'!G51</f>
        <v>0</v>
      </c>
      <c r="H35" s="17">
        <f ca="1">H11*'02 Assumptions'!H51</f>
        <v>0</v>
      </c>
      <c r="I35" s="17">
        <f ca="1">I11*'02 Assumptions'!I51</f>
        <v>0</v>
      </c>
      <c r="J35" s="17">
        <f ca="1">J11*'02 Assumptions'!J51</f>
        <v>0</v>
      </c>
      <c r="K35" s="17">
        <f ca="1">K11*'02 Assumptions'!K51</f>
        <v>0</v>
      </c>
      <c r="L35" s="17">
        <f ca="1">L11*'02 Assumptions'!L51</f>
        <v>0</v>
      </c>
      <c r="M35" s="17">
        <f ca="1">M11*'02 Assumptions'!M51</f>
        <v>0</v>
      </c>
      <c r="N35" s="17">
        <f ca="1">N11*'02 Assumptions'!N51</f>
        <v>0</v>
      </c>
      <c r="O35" s="17">
        <f ca="1">O11*'02 Assumptions'!O51</f>
        <v>0</v>
      </c>
      <c r="P35" s="17">
        <f ca="1">P11*'02 Assumptions'!P51</f>
        <v>0</v>
      </c>
    </row>
    <row r="36" spans="2:16" x14ac:dyDescent="0.3">
      <c r="B36" t="s">
        <v>142</v>
      </c>
      <c r="C36" t="s">
        <v>95</v>
      </c>
      <c r="D36" s="17"/>
      <c r="E36" s="17"/>
      <c r="F36" s="17"/>
      <c r="G36" s="17">
        <f ca="1">(G16+G28)*'02 Assumptions'!G49</f>
        <v>0</v>
      </c>
      <c r="H36" s="17">
        <f ca="1">(H16+H28)*'02 Assumptions'!H49</f>
        <v>0</v>
      </c>
      <c r="I36" s="17">
        <f ca="1">(I16+I28)*'02 Assumptions'!I49</f>
        <v>0</v>
      </c>
      <c r="J36" s="17">
        <f ca="1">(J16+J28)*'02 Assumptions'!J49</f>
        <v>0</v>
      </c>
      <c r="K36" s="17">
        <f ca="1">(K16+K28)*'02 Assumptions'!K49</f>
        <v>0</v>
      </c>
      <c r="L36" s="17">
        <f ca="1">(L16+L28)*'02 Assumptions'!L49</f>
        <v>0</v>
      </c>
      <c r="M36" s="17">
        <f ca="1">(M16+M28)*'02 Assumptions'!M49</f>
        <v>0</v>
      </c>
      <c r="N36" s="17">
        <f ca="1">(N16+N28)*'02 Assumptions'!N49</f>
        <v>0</v>
      </c>
      <c r="O36" s="17">
        <f ca="1">(O16+O28)*'02 Assumptions'!O49</f>
        <v>0</v>
      </c>
      <c r="P36" s="17">
        <f ca="1">(P16+P28)*'02 Assumptions'!P49</f>
        <v>0</v>
      </c>
    </row>
    <row r="37" spans="2:16" x14ac:dyDescent="0.3">
      <c r="B37" t="s">
        <v>427</v>
      </c>
      <c r="C37" t="s">
        <v>95</v>
      </c>
      <c r="D37" s="17"/>
      <c r="E37" s="17"/>
      <c r="F37" s="17"/>
      <c r="G37" s="17">
        <f ca="1">G11*'02 Assumptions'!G52</f>
        <v>0</v>
      </c>
      <c r="H37" s="17">
        <f ca="1">H11*'02 Assumptions'!H52</f>
        <v>0</v>
      </c>
      <c r="I37" s="17">
        <f ca="1">I11*'02 Assumptions'!I52</f>
        <v>0</v>
      </c>
      <c r="J37" s="17">
        <f ca="1">J11*'02 Assumptions'!J52</f>
        <v>0</v>
      </c>
      <c r="K37" s="17">
        <f ca="1">K11*'02 Assumptions'!K52</f>
        <v>0</v>
      </c>
      <c r="L37" s="17">
        <f ca="1">L11*'02 Assumptions'!L52</f>
        <v>0</v>
      </c>
      <c r="M37" s="17">
        <f ca="1">M11*'02 Assumptions'!M52</f>
        <v>0</v>
      </c>
      <c r="N37" s="17">
        <f ca="1">N11*'02 Assumptions'!N52</f>
        <v>0</v>
      </c>
      <c r="O37" s="17">
        <f ca="1">O11*'02 Assumptions'!O52</f>
        <v>0</v>
      </c>
      <c r="P37" s="17">
        <f ca="1">P11*'02 Assumptions'!P52</f>
        <v>0</v>
      </c>
    </row>
    <row r="38" spans="2:16" x14ac:dyDescent="0.3">
      <c r="B38" t="s">
        <v>144</v>
      </c>
      <c r="C38" t="s">
        <v>95</v>
      </c>
      <c r="D38" s="17"/>
      <c r="E38" s="17"/>
      <c r="F38" s="17"/>
      <c r="G38" s="17">
        <f ca="1">G11*'02 Assumptions'!G50</f>
        <v>0</v>
      </c>
      <c r="H38" s="17">
        <f ca="1">H11*'02 Assumptions'!H50</f>
        <v>0</v>
      </c>
      <c r="I38" s="17">
        <f ca="1">I11*'02 Assumptions'!I50</f>
        <v>0</v>
      </c>
      <c r="J38" s="17">
        <f ca="1">J11*'02 Assumptions'!J50</f>
        <v>0</v>
      </c>
      <c r="K38" s="17">
        <f ca="1">K11*'02 Assumptions'!K50</f>
        <v>0</v>
      </c>
      <c r="L38" s="17">
        <f ca="1">L11*'02 Assumptions'!L50</f>
        <v>0</v>
      </c>
      <c r="M38" s="17">
        <f ca="1">M11*'02 Assumptions'!M50</f>
        <v>0</v>
      </c>
      <c r="N38" s="17">
        <f ca="1">N11*'02 Assumptions'!N50</f>
        <v>0</v>
      </c>
      <c r="O38" s="17">
        <f ca="1">O11*'02 Assumptions'!O50</f>
        <v>0</v>
      </c>
      <c r="P38" s="17">
        <f ca="1">P11*'02 Assumptions'!P50</f>
        <v>0</v>
      </c>
    </row>
    <row r="39" spans="2:16" x14ac:dyDescent="0.3">
      <c r="B39" t="s">
        <v>145</v>
      </c>
      <c r="C39" t="s">
        <v>95</v>
      </c>
      <c r="D39" s="17"/>
      <c r="E39" s="17"/>
      <c r="F39" s="17"/>
      <c r="G39" s="17">
        <f ca="1">G11*'02 Assumptions'!G53</f>
        <v>0</v>
      </c>
      <c r="H39" s="17">
        <f ca="1">H11*'02 Assumptions'!H53</f>
        <v>0</v>
      </c>
      <c r="I39" s="17">
        <f ca="1">I11*'02 Assumptions'!I53</f>
        <v>0</v>
      </c>
      <c r="J39" s="17">
        <f ca="1">J11*'02 Assumptions'!J53</f>
        <v>0</v>
      </c>
      <c r="K39" s="17">
        <f ca="1">K11*'02 Assumptions'!K53</f>
        <v>0</v>
      </c>
      <c r="L39" s="17">
        <f ca="1">L11*'02 Assumptions'!L53</f>
        <v>0</v>
      </c>
      <c r="M39" s="17">
        <f ca="1">M11*'02 Assumptions'!M53</f>
        <v>0</v>
      </c>
      <c r="N39" s="17">
        <f ca="1">N11*'02 Assumptions'!N53</f>
        <v>0</v>
      </c>
      <c r="O39" s="17">
        <f ca="1">O11*'02 Assumptions'!O53</f>
        <v>0</v>
      </c>
      <c r="P39" s="17">
        <f ca="1">P11*'02 Assumptions'!P53</f>
        <v>0</v>
      </c>
    </row>
    <row r="40" spans="2:16" x14ac:dyDescent="0.3">
      <c r="B40" s="3" t="s">
        <v>1897</v>
      </c>
      <c r="C40" s="3" t="s">
        <v>95</v>
      </c>
      <c r="D40" s="18"/>
      <c r="E40" s="18"/>
      <c r="F40" s="18">
        <f ca="1">'04 Operating Model'!F50</f>
        <v>0</v>
      </c>
      <c r="G40" s="18">
        <f t="shared" ref="G40:P40" ca="1" si="12">G34+G35-G36-G37-G38-G39</f>
        <v>0</v>
      </c>
      <c r="H40" s="18">
        <f t="shared" ca="1" si="12"/>
        <v>0</v>
      </c>
      <c r="I40" s="18">
        <f t="shared" ca="1" si="12"/>
        <v>0</v>
      </c>
      <c r="J40" s="18">
        <f t="shared" ca="1" si="12"/>
        <v>0</v>
      </c>
      <c r="K40" s="18">
        <f t="shared" ca="1" si="12"/>
        <v>0</v>
      </c>
      <c r="L40" s="18">
        <f t="shared" ca="1" si="12"/>
        <v>0</v>
      </c>
      <c r="M40" s="18">
        <f t="shared" ca="1" si="12"/>
        <v>0</v>
      </c>
      <c r="N40" s="18">
        <f t="shared" ca="1" si="12"/>
        <v>0</v>
      </c>
      <c r="O40" s="18">
        <f t="shared" ca="1" si="12"/>
        <v>0</v>
      </c>
      <c r="P40" s="18">
        <f t="shared" ca="1" si="12"/>
        <v>0</v>
      </c>
    </row>
    <row r="41" spans="2:16" x14ac:dyDescent="0.3">
      <c r="B41" t="s">
        <v>1898</v>
      </c>
      <c r="C41" t="s">
        <v>95</v>
      </c>
      <c r="D41" s="17"/>
      <c r="E41" s="17"/>
      <c r="F41" s="17"/>
      <c r="G41" s="17">
        <f t="shared" ref="G41:P41" ca="1" si="13">G40-F40</f>
        <v>0</v>
      </c>
      <c r="H41" s="17">
        <f t="shared" ca="1" si="13"/>
        <v>0</v>
      </c>
      <c r="I41" s="17">
        <f t="shared" ca="1" si="13"/>
        <v>0</v>
      </c>
      <c r="J41" s="17">
        <f t="shared" ca="1" si="13"/>
        <v>0</v>
      </c>
      <c r="K41" s="17">
        <f t="shared" ca="1" si="13"/>
        <v>0</v>
      </c>
      <c r="L41" s="17">
        <f t="shared" ca="1" si="13"/>
        <v>0</v>
      </c>
      <c r="M41" s="17">
        <f t="shared" ca="1" si="13"/>
        <v>0</v>
      </c>
      <c r="N41" s="17">
        <f t="shared" ca="1" si="13"/>
        <v>0</v>
      </c>
      <c r="O41" s="17">
        <f t="shared" ca="1" si="13"/>
        <v>0</v>
      </c>
      <c r="P41" s="17">
        <f t="shared" ca="1" si="13"/>
        <v>0</v>
      </c>
    </row>
    <row r="42" spans="2:16" x14ac:dyDescent="0.3">
      <c r="B42" s="5" t="s">
        <v>518</v>
      </c>
      <c r="C42" s="5"/>
      <c r="D42" s="5"/>
      <c r="E42" s="5"/>
      <c r="F42" s="5"/>
      <c r="G42" s="5"/>
      <c r="H42" s="5"/>
      <c r="I42" s="5"/>
      <c r="J42" s="5"/>
      <c r="K42" s="5"/>
      <c r="L42" s="5"/>
      <c r="M42" s="5"/>
      <c r="N42" s="5"/>
      <c r="O42" s="5"/>
      <c r="P42" s="5"/>
    </row>
    <row r="43" spans="2:16" x14ac:dyDescent="0.3">
      <c r="B43" t="s">
        <v>433</v>
      </c>
      <c r="C43" t="s">
        <v>42</v>
      </c>
      <c r="D43" s="19"/>
      <c r="E43" s="19"/>
      <c r="F43" s="19"/>
      <c r="G43" s="19">
        <f ca="1">'02 Assumptions'!G56+'09 Escenarios'!$D$15</f>
        <v>0</v>
      </c>
      <c r="H43" s="19">
        <f ca="1">'02 Assumptions'!H56+'09 Escenarios'!$D$15</f>
        <v>0</v>
      </c>
      <c r="I43" s="19">
        <f ca="1">'02 Assumptions'!I56+'09 Escenarios'!$D$15</f>
        <v>0</v>
      </c>
      <c r="J43" s="19">
        <f ca="1">'02 Assumptions'!J56+'09 Escenarios'!$D$15</f>
        <v>0</v>
      </c>
      <c r="K43" s="19">
        <f ca="1">'02 Assumptions'!K56+'09 Escenarios'!$D$15</f>
        <v>0</v>
      </c>
      <c r="L43" s="19">
        <f ca="1">'02 Assumptions'!L56+'09 Escenarios'!$D$15</f>
        <v>0</v>
      </c>
      <c r="M43" s="19">
        <f ca="1">'02 Assumptions'!M56+'09 Escenarios'!$D$15</f>
        <v>0</v>
      </c>
      <c r="N43" s="19">
        <f ca="1">'02 Assumptions'!N56+'09 Escenarios'!$D$15</f>
        <v>0</v>
      </c>
      <c r="O43" s="19">
        <f ca="1">'02 Assumptions'!O56+'09 Escenarios'!$D$15</f>
        <v>0</v>
      </c>
      <c r="P43" s="19">
        <f ca="1">'02 Assumptions'!P56+'09 Escenarios'!$D$15</f>
        <v>0</v>
      </c>
    </row>
    <row r="44" spans="2:16" x14ac:dyDescent="0.3">
      <c r="B44" t="s">
        <v>512</v>
      </c>
      <c r="C44" t="s">
        <v>95</v>
      </c>
      <c r="D44" s="17"/>
      <c r="E44" s="17"/>
      <c r="F44" s="17"/>
      <c r="G44" s="17">
        <f t="shared" ref="G44:P44" ca="1" si="14">-G24*G43</f>
        <v>0</v>
      </c>
      <c r="H44" s="17">
        <f t="shared" ca="1" si="14"/>
        <v>0</v>
      </c>
      <c r="I44" s="17">
        <f t="shared" ca="1" si="14"/>
        <v>0</v>
      </c>
      <c r="J44" s="17">
        <f t="shared" ca="1" si="14"/>
        <v>0</v>
      </c>
      <c r="K44" s="17">
        <f t="shared" ca="1" si="14"/>
        <v>0</v>
      </c>
      <c r="L44" s="17">
        <f t="shared" ca="1" si="14"/>
        <v>0</v>
      </c>
      <c r="M44" s="17">
        <f t="shared" ca="1" si="14"/>
        <v>0</v>
      </c>
      <c r="N44" s="17">
        <f t="shared" ca="1" si="14"/>
        <v>0</v>
      </c>
      <c r="O44" s="17">
        <f t="shared" ca="1" si="14"/>
        <v>0</v>
      </c>
      <c r="P44" s="17">
        <f t="shared" ca="1" si="14"/>
        <v>0</v>
      </c>
    </row>
    <row r="45" spans="2:16" x14ac:dyDescent="0.3">
      <c r="B45" s="3" t="s">
        <v>513</v>
      </c>
      <c r="C45" s="3" t="s">
        <v>95</v>
      </c>
      <c r="D45" s="18"/>
      <c r="E45" s="18"/>
      <c r="F45" s="18"/>
      <c r="G45" s="18">
        <f t="shared" ref="G45:P45" ca="1" si="15">G24+G44</f>
        <v>0</v>
      </c>
      <c r="H45" s="18">
        <f t="shared" ca="1" si="15"/>
        <v>0</v>
      </c>
      <c r="I45" s="18">
        <f t="shared" ca="1" si="15"/>
        <v>0</v>
      </c>
      <c r="J45" s="18">
        <f t="shared" ca="1" si="15"/>
        <v>0</v>
      </c>
      <c r="K45" s="18">
        <f t="shared" ca="1" si="15"/>
        <v>0</v>
      </c>
      <c r="L45" s="18">
        <f t="shared" ca="1" si="15"/>
        <v>0</v>
      </c>
      <c r="M45" s="18">
        <f t="shared" ca="1" si="15"/>
        <v>0</v>
      </c>
      <c r="N45" s="18">
        <f t="shared" ca="1" si="15"/>
        <v>0</v>
      </c>
      <c r="O45" s="18">
        <f t="shared" ca="1" si="15"/>
        <v>0</v>
      </c>
      <c r="P45" s="18">
        <f t="shared" ca="1" si="15"/>
        <v>0</v>
      </c>
    </row>
    <row r="46" spans="2:16" x14ac:dyDescent="0.3">
      <c r="B46" t="s">
        <v>514</v>
      </c>
      <c r="C46" t="s">
        <v>95</v>
      </c>
      <c r="D46" s="17"/>
      <c r="E46" s="17"/>
      <c r="F46" s="17"/>
      <c r="G46" s="17">
        <f t="shared" ref="G46:P46" ca="1" si="16">G31</f>
        <v>0</v>
      </c>
      <c r="H46" s="17">
        <f t="shared" ca="1" si="16"/>
        <v>0</v>
      </c>
      <c r="I46" s="17">
        <f t="shared" ca="1" si="16"/>
        <v>0</v>
      </c>
      <c r="J46" s="17">
        <f t="shared" ca="1" si="16"/>
        <v>0</v>
      </c>
      <c r="K46" s="17">
        <f t="shared" ca="1" si="16"/>
        <v>0</v>
      </c>
      <c r="L46" s="17">
        <f t="shared" ca="1" si="16"/>
        <v>0</v>
      </c>
      <c r="M46" s="17">
        <f t="shared" ca="1" si="16"/>
        <v>0</v>
      </c>
      <c r="N46" s="17">
        <f t="shared" ca="1" si="16"/>
        <v>0</v>
      </c>
      <c r="O46" s="17">
        <f t="shared" ca="1" si="16"/>
        <v>0</v>
      </c>
      <c r="P46" s="17">
        <f t="shared" ca="1" si="16"/>
        <v>0</v>
      </c>
    </row>
    <row r="47" spans="2:16" x14ac:dyDescent="0.3">
      <c r="B47" t="s">
        <v>515</v>
      </c>
      <c r="C47" t="s">
        <v>95</v>
      </c>
      <c r="D47" s="17"/>
      <c r="E47" s="17"/>
      <c r="F47" s="17"/>
      <c r="G47" s="17">
        <f t="shared" ref="G47:P47" ca="1" si="17">-G28</f>
        <v>0</v>
      </c>
      <c r="H47" s="17">
        <f t="shared" ca="1" si="17"/>
        <v>0</v>
      </c>
      <c r="I47" s="17">
        <f t="shared" ca="1" si="17"/>
        <v>0</v>
      </c>
      <c r="J47" s="17">
        <f t="shared" ca="1" si="17"/>
        <v>0</v>
      </c>
      <c r="K47" s="17">
        <f t="shared" ca="1" si="17"/>
        <v>0</v>
      </c>
      <c r="L47" s="17">
        <f t="shared" ca="1" si="17"/>
        <v>0</v>
      </c>
      <c r="M47" s="17">
        <f t="shared" ca="1" si="17"/>
        <v>0</v>
      </c>
      <c r="N47" s="17">
        <f t="shared" ca="1" si="17"/>
        <v>0</v>
      </c>
      <c r="O47" s="17">
        <f t="shared" ca="1" si="17"/>
        <v>0</v>
      </c>
      <c r="P47" s="17">
        <f t="shared" ca="1" si="17"/>
        <v>0</v>
      </c>
    </row>
    <row r="48" spans="2:16" x14ac:dyDescent="0.3">
      <c r="B48" t="s">
        <v>1899</v>
      </c>
      <c r="C48" t="s">
        <v>95</v>
      </c>
      <c r="D48" s="17"/>
      <c r="E48" s="17"/>
      <c r="F48" s="17"/>
      <c r="G48" s="17">
        <f t="shared" ref="G48:P48" ca="1" si="18">-G41</f>
        <v>0</v>
      </c>
      <c r="H48" s="17">
        <f t="shared" ca="1" si="18"/>
        <v>0</v>
      </c>
      <c r="I48" s="17">
        <f t="shared" ca="1" si="18"/>
        <v>0</v>
      </c>
      <c r="J48" s="17">
        <f t="shared" ca="1" si="18"/>
        <v>0</v>
      </c>
      <c r="K48" s="17">
        <f t="shared" ca="1" si="18"/>
        <v>0</v>
      </c>
      <c r="L48" s="17">
        <f t="shared" ca="1" si="18"/>
        <v>0</v>
      </c>
      <c r="M48" s="17">
        <f t="shared" ca="1" si="18"/>
        <v>0</v>
      </c>
      <c r="N48" s="17">
        <f t="shared" ca="1" si="18"/>
        <v>0</v>
      </c>
      <c r="O48" s="17">
        <f t="shared" ca="1" si="18"/>
        <v>0</v>
      </c>
      <c r="P48" s="17">
        <f t="shared" ca="1" si="18"/>
        <v>0</v>
      </c>
    </row>
    <row r="49" spans="2:16" x14ac:dyDescent="0.3">
      <c r="B49" t="s">
        <v>1900</v>
      </c>
      <c r="C49" t="s">
        <v>95</v>
      </c>
      <c r="D49" s="17"/>
      <c r="E49" s="17"/>
      <c r="F49" s="17"/>
      <c r="G49" s="17">
        <f t="shared" ref="G49:P49" ca="1" si="19">-G21</f>
        <v>0</v>
      </c>
      <c r="H49" s="17">
        <f t="shared" ca="1" si="19"/>
        <v>0</v>
      </c>
      <c r="I49" s="17">
        <f t="shared" ca="1" si="19"/>
        <v>0</v>
      </c>
      <c r="J49" s="17">
        <f t="shared" ca="1" si="19"/>
        <v>0</v>
      </c>
      <c r="K49" s="17">
        <f t="shared" ca="1" si="19"/>
        <v>0</v>
      </c>
      <c r="L49" s="17">
        <f t="shared" ca="1" si="19"/>
        <v>0</v>
      </c>
      <c r="M49" s="17">
        <f t="shared" ca="1" si="19"/>
        <v>0</v>
      </c>
      <c r="N49" s="17">
        <f t="shared" ca="1" si="19"/>
        <v>0</v>
      </c>
      <c r="O49" s="17">
        <f t="shared" ca="1" si="19"/>
        <v>0</v>
      </c>
      <c r="P49" s="17">
        <f t="shared" ca="1" si="19"/>
        <v>0</v>
      </c>
    </row>
    <row r="50" spans="2:16" x14ac:dyDescent="0.3">
      <c r="B50" s="76" t="s">
        <v>518</v>
      </c>
      <c r="C50" s="76" t="s">
        <v>95</v>
      </c>
      <c r="D50" s="106"/>
      <c r="E50" s="106"/>
      <c r="F50" s="106"/>
      <c r="G50" s="106">
        <f t="shared" ref="G50:P50" ca="1" si="20">SUM(G45:G49)</f>
        <v>0</v>
      </c>
      <c r="H50" s="106">
        <f t="shared" ca="1" si="20"/>
        <v>0</v>
      </c>
      <c r="I50" s="106">
        <f t="shared" ca="1" si="20"/>
        <v>0</v>
      </c>
      <c r="J50" s="106">
        <f t="shared" ca="1" si="20"/>
        <v>0</v>
      </c>
      <c r="K50" s="106">
        <f t="shared" ca="1" si="20"/>
        <v>0</v>
      </c>
      <c r="L50" s="106">
        <f t="shared" ca="1" si="20"/>
        <v>0</v>
      </c>
      <c r="M50" s="106">
        <f t="shared" ca="1" si="20"/>
        <v>0</v>
      </c>
      <c r="N50" s="106">
        <f t="shared" ca="1" si="20"/>
        <v>0</v>
      </c>
      <c r="O50" s="106">
        <f t="shared" ca="1" si="20"/>
        <v>0</v>
      </c>
      <c r="P50" s="106">
        <f t="shared" ca="1" si="20"/>
        <v>0</v>
      </c>
    </row>
    <row r="51" spans="2:16" x14ac:dyDescent="0.3">
      <c r="B51" s="5" t="s">
        <v>1914</v>
      </c>
      <c r="C51" s="5"/>
      <c r="D51" s="5"/>
      <c r="E51" s="5"/>
      <c r="F51" s="5"/>
      <c r="G51" s="5"/>
      <c r="H51" s="5"/>
      <c r="I51" s="5"/>
      <c r="J51" s="5"/>
      <c r="K51" s="5"/>
      <c r="L51" s="5"/>
      <c r="M51" s="5"/>
      <c r="N51" s="5"/>
      <c r="O51" s="5"/>
      <c r="P51" s="5"/>
    </row>
    <row r="52" spans="2:16" x14ac:dyDescent="0.3">
      <c r="B52" t="s">
        <v>1901</v>
      </c>
      <c r="C52" t="s">
        <v>42</v>
      </c>
      <c r="D52" s="19"/>
      <c r="E52" s="19"/>
      <c r="F52" s="19"/>
      <c r="G52" s="19">
        <f ca="1">'07 WACC'!$C$36+'09 Escenarios'!$D$17</f>
        <v>0</v>
      </c>
      <c r="H52" s="19">
        <f ca="1">'07 WACC'!$C$36+'09 Escenarios'!$D$17</f>
        <v>0</v>
      </c>
      <c r="I52" s="19">
        <f ca="1">'07 WACC'!$C$36+'09 Escenarios'!$D$17</f>
        <v>0</v>
      </c>
      <c r="J52" s="19">
        <f ca="1">'07 WACC'!$C$36+'09 Escenarios'!$D$17</f>
        <v>0</v>
      </c>
      <c r="K52" s="19">
        <f ca="1">'07 WACC'!$C$36+'09 Escenarios'!$D$17</f>
        <v>0</v>
      </c>
      <c r="L52" s="19">
        <f ca="1">'07 WACC'!$C$36+'09 Escenarios'!$D$17</f>
        <v>0</v>
      </c>
      <c r="M52" s="19">
        <f ca="1">'07 WACC'!$C$36+'09 Escenarios'!$D$17</f>
        <v>0</v>
      </c>
      <c r="N52" s="19">
        <f ca="1">'07 WACC'!$C$36+'09 Escenarios'!$D$17</f>
        <v>0</v>
      </c>
      <c r="O52" s="19">
        <f ca="1">'07 WACC'!$C$36+'09 Escenarios'!$D$17</f>
        <v>0</v>
      </c>
      <c r="P52" s="19">
        <f ca="1">'07 WACC'!$C$36+'09 Escenarios'!$D$17</f>
        <v>0</v>
      </c>
    </row>
    <row r="53" spans="2:16" x14ac:dyDescent="0.3">
      <c r="B53" t="s">
        <v>481</v>
      </c>
      <c r="C53" t="s">
        <v>42</v>
      </c>
      <c r="D53" s="19"/>
      <c r="E53" s="19"/>
      <c r="F53" s="19"/>
      <c r="G53" s="19">
        <f ca="1">'02 Assumptions'!$C$62+'09 Escenarios'!$D$16</f>
        <v>0</v>
      </c>
      <c r="H53" s="19">
        <f ca="1">'02 Assumptions'!$C$62+'09 Escenarios'!$D$16</f>
        <v>0</v>
      </c>
      <c r="I53" s="19">
        <f ca="1">'02 Assumptions'!$C$62+'09 Escenarios'!$D$16</f>
        <v>0</v>
      </c>
      <c r="J53" s="19">
        <f ca="1">'02 Assumptions'!$C$62+'09 Escenarios'!$D$16</f>
        <v>0</v>
      </c>
      <c r="K53" s="19">
        <f ca="1">'02 Assumptions'!$C$62+'09 Escenarios'!$D$16</f>
        <v>0</v>
      </c>
      <c r="L53" s="19">
        <f ca="1">'02 Assumptions'!$C$62+'09 Escenarios'!$D$16</f>
        <v>0</v>
      </c>
      <c r="M53" s="19">
        <f ca="1">'02 Assumptions'!$C$62+'09 Escenarios'!$D$16</f>
        <v>0</v>
      </c>
      <c r="N53" s="19">
        <f ca="1">'02 Assumptions'!$C$62+'09 Escenarios'!$D$16</f>
        <v>0</v>
      </c>
      <c r="O53" s="19">
        <f ca="1">'02 Assumptions'!$C$62+'09 Escenarios'!$D$16</f>
        <v>0</v>
      </c>
      <c r="P53" s="19">
        <f ca="1">'02 Assumptions'!$C$62+'09 Escenarios'!$D$16</f>
        <v>0</v>
      </c>
    </row>
    <row r="54" spans="2:16" x14ac:dyDescent="0.3">
      <c r="B54" t="s">
        <v>526</v>
      </c>
      <c r="C54" t="s">
        <v>42</v>
      </c>
      <c r="D54" s="19"/>
      <c r="E54" s="19"/>
      <c r="F54" s="19"/>
      <c r="G54" s="19">
        <f ca="1">'02 Assumptions'!$C$66</f>
        <v>0</v>
      </c>
      <c r="H54" s="19">
        <f ca="1">'02 Assumptions'!$C$66</f>
        <v>0</v>
      </c>
      <c r="I54" s="19">
        <f ca="1">'02 Assumptions'!$C$66</f>
        <v>0</v>
      </c>
      <c r="J54" s="19">
        <f ca="1">'02 Assumptions'!$C$66</f>
        <v>0</v>
      </c>
      <c r="K54" s="19">
        <f ca="1">'02 Assumptions'!$C$66</f>
        <v>0</v>
      </c>
      <c r="L54" s="19">
        <f ca="1">'02 Assumptions'!$C$66</f>
        <v>0</v>
      </c>
      <c r="M54" s="19">
        <f ca="1">'02 Assumptions'!$C$66</f>
        <v>0</v>
      </c>
      <c r="N54" s="19">
        <f ca="1">'02 Assumptions'!$C$66</f>
        <v>0</v>
      </c>
      <c r="O54" s="19">
        <f ca="1">'02 Assumptions'!$C$66</f>
        <v>0</v>
      </c>
      <c r="P54" s="19">
        <f ca="1">'02 Assumptions'!$C$66</f>
        <v>0</v>
      </c>
    </row>
    <row r="55" spans="2:16" x14ac:dyDescent="0.3">
      <c r="B55" t="s">
        <v>1902</v>
      </c>
      <c r="C55" t="s">
        <v>321</v>
      </c>
      <c r="D55" s="26"/>
      <c r="E55" s="26"/>
      <c r="F55" s="26"/>
      <c r="G55" s="26">
        <f ca="1">COLUMNS($G55:G55)-IF('02 Assumptions'!$C$12=2,0.5,0)</f>
        <v>0</v>
      </c>
      <c r="H55" s="26">
        <f ca="1">COLUMNS($G55:H55)-IF('02 Assumptions'!$C$12=2,0.5,0)</f>
        <v>0</v>
      </c>
      <c r="I55" s="26">
        <f ca="1">COLUMNS($G55:I55)-IF('02 Assumptions'!$C$12=2,0.5,0)</f>
        <v>0</v>
      </c>
      <c r="J55" s="26">
        <f ca="1">COLUMNS($G55:J55)-IF('02 Assumptions'!$C$12=2,0.5,0)</f>
        <v>0</v>
      </c>
      <c r="K55" s="26">
        <f ca="1">COLUMNS($G55:K55)-IF('02 Assumptions'!$C$12=2,0.5,0)</f>
        <v>0</v>
      </c>
      <c r="L55" s="26">
        <f ca="1">COLUMNS($G55:L55)-IF('02 Assumptions'!$C$12=2,0.5,0)</f>
        <v>0</v>
      </c>
      <c r="M55" s="26">
        <f ca="1">COLUMNS($G55:M55)-IF('02 Assumptions'!$C$12=2,0.5,0)</f>
        <v>0</v>
      </c>
      <c r="N55" s="26">
        <f ca="1">COLUMNS($G55:N55)-IF('02 Assumptions'!$C$12=2,0.5,0)</f>
        <v>0</v>
      </c>
      <c r="O55" s="26">
        <f ca="1">COLUMNS($G55:O55)-IF('02 Assumptions'!$C$12=2,0.5,0)</f>
        <v>0</v>
      </c>
      <c r="P55" s="26">
        <f ca="1">COLUMNS($G55:P55)-IF('02 Assumptions'!$C$12=2,0.5,0)</f>
        <v>0</v>
      </c>
    </row>
    <row r="56" spans="2:16" x14ac:dyDescent="0.3">
      <c r="B56" t="s">
        <v>1903</v>
      </c>
      <c r="C56" t="s">
        <v>209</v>
      </c>
      <c r="D56" s="44"/>
      <c r="E56" s="44"/>
      <c r="F56" s="44"/>
      <c r="G56" s="44">
        <f t="shared" ref="G56:P56" ca="1" si="21">1/(1+G52)^G55</f>
        <v>0</v>
      </c>
      <c r="H56" s="44">
        <f t="shared" ca="1" si="21"/>
        <v>0</v>
      </c>
      <c r="I56" s="44">
        <f t="shared" ca="1" si="21"/>
        <v>0</v>
      </c>
      <c r="J56" s="44">
        <f t="shared" ca="1" si="21"/>
        <v>0</v>
      </c>
      <c r="K56" s="44">
        <f t="shared" ca="1" si="21"/>
        <v>0</v>
      </c>
      <c r="L56" s="44">
        <f t="shared" ca="1" si="21"/>
        <v>0</v>
      </c>
      <c r="M56" s="44">
        <f t="shared" ca="1" si="21"/>
        <v>0</v>
      </c>
      <c r="N56" s="44">
        <f t="shared" ca="1" si="21"/>
        <v>0</v>
      </c>
      <c r="O56" s="44">
        <f t="shared" ca="1" si="21"/>
        <v>0</v>
      </c>
      <c r="P56" s="44">
        <f t="shared" ca="1" si="21"/>
        <v>0</v>
      </c>
    </row>
    <row r="57" spans="2:16" x14ac:dyDescent="0.3">
      <c r="B57" t="s">
        <v>1904</v>
      </c>
      <c r="C57" t="s">
        <v>95</v>
      </c>
      <c r="D57" s="17"/>
      <c r="E57" s="17"/>
      <c r="F57" s="17"/>
      <c r="G57" s="17">
        <f t="shared" ref="G57:P57" ca="1" si="22">G50*G56</f>
        <v>0</v>
      </c>
      <c r="H57" s="17">
        <f t="shared" ca="1" si="22"/>
        <v>0</v>
      </c>
      <c r="I57" s="17">
        <f t="shared" ca="1" si="22"/>
        <v>0</v>
      </c>
      <c r="J57" s="17">
        <f t="shared" ca="1" si="22"/>
        <v>0</v>
      </c>
      <c r="K57" s="17">
        <f t="shared" ca="1" si="22"/>
        <v>0</v>
      </c>
      <c r="L57" s="17">
        <f t="shared" ca="1" si="22"/>
        <v>0</v>
      </c>
      <c r="M57" s="17">
        <f t="shared" ca="1" si="22"/>
        <v>0</v>
      </c>
      <c r="N57" s="17">
        <f t="shared" ca="1" si="22"/>
        <v>0</v>
      </c>
      <c r="O57" s="17">
        <f t="shared" ca="1" si="22"/>
        <v>0</v>
      </c>
      <c r="P57" s="17">
        <f t="shared" ca="1" si="22"/>
        <v>0</v>
      </c>
    </row>
    <row r="59" spans="2:16" x14ac:dyDescent="0.3">
      <c r="B59" t="s">
        <v>1919</v>
      </c>
      <c r="C59" t="s">
        <v>95</v>
      </c>
      <c r="D59" s="17"/>
      <c r="E59" s="17"/>
      <c r="F59" s="17">
        <f ca="1">SUM(G57:P57)</f>
        <v>0</v>
      </c>
      <c r="G59" s="17"/>
      <c r="H59" s="17"/>
      <c r="I59" s="17"/>
      <c r="J59" s="17"/>
      <c r="K59" s="17"/>
      <c r="L59" s="17"/>
      <c r="M59" s="17"/>
      <c r="N59" s="17"/>
      <c r="O59" s="17"/>
      <c r="P59" s="17"/>
    </row>
    <row r="60" spans="2:16" x14ac:dyDescent="0.3">
      <c r="B60" t="s">
        <v>1905</v>
      </c>
      <c r="C60" t="s">
        <v>42</v>
      </c>
      <c r="D60" s="19"/>
      <c r="E60" s="19"/>
      <c r="F60" s="19">
        <f ca="1">P53/P54</f>
        <v>0</v>
      </c>
      <c r="G60" s="19"/>
      <c r="H60" s="19"/>
      <c r="I60" s="19"/>
      <c r="J60" s="19"/>
      <c r="K60" s="19"/>
      <c r="L60" s="19"/>
      <c r="M60" s="19"/>
      <c r="N60" s="19"/>
      <c r="O60" s="19"/>
      <c r="P60" s="19"/>
    </row>
    <row r="61" spans="2:16" x14ac:dyDescent="0.3">
      <c r="B61" t="s">
        <v>1906</v>
      </c>
      <c r="C61" t="s">
        <v>95</v>
      </c>
      <c r="D61" s="17"/>
      <c r="E61" s="17"/>
      <c r="F61" s="17">
        <f ca="1">P45*(1+P53)</f>
        <v>0</v>
      </c>
      <c r="G61" s="17"/>
      <c r="H61" s="17"/>
      <c r="I61" s="17"/>
      <c r="J61" s="17"/>
      <c r="K61" s="17"/>
      <c r="L61" s="17"/>
      <c r="M61" s="17"/>
      <c r="N61" s="17"/>
      <c r="O61" s="17"/>
      <c r="P61" s="17"/>
    </row>
    <row r="62" spans="2:16" x14ac:dyDescent="0.3">
      <c r="B62" t="s">
        <v>1907</v>
      </c>
      <c r="C62" t="s">
        <v>95</v>
      </c>
      <c r="D62" s="17"/>
      <c r="E62" s="17"/>
      <c r="F62" s="17">
        <f ca="1">F61*(1-F60)</f>
        <v>0</v>
      </c>
      <c r="G62" s="17"/>
      <c r="H62" s="17"/>
      <c r="I62" s="17"/>
      <c r="J62" s="17"/>
      <c r="K62" s="17"/>
      <c r="L62" s="17"/>
      <c r="M62" s="17"/>
      <c r="N62" s="17"/>
      <c r="O62" s="17"/>
      <c r="P62" s="17"/>
    </row>
    <row r="63" spans="2:16" x14ac:dyDescent="0.3">
      <c r="B63" t="s">
        <v>1908</v>
      </c>
      <c r="C63" t="s">
        <v>95</v>
      </c>
      <c r="D63" s="17"/>
      <c r="E63" s="17"/>
      <c r="F63" s="17">
        <f ca="1">IF(P52&lt;=P53,"FALLO: WACC&lt;=g",F62/(P52-P53))</f>
        <v>0</v>
      </c>
      <c r="G63" s="17"/>
      <c r="H63" s="17"/>
      <c r="I63" s="17"/>
      <c r="J63" s="17"/>
      <c r="K63" s="17"/>
      <c r="L63" s="17"/>
      <c r="M63" s="17"/>
      <c r="N63" s="17"/>
      <c r="O63" s="17"/>
      <c r="P63" s="17"/>
    </row>
    <row r="64" spans="2:16" x14ac:dyDescent="0.3">
      <c r="B64" t="s">
        <v>1909</v>
      </c>
      <c r="C64" t="s">
        <v>209</v>
      </c>
      <c r="D64" s="44"/>
      <c r="E64" s="44"/>
      <c r="F64" s="44">
        <f ca="1">1/(1+P52)^'02 Assumptions'!$C$11</f>
        <v>0</v>
      </c>
      <c r="G64" s="44"/>
      <c r="H64" s="44"/>
      <c r="I64" s="44"/>
      <c r="J64" s="44"/>
      <c r="K64" s="44"/>
      <c r="L64" s="44"/>
      <c r="M64" s="44"/>
      <c r="N64" s="44"/>
      <c r="O64" s="44"/>
      <c r="P64" s="44"/>
    </row>
    <row r="65" spans="2:16" x14ac:dyDescent="0.3">
      <c r="B65" t="s">
        <v>541</v>
      </c>
      <c r="C65" t="s">
        <v>95</v>
      </c>
      <c r="D65" s="17"/>
      <c r="E65" s="17"/>
      <c r="F65" s="17">
        <f ca="1">F63*F64</f>
        <v>0</v>
      </c>
      <c r="G65" s="17"/>
      <c r="H65" s="17"/>
      <c r="I65" s="17"/>
      <c r="J65" s="17"/>
      <c r="K65" s="17"/>
      <c r="L65" s="17"/>
      <c r="M65" s="17"/>
      <c r="N65" s="17"/>
      <c r="O65" s="17"/>
      <c r="P65" s="17"/>
    </row>
    <row r="66" spans="2:16" x14ac:dyDescent="0.3">
      <c r="B66" s="100" t="s">
        <v>542</v>
      </c>
      <c r="C66" s="100" t="s">
        <v>95</v>
      </c>
      <c r="D66" s="107"/>
      <c r="E66" s="107"/>
      <c r="F66" s="107">
        <f ca="1">F59+F65</f>
        <v>0</v>
      </c>
      <c r="G66" s="18"/>
      <c r="H66" s="18"/>
      <c r="I66" s="18"/>
      <c r="J66" s="18"/>
      <c r="K66" s="18"/>
      <c r="L66" s="18"/>
      <c r="M66" s="18"/>
      <c r="N66" s="18"/>
      <c r="O66" s="18"/>
      <c r="P66" s="18"/>
    </row>
    <row r="67" spans="2:16" x14ac:dyDescent="0.3">
      <c r="B67" t="s">
        <v>543</v>
      </c>
      <c r="C67" t="s">
        <v>42</v>
      </c>
      <c r="D67" s="19"/>
      <c r="E67" s="19"/>
      <c r="F67" s="19">
        <f ca="1">F65/F66</f>
        <v>0</v>
      </c>
      <c r="G67" s="19"/>
      <c r="H67" s="19"/>
      <c r="I67" s="19"/>
      <c r="J67" s="19"/>
      <c r="K67" s="19"/>
      <c r="L67" s="19"/>
      <c r="M67" s="19"/>
      <c r="N67" s="19"/>
      <c r="O67" s="19"/>
      <c r="P67" s="19"/>
    </row>
    <row r="68" spans="2:16" x14ac:dyDescent="0.3">
      <c r="B68" t="s">
        <v>591</v>
      </c>
      <c r="C68" t="s">
        <v>209</v>
      </c>
      <c r="D68" s="44"/>
      <c r="E68" s="44"/>
      <c r="F68" s="44">
        <f ca="1">IFERROR(F63/P32,"n/a")</f>
        <v>0</v>
      </c>
      <c r="G68" s="44"/>
      <c r="H68" s="44"/>
      <c r="I68" s="44"/>
      <c r="J68" s="44"/>
      <c r="K68" s="44"/>
      <c r="L68" s="44"/>
      <c r="M68" s="44"/>
      <c r="N68" s="44"/>
      <c r="O68" s="44"/>
      <c r="P68" s="44"/>
    </row>
    <row r="69" spans="2:16" x14ac:dyDescent="0.3">
      <c r="B69" t="s">
        <v>1920</v>
      </c>
      <c r="C69" t="s">
        <v>95</v>
      </c>
      <c r="D69" s="17"/>
      <c r="E69" s="17"/>
      <c r="F69" s="17">
        <f ca="1">SUM('06 DCF'!$F$46:$F$52)</f>
        <v>0</v>
      </c>
      <c r="G69" s="17"/>
      <c r="H69" s="17"/>
      <c r="I69" s="17"/>
      <c r="J69" s="17"/>
      <c r="K69" s="17"/>
      <c r="L69" s="17"/>
      <c r="M69" s="17"/>
      <c r="N69" s="17"/>
      <c r="O69" s="17"/>
      <c r="P69" s="17"/>
    </row>
    <row r="70" spans="2:16" x14ac:dyDescent="0.3">
      <c r="B70" s="100" t="s">
        <v>551</v>
      </c>
      <c r="C70" s="100" t="s">
        <v>95</v>
      </c>
      <c r="D70" s="107"/>
      <c r="E70" s="107"/>
      <c r="F70" s="107">
        <f ca="1">F66+F69</f>
        <v>0</v>
      </c>
      <c r="G70" s="18"/>
      <c r="H70" s="18"/>
      <c r="I70" s="18"/>
      <c r="J70" s="18"/>
      <c r="K70" s="18"/>
      <c r="L70" s="18"/>
      <c r="M70" s="18"/>
      <c r="N70" s="18"/>
      <c r="O70" s="18"/>
      <c r="P70" s="18"/>
    </row>
    <row r="71" spans="2:16" x14ac:dyDescent="0.3">
      <c r="B71" t="s">
        <v>552</v>
      </c>
      <c r="C71" t="s">
        <v>126</v>
      </c>
      <c r="D71" s="21"/>
      <c r="E71" s="21"/>
      <c r="F71" s="21">
        <f ca="1">'02 Assumptions'!$C$69</f>
        <v>0</v>
      </c>
      <c r="G71" s="21"/>
      <c r="H71" s="21"/>
      <c r="I71" s="21"/>
      <c r="J71" s="21"/>
      <c r="K71" s="21"/>
      <c r="L71" s="21"/>
      <c r="M71" s="21"/>
      <c r="N71" s="21"/>
      <c r="O71" s="21"/>
      <c r="P71" s="21"/>
    </row>
    <row r="72" spans="2:16" ht="15.6" x14ac:dyDescent="0.3">
      <c r="B72" s="108" t="s">
        <v>553</v>
      </c>
      <c r="C72" s="108" t="s">
        <v>123</v>
      </c>
      <c r="D72" s="172"/>
      <c r="E72" s="172"/>
      <c r="F72" s="172">
        <f ca="1">F70/F71</f>
        <v>0</v>
      </c>
      <c r="G72" s="190"/>
      <c r="H72" s="190"/>
      <c r="I72" s="190"/>
      <c r="J72" s="190"/>
      <c r="K72" s="190"/>
      <c r="L72" s="190"/>
      <c r="M72" s="190"/>
      <c r="N72" s="190"/>
      <c r="O72" s="190"/>
      <c r="P72" s="190"/>
    </row>
    <row r="73" spans="2:16" x14ac:dyDescent="0.3">
      <c r="B73" t="s">
        <v>717</v>
      </c>
      <c r="C73" t="s">
        <v>123</v>
      </c>
      <c r="D73" s="168"/>
      <c r="E73" s="168"/>
      <c r="F73" s="168">
        <f ca="1">'01 Summary'!$C$10</f>
        <v>0</v>
      </c>
      <c r="G73" s="168"/>
      <c r="H73" s="168"/>
      <c r="I73" s="168"/>
      <c r="J73" s="168"/>
      <c r="K73" s="168"/>
      <c r="L73" s="168"/>
      <c r="M73" s="168"/>
      <c r="N73" s="168"/>
      <c r="O73" s="168"/>
      <c r="P73" s="168"/>
    </row>
    <row r="74" spans="2:16" x14ac:dyDescent="0.3">
      <c r="B74" t="s">
        <v>555</v>
      </c>
      <c r="C74" t="s">
        <v>42</v>
      </c>
      <c r="D74" s="19"/>
      <c r="E74" s="19"/>
      <c r="F74" s="19">
        <f ca="1">IF(F73&lt;=0,"introducir precio",F72/F73-1)</f>
        <v>0</v>
      </c>
      <c r="G74" s="19"/>
      <c r="H74" s="19"/>
      <c r="I74" s="19"/>
      <c r="J74" s="19"/>
      <c r="K74" s="19"/>
      <c r="L74" s="19"/>
      <c r="M74" s="19"/>
      <c r="N74" s="19"/>
      <c r="O74" s="19"/>
      <c r="P74" s="19"/>
    </row>
    <row r="75" spans="2:16" x14ac:dyDescent="0.3">
      <c r="B75" t="s">
        <v>1921</v>
      </c>
      <c r="C75" t="s">
        <v>95</v>
      </c>
      <c r="D75" s="17"/>
      <c r="E75" s="17"/>
      <c r="F75" s="17">
        <f ca="1">P11</f>
        <v>0</v>
      </c>
      <c r="G75" s="17"/>
      <c r="H75" s="17"/>
      <c r="I75" s="17"/>
      <c r="J75" s="17"/>
      <c r="K75" s="17"/>
      <c r="L75" s="17"/>
      <c r="M75" s="17"/>
      <c r="N75" s="17"/>
      <c r="O75" s="17"/>
      <c r="P75" s="17"/>
    </row>
    <row r="77" spans="2:16" x14ac:dyDescent="0.3">
      <c r="B77" s="5" t="s">
        <v>1910</v>
      </c>
      <c r="C77" s="5"/>
      <c r="D77" s="5"/>
      <c r="E77" s="5"/>
      <c r="F77" s="5"/>
      <c r="G77" s="5"/>
      <c r="H77" s="5"/>
      <c r="I77" s="5"/>
      <c r="J77" s="5"/>
      <c r="K77" s="5"/>
      <c r="L77" s="5"/>
      <c r="M77" s="5"/>
      <c r="N77" s="5"/>
      <c r="O77" s="5"/>
      <c r="P77" s="5"/>
    </row>
    <row r="78" spans="2:16" x14ac:dyDescent="0.3">
      <c r="B78" s="102" t="s">
        <v>482</v>
      </c>
      <c r="C78" s="102"/>
      <c r="D78" s="102"/>
      <c r="E78" s="102"/>
      <c r="F78" s="102">
        <f ca="1">IF(P52&gt;P53,"OK","FALLO")</f>
        <v>0</v>
      </c>
      <c r="G78" s="5"/>
      <c r="H78" s="5"/>
      <c r="I78" s="5"/>
      <c r="J78" s="5"/>
      <c r="K78" s="5"/>
      <c r="L78" s="5"/>
      <c r="M78" s="5"/>
      <c r="N78" s="5"/>
      <c r="O78" s="5"/>
      <c r="P78" s="5"/>
    </row>
    <row r="79" spans="2:16" x14ac:dyDescent="0.3">
      <c r="B79" s="102" t="s">
        <v>1911</v>
      </c>
      <c r="C79" s="102"/>
      <c r="D79" s="102"/>
      <c r="E79" s="102"/>
      <c r="F79" s="102">
        <f ca="1">IF(P50&gt;0,"OK","FALLO")</f>
        <v>0</v>
      </c>
      <c r="G79" s="5"/>
      <c r="H79" s="5"/>
      <c r="I79" s="5"/>
      <c r="J79" s="5"/>
      <c r="K79" s="5"/>
      <c r="L79" s="5"/>
      <c r="M79" s="5"/>
      <c r="N79" s="5"/>
      <c r="O79" s="5"/>
      <c r="P79" s="5"/>
    </row>
    <row r="80" spans="2:16" x14ac:dyDescent="0.3">
      <c r="B80" s="102" t="s">
        <v>1912</v>
      </c>
      <c r="C80" s="102"/>
      <c r="D80" s="102"/>
      <c r="E80" s="102"/>
      <c r="F80" s="102">
        <f ca="1">IF(P12&gt;=P53,"OK","AVISO: el último año explícito crece menos que la perpetuidad")</f>
        <v>0</v>
      </c>
      <c r="G80" s="5"/>
      <c r="H80" s="5"/>
      <c r="I80" s="5"/>
      <c r="J80" s="5"/>
      <c r="K80" s="5"/>
      <c r="L80" s="5"/>
      <c r="M80" s="5"/>
      <c r="N80" s="5"/>
      <c r="O80" s="5"/>
      <c r="P80" s="5"/>
    </row>
    <row r="81" spans="2:16" x14ac:dyDescent="0.3">
      <c r="B81" s="102" t="s">
        <v>1922</v>
      </c>
      <c r="C81" s="102"/>
      <c r="D81" s="102"/>
      <c r="E81" s="102"/>
      <c r="F81" s="102" cm="1">
        <f t="array" aca="1" ref="F81" ca="1">IF(SUMPRODUCT(--ISERROR($G$7:$P$57))=0,"OK","FALLO")</f>
        <v>0</v>
      </c>
      <c r="G81" s="5"/>
      <c r="H81" s="5"/>
      <c r="I81" s="5"/>
      <c r="J81" s="5"/>
      <c r="K81" s="5"/>
      <c r="L81" s="5"/>
      <c r="M81" s="5"/>
      <c r="N81" s="5"/>
      <c r="O81" s="5"/>
      <c r="P81" s="5"/>
    </row>
    <row r="82" spans="2:16" x14ac:dyDescent="0.3">
      <c r="B82" s="102" t="s">
        <v>1923</v>
      </c>
      <c r="C82" s="102"/>
      <c r="D82" s="102"/>
      <c r="E82" s="102"/>
      <c r="F82" s="102" t="s">
        <v>1924</v>
      </c>
      <c r="G82" s="5"/>
      <c r="H82" s="5"/>
      <c r="I82" s="5"/>
      <c r="J82" s="5"/>
      <c r="K82" s="5"/>
      <c r="L82" s="5"/>
      <c r="M82" s="5"/>
      <c r="N82" s="5"/>
      <c r="O82" s="5"/>
      <c r="P82"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A970-814E-4B67-BE19-4DC63D539165}">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1915</v>
      </c>
    </row>
    <row r="2" spans="1:16" x14ac:dyDescent="0.3">
      <c r="A2" s="14" t="s">
        <v>1916</v>
      </c>
    </row>
    <row r="4" spans="1:16"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6" x14ac:dyDescent="0.3">
      <c r="B6" s="5" t="s">
        <v>1884</v>
      </c>
      <c r="C6" s="5"/>
      <c r="D6" s="5"/>
      <c r="E6" s="5"/>
      <c r="F6" s="5"/>
      <c r="G6" s="5"/>
      <c r="H6" s="5"/>
      <c r="I6" s="5"/>
      <c r="J6" s="5"/>
      <c r="K6" s="5"/>
      <c r="L6" s="5"/>
      <c r="M6" s="5"/>
      <c r="N6" s="5"/>
      <c r="O6" s="5"/>
      <c r="P6" s="5"/>
    </row>
    <row r="7" spans="1:16" x14ac:dyDescent="0.3">
      <c r="B7" t="s">
        <v>94</v>
      </c>
      <c r="C7" t="s">
        <v>95</v>
      </c>
      <c r="D7" s="17"/>
      <c r="E7" s="17"/>
      <c r="F7" s="17">
        <f ca="1">'03 Historical'!F7</f>
        <v>0</v>
      </c>
      <c r="G7" s="17">
        <f ca="1">F7*(1+'02 Assumptions'!G19*'09 Escenarios'!$E$9)</f>
        <v>0</v>
      </c>
      <c r="H7" s="17">
        <f ca="1">G7*(1+'02 Assumptions'!H19*'09 Escenarios'!$E$9)</f>
        <v>0</v>
      </c>
      <c r="I7" s="17">
        <f ca="1">H7*(1+'02 Assumptions'!I19*'09 Escenarios'!$E$9)</f>
        <v>0</v>
      </c>
      <c r="J7" s="17">
        <f ca="1">I7*(1+'02 Assumptions'!J19*'09 Escenarios'!$E$9)</f>
        <v>0</v>
      </c>
      <c r="K7" s="17">
        <f ca="1">J7*(1+'02 Assumptions'!K19*'09 Escenarios'!$E$9)</f>
        <v>0</v>
      </c>
      <c r="L7" s="17">
        <f ca="1">K7*(1+'02 Assumptions'!L19*'09 Escenarios'!$E$9)</f>
        <v>0</v>
      </c>
      <c r="M7" s="17">
        <f ca="1">L7*(1+'02 Assumptions'!M19*'09 Escenarios'!$E$9)</f>
        <v>0</v>
      </c>
      <c r="N7" s="17">
        <f ca="1">M7*(1+'02 Assumptions'!N19*'09 Escenarios'!$E$9)</f>
        <v>0</v>
      </c>
      <c r="O7" s="17">
        <f ca="1">N7*(1+'02 Assumptions'!O19*'09 Escenarios'!$E$9)</f>
        <v>0</v>
      </c>
      <c r="P7" s="17">
        <f ca="1">O7*(1+'02 Assumptions'!P19*'09 Escenarios'!$E$9)</f>
        <v>0</v>
      </c>
    </row>
    <row r="8" spans="1:16" x14ac:dyDescent="0.3">
      <c r="B8" t="s">
        <v>1885</v>
      </c>
      <c r="C8" t="s">
        <v>95</v>
      </c>
      <c r="D8" s="17"/>
      <c r="E8" s="17"/>
      <c r="F8" s="17">
        <f ca="1">'03 Historical'!F8</f>
        <v>0</v>
      </c>
      <c r="G8" s="17">
        <f ca="1">F8*(1+'02 Assumptions'!G21+'09 Escenarios'!$E$10)</f>
        <v>0</v>
      </c>
      <c r="H8" s="17">
        <f ca="1">G8*(1+'02 Assumptions'!H21+'09 Escenarios'!$E$10)</f>
        <v>0</v>
      </c>
      <c r="I8" s="17">
        <f ca="1">H8*(1+'02 Assumptions'!I21+'09 Escenarios'!$E$10)</f>
        <v>0</v>
      </c>
      <c r="J8" s="17">
        <f ca="1">I8*(1+'02 Assumptions'!J21+'09 Escenarios'!$E$10)</f>
        <v>0</v>
      </c>
      <c r="K8" s="17">
        <f ca="1">J8*(1+'02 Assumptions'!K21+'09 Escenarios'!$E$10)</f>
        <v>0</v>
      </c>
      <c r="L8" s="17">
        <f ca="1">K8*(1+'02 Assumptions'!L21+'09 Escenarios'!$E$10)</f>
        <v>0</v>
      </c>
      <c r="M8" s="17">
        <f ca="1">L8*(1+'02 Assumptions'!M21+'09 Escenarios'!$E$10)</f>
        <v>0</v>
      </c>
      <c r="N8" s="17">
        <f ca="1">M8*(1+'02 Assumptions'!N21+'09 Escenarios'!$E$10)</f>
        <v>0</v>
      </c>
      <c r="O8" s="17">
        <f ca="1">N8*(1+'02 Assumptions'!O21+'09 Escenarios'!$E$10)</f>
        <v>0</v>
      </c>
      <c r="P8" s="17">
        <f ca="1">O8*(1+'02 Assumptions'!P21+'09 Escenarios'!$E$10)</f>
        <v>0</v>
      </c>
    </row>
    <row r="9" spans="1:16" x14ac:dyDescent="0.3">
      <c r="B9" t="s">
        <v>97</v>
      </c>
      <c r="C9" t="s">
        <v>95</v>
      </c>
      <c r="D9" s="17"/>
      <c r="E9" s="17"/>
      <c r="F9" s="17">
        <f ca="1">'03 Historical'!F9</f>
        <v>0</v>
      </c>
      <c r="G9" s="17">
        <f ca="1">F9*(1+'02 Assumptions'!G23+'09 Escenarios'!$E$10)</f>
        <v>0</v>
      </c>
      <c r="H9" s="17">
        <f ca="1">G9*(1+'02 Assumptions'!H23+'09 Escenarios'!$E$10)</f>
        <v>0</v>
      </c>
      <c r="I9" s="17">
        <f ca="1">H9*(1+'02 Assumptions'!I23+'09 Escenarios'!$E$10)</f>
        <v>0</v>
      </c>
      <c r="J9" s="17">
        <f ca="1">I9*(1+'02 Assumptions'!J23+'09 Escenarios'!$E$10)</f>
        <v>0</v>
      </c>
      <c r="K9" s="17">
        <f ca="1">J9*(1+'02 Assumptions'!K23+'09 Escenarios'!$E$10)</f>
        <v>0</v>
      </c>
      <c r="L9" s="17">
        <f ca="1">K9*(1+'02 Assumptions'!L23+'09 Escenarios'!$E$10)</f>
        <v>0</v>
      </c>
      <c r="M9" s="17">
        <f ca="1">L9*(1+'02 Assumptions'!M23+'09 Escenarios'!$E$10)</f>
        <v>0</v>
      </c>
      <c r="N9" s="17">
        <f ca="1">M9*(1+'02 Assumptions'!N23+'09 Escenarios'!$E$10)</f>
        <v>0</v>
      </c>
      <c r="O9" s="17">
        <f ca="1">N9*(1+'02 Assumptions'!O23+'09 Escenarios'!$E$10)</f>
        <v>0</v>
      </c>
      <c r="P9" s="17">
        <f ca="1">O9*(1+'02 Assumptions'!P23+'09 Escenarios'!$E$10)</f>
        <v>0</v>
      </c>
    </row>
    <row r="10" spans="1:16" x14ac:dyDescent="0.3">
      <c r="B10" t="s">
        <v>98</v>
      </c>
      <c r="C10" t="s">
        <v>95</v>
      </c>
      <c r="D10" s="17"/>
      <c r="E10" s="17"/>
      <c r="F10" s="17">
        <f ca="1">'03 Historical'!F10</f>
        <v>0</v>
      </c>
      <c r="G10" s="17">
        <f ca="1">F10*(1+'02 Assumptions'!G25+'09 Escenarios'!$E$10)</f>
        <v>0</v>
      </c>
      <c r="H10" s="17">
        <f ca="1">G10*(1+'02 Assumptions'!H25+'09 Escenarios'!$E$10)</f>
        <v>0</v>
      </c>
      <c r="I10" s="17">
        <f ca="1">H10*(1+'02 Assumptions'!I25+'09 Escenarios'!$E$10)</f>
        <v>0</v>
      </c>
      <c r="J10" s="17">
        <f ca="1">I10*(1+'02 Assumptions'!J25+'09 Escenarios'!$E$10)</f>
        <v>0</v>
      </c>
      <c r="K10" s="17">
        <f ca="1">J10*(1+'02 Assumptions'!K25+'09 Escenarios'!$E$10)</f>
        <v>0</v>
      </c>
      <c r="L10" s="17">
        <f ca="1">K10*(1+'02 Assumptions'!L25+'09 Escenarios'!$E$10)</f>
        <v>0</v>
      </c>
      <c r="M10" s="17">
        <f ca="1">L10*(1+'02 Assumptions'!M25+'09 Escenarios'!$E$10)</f>
        <v>0</v>
      </c>
      <c r="N10" s="17">
        <f ca="1">M10*(1+'02 Assumptions'!N25+'09 Escenarios'!$E$10)</f>
        <v>0</v>
      </c>
      <c r="O10" s="17">
        <f ca="1">N10*(1+'02 Assumptions'!O25+'09 Escenarios'!$E$10)</f>
        <v>0</v>
      </c>
      <c r="P10" s="17">
        <f ca="1">O10*(1+'02 Assumptions'!P25+'09 Escenarios'!$E$10)</f>
        <v>0</v>
      </c>
    </row>
    <row r="11" spans="1:16" x14ac:dyDescent="0.3">
      <c r="B11" s="3" t="s">
        <v>407</v>
      </c>
      <c r="C11" s="3" t="s">
        <v>95</v>
      </c>
      <c r="D11" s="18"/>
      <c r="E11" s="18"/>
      <c r="F11" s="18">
        <f t="shared" ref="F11:P11" ca="1" si="0">SUM(F7:F10)</f>
        <v>0</v>
      </c>
      <c r="G11" s="18">
        <f t="shared" ca="1" si="0"/>
        <v>0</v>
      </c>
      <c r="H11" s="18">
        <f t="shared" ca="1" si="0"/>
        <v>0</v>
      </c>
      <c r="I11" s="18">
        <f t="shared" ca="1" si="0"/>
        <v>0</v>
      </c>
      <c r="J11" s="18">
        <f t="shared" ca="1" si="0"/>
        <v>0</v>
      </c>
      <c r="K11" s="18">
        <f t="shared" ca="1" si="0"/>
        <v>0</v>
      </c>
      <c r="L11" s="18">
        <f t="shared" ca="1" si="0"/>
        <v>0</v>
      </c>
      <c r="M11" s="18">
        <f t="shared" ca="1" si="0"/>
        <v>0</v>
      </c>
      <c r="N11" s="18">
        <f t="shared" ca="1" si="0"/>
        <v>0</v>
      </c>
      <c r="O11" s="18">
        <f t="shared" ca="1" si="0"/>
        <v>0</v>
      </c>
      <c r="P11" s="18">
        <f t="shared" ca="1" si="0"/>
        <v>0</v>
      </c>
    </row>
    <row r="12" spans="1:16" x14ac:dyDescent="0.3">
      <c r="B12" t="s">
        <v>1886</v>
      </c>
      <c r="C12" t="s">
        <v>42</v>
      </c>
      <c r="D12" s="19"/>
      <c r="E12" s="19"/>
      <c r="F12" s="19"/>
      <c r="G12" s="19">
        <f t="shared" ref="G12:P12" ca="1" si="1">G11/F11-1</f>
        <v>0</v>
      </c>
      <c r="H12" s="19">
        <f t="shared" ca="1" si="1"/>
        <v>0</v>
      </c>
      <c r="I12" s="19">
        <f t="shared" ca="1" si="1"/>
        <v>0</v>
      </c>
      <c r="J12" s="19">
        <f t="shared" ca="1" si="1"/>
        <v>0</v>
      </c>
      <c r="K12" s="19">
        <f t="shared" ca="1" si="1"/>
        <v>0</v>
      </c>
      <c r="L12" s="19">
        <f t="shared" ca="1" si="1"/>
        <v>0</v>
      </c>
      <c r="M12" s="19">
        <f t="shared" ca="1" si="1"/>
        <v>0</v>
      </c>
      <c r="N12" s="19">
        <f t="shared" ca="1" si="1"/>
        <v>0</v>
      </c>
      <c r="O12" s="19">
        <f t="shared" ca="1" si="1"/>
        <v>0</v>
      </c>
      <c r="P12" s="19">
        <f t="shared" ca="1" si="1"/>
        <v>0</v>
      </c>
    </row>
    <row r="13" spans="1:16" x14ac:dyDescent="0.3">
      <c r="B13" s="5" t="s">
        <v>1887</v>
      </c>
      <c r="C13" s="5"/>
      <c r="D13" s="5"/>
      <c r="E13" s="5"/>
      <c r="F13" s="5"/>
      <c r="G13" s="5"/>
      <c r="H13" s="5"/>
      <c r="I13" s="5"/>
      <c r="J13" s="5"/>
      <c r="K13" s="5"/>
      <c r="L13" s="5"/>
      <c r="M13" s="5"/>
      <c r="N13" s="5"/>
      <c r="O13" s="5"/>
      <c r="P13" s="5"/>
    </row>
    <row r="14" spans="1:16" x14ac:dyDescent="0.3">
      <c r="B14" t="s">
        <v>105</v>
      </c>
      <c r="C14" t="s">
        <v>42</v>
      </c>
      <c r="D14" s="19"/>
      <c r="E14" s="19"/>
      <c r="F14" s="19"/>
      <c r="G14" s="19">
        <f ca="1">'02 Assumptions'!G29+'09 Escenarios'!$E$11</f>
        <v>0</v>
      </c>
      <c r="H14" s="19">
        <f ca="1">'02 Assumptions'!H29+'09 Escenarios'!$E$11</f>
        <v>0</v>
      </c>
      <c r="I14" s="19">
        <f ca="1">'02 Assumptions'!I29+'09 Escenarios'!$E$11</f>
        <v>0</v>
      </c>
      <c r="J14" s="19">
        <f ca="1">'02 Assumptions'!J29+'09 Escenarios'!$E$11</f>
        <v>0</v>
      </c>
      <c r="K14" s="19">
        <f ca="1">'02 Assumptions'!K29+'09 Escenarios'!$E$11</f>
        <v>0</v>
      </c>
      <c r="L14" s="19">
        <f ca="1">'02 Assumptions'!L29+'09 Escenarios'!$E$11</f>
        <v>0</v>
      </c>
      <c r="M14" s="19">
        <f ca="1">'02 Assumptions'!M29+'09 Escenarios'!$E$11</f>
        <v>0</v>
      </c>
      <c r="N14" s="19">
        <f ca="1">'02 Assumptions'!N29+'09 Escenarios'!$E$11</f>
        <v>0</v>
      </c>
      <c r="O14" s="19">
        <f ca="1">'02 Assumptions'!O29+'09 Escenarios'!$E$11</f>
        <v>0</v>
      </c>
      <c r="P14" s="19">
        <f ca="1">'02 Assumptions'!P29+'09 Escenarios'!$E$11</f>
        <v>0</v>
      </c>
    </row>
    <row r="15" spans="1:16" x14ac:dyDescent="0.3">
      <c r="B15" t="s">
        <v>1888</v>
      </c>
      <c r="C15" t="s">
        <v>95</v>
      </c>
      <c r="D15" s="17"/>
      <c r="E15" s="17"/>
      <c r="F15" s="17"/>
      <c r="G15" s="17">
        <f t="shared" ref="G15:P15" ca="1" si="2">G11*G14</f>
        <v>0</v>
      </c>
      <c r="H15" s="17">
        <f t="shared" ca="1" si="2"/>
        <v>0</v>
      </c>
      <c r="I15" s="17">
        <f t="shared" ca="1" si="2"/>
        <v>0</v>
      </c>
      <c r="J15" s="17">
        <f t="shared" ca="1" si="2"/>
        <v>0</v>
      </c>
      <c r="K15" s="17">
        <f t="shared" ca="1" si="2"/>
        <v>0</v>
      </c>
      <c r="L15" s="17">
        <f t="shared" ca="1" si="2"/>
        <v>0</v>
      </c>
      <c r="M15" s="17">
        <f t="shared" ca="1" si="2"/>
        <v>0</v>
      </c>
      <c r="N15" s="17">
        <f t="shared" ca="1" si="2"/>
        <v>0</v>
      </c>
      <c r="O15" s="17">
        <f t="shared" ca="1" si="2"/>
        <v>0</v>
      </c>
      <c r="P15" s="17">
        <f t="shared" ca="1" si="2"/>
        <v>0</v>
      </c>
    </row>
    <row r="16" spans="1:16" x14ac:dyDescent="0.3">
      <c r="B16" t="s">
        <v>410</v>
      </c>
      <c r="C16" t="s">
        <v>95</v>
      </c>
      <c r="D16" s="17"/>
      <c r="E16" s="17"/>
      <c r="F16" s="17"/>
      <c r="G16" s="17">
        <f t="shared" ref="G16:P16" ca="1" si="3">G11-G15</f>
        <v>0</v>
      </c>
      <c r="H16" s="17">
        <f t="shared" ca="1" si="3"/>
        <v>0</v>
      </c>
      <c r="I16" s="17">
        <f t="shared" ca="1" si="3"/>
        <v>0</v>
      </c>
      <c r="J16" s="17">
        <f t="shared" ca="1" si="3"/>
        <v>0</v>
      </c>
      <c r="K16" s="17">
        <f t="shared" ca="1" si="3"/>
        <v>0</v>
      </c>
      <c r="L16" s="17">
        <f t="shared" ca="1" si="3"/>
        <v>0</v>
      </c>
      <c r="M16" s="17">
        <f t="shared" ca="1" si="3"/>
        <v>0</v>
      </c>
      <c r="N16" s="17">
        <f t="shared" ca="1" si="3"/>
        <v>0</v>
      </c>
      <c r="O16" s="17">
        <f t="shared" ca="1" si="3"/>
        <v>0</v>
      </c>
      <c r="P16" s="17">
        <f t="shared" ca="1" si="3"/>
        <v>0</v>
      </c>
    </row>
    <row r="17" spans="2:16" x14ac:dyDescent="0.3">
      <c r="B17" t="s">
        <v>106</v>
      </c>
      <c r="C17" t="s">
        <v>95</v>
      </c>
      <c r="D17" s="17"/>
      <c r="E17" s="17"/>
      <c r="F17" s="17"/>
      <c r="G17" s="17">
        <f ca="1">G11*('02 Assumptions'!G31+'09 Escenarios'!$E$12*'02 Assumptions'!$Q$32)</f>
        <v>0</v>
      </c>
      <c r="H17" s="17">
        <f ca="1">H11*('02 Assumptions'!H31+'09 Escenarios'!$E$12*'02 Assumptions'!$Q$32)</f>
        <v>0</v>
      </c>
      <c r="I17" s="17">
        <f ca="1">I11*('02 Assumptions'!I31+'09 Escenarios'!$E$12*'02 Assumptions'!$Q$32)</f>
        <v>0</v>
      </c>
      <c r="J17" s="17">
        <f ca="1">J11*('02 Assumptions'!J31+'09 Escenarios'!$E$12*'02 Assumptions'!$Q$32)</f>
        <v>0</v>
      </c>
      <c r="K17" s="17">
        <f ca="1">K11*('02 Assumptions'!K31+'09 Escenarios'!$E$12*'02 Assumptions'!$Q$32)</f>
        <v>0</v>
      </c>
      <c r="L17" s="17">
        <f ca="1">L11*('02 Assumptions'!L31+'09 Escenarios'!$E$12*'02 Assumptions'!$Q$32)</f>
        <v>0</v>
      </c>
      <c r="M17" s="17">
        <f ca="1">M11*('02 Assumptions'!M31+'09 Escenarios'!$E$12*'02 Assumptions'!$Q$32)</f>
        <v>0</v>
      </c>
      <c r="N17" s="17">
        <f ca="1">N11*('02 Assumptions'!N31+'09 Escenarios'!$E$12*'02 Assumptions'!$Q$32)</f>
        <v>0</v>
      </c>
      <c r="O17" s="17">
        <f ca="1">O11*('02 Assumptions'!O31+'09 Escenarios'!$E$12*'02 Assumptions'!$Q$32)</f>
        <v>0</v>
      </c>
      <c r="P17" s="17">
        <f ca="1">P11*('02 Assumptions'!P31+'09 Escenarios'!$E$12*'02 Assumptions'!$Q$32)</f>
        <v>0</v>
      </c>
    </row>
    <row r="18" spans="2:16" x14ac:dyDescent="0.3">
      <c r="B18" t="s">
        <v>1889</v>
      </c>
      <c r="C18" t="s">
        <v>95</v>
      </c>
      <c r="D18" s="17"/>
      <c r="E18" s="17"/>
      <c r="F18" s="17"/>
      <c r="G18" s="17">
        <f ca="1">G11*('02 Assumptions'!G33+'09 Escenarios'!$E$12*'02 Assumptions'!$Q$34)</f>
        <v>0</v>
      </c>
      <c r="H18" s="17">
        <f ca="1">H11*('02 Assumptions'!H33+'09 Escenarios'!$E$12*'02 Assumptions'!$Q$34)</f>
        <v>0</v>
      </c>
      <c r="I18" s="17">
        <f ca="1">I11*('02 Assumptions'!I33+'09 Escenarios'!$E$12*'02 Assumptions'!$Q$34)</f>
        <v>0</v>
      </c>
      <c r="J18" s="17">
        <f ca="1">J11*('02 Assumptions'!J33+'09 Escenarios'!$E$12*'02 Assumptions'!$Q$34)</f>
        <v>0</v>
      </c>
      <c r="K18" s="17">
        <f ca="1">K11*('02 Assumptions'!K33+'09 Escenarios'!$E$12*'02 Assumptions'!$Q$34)</f>
        <v>0</v>
      </c>
      <c r="L18" s="17">
        <f ca="1">L11*('02 Assumptions'!L33+'09 Escenarios'!$E$12*'02 Assumptions'!$Q$34)</f>
        <v>0</v>
      </c>
      <c r="M18" s="17">
        <f ca="1">M11*('02 Assumptions'!M33+'09 Escenarios'!$E$12*'02 Assumptions'!$Q$34)</f>
        <v>0</v>
      </c>
      <c r="N18" s="17">
        <f ca="1">N11*('02 Assumptions'!N33+'09 Escenarios'!$E$12*'02 Assumptions'!$Q$34)</f>
        <v>0</v>
      </c>
      <c r="O18" s="17">
        <f ca="1">O11*('02 Assumptions'!O33+'09 Escenarios'!$E$12*'02 Assumptions'!$Q$34)</f>
        <v>0</v>
      </c>
      <c r="P18" s="17">
        <f ca="1">P11*('02 Assumptions'!P33+'09 Escenarios'!$E$12*'02 Assumptions'!$Q$34)</f>
        <v>0</v>
      </c>
    </row>
    <row r="19" spans="2:16" x14ac:dyDescent="0.3">
      <c r="B19" t="s">
        <v>1890</v>
      </c>
      <c r="C19" t="s">
        <v>95</v>
      </c>
      <c r="D19" s="17"/>
      <c r="E19" s="17"/>
      <c r="F19" s="17"/>
      <c r="G19" s="17">
        <f ca="1">G11*('02 Assumptions'!G35+'09 Escenarios'!$E$12*'02 Assumptions'!$Q$36)</f>
        <v>0</v>
      </c>
      <c r="H19" s="17">
        <f ca="1">H11*('02 Assumptions'!H35+'09 Escenarios'!$E$12*'02 Assumptions'!$Q$36)</f>
        <v>0</v>
      </c>
      <c r="I19" s="17">
        <f ca="1">I11*('02 Assumptions'!I35+'09 Escenarios'!$E$12*'02 Assumptions'!$Q$36)</f>
        <v>0</v>
      </c>
      <c r="J19" s="17">
        <f ca="1">J11*('02 Assumptions'!J35+'09 Escenarios'!$E$12*'02 Assumptions'!$Q$36)</f>
        <v>0</v>
      </c>
      <c r="K19" s="17">
        <f ca="1">K11*('02 Assumptions'!K35+'09 Escenarios'!$E$12*'02 Assumptions'!$Q$36)</f>
        <v>0</v>
      </c>
      <c r="L19" s="17">
        <f ca="1">L11*('02 Assumptions'!L35+'09 Escenarios'!$E$12*'02 Assumptions'!$Q$36)</f>
        <v>0</v>
      </c>
      <c r="M19" s="17">
        <f ca="1">M11*('02 Assumptions'!M35+'09 Escenarios'!$E$12*'02 Assumptions'!$Q$36)</f>
        <v>0</v>
      </c>
      <c r="N19" s="17">
        <f ca="1">N11*('02 Assumptions'!N35+'09 Escenarios'!$E$12*'02 Assumptions'!$Q$36)</f>
        <v>0</v>
      </c>
      <c r="O19" s="17">
        <f ca="1">O11*('02 Assumptions'!O35+'09 Escenarios'!$E$12*'02 Assumptions'!$Q$36)</f>
        <v>0</v>
      </c>
      <c r="P19" s="17">
        <f ca="1">P11*('02 Assumptions'!P35+'09 Escenarios'!$E$12*'02 Assumptions'!$Q$36)</f>
        <v>0</v>
      </c>
    </row>
    <row r="20" spans="2:16" x14ac:dyDescent="0.3">
      <c r="B20" t="s">
        <v>109</v>
      </c>
      <c r="C20" t="s">
        <v>95</v>
      </c>
      <c r="D20" s="17"/>
      <c r="E20" s="17"/>
      <c r="F20" s="17"/>
      <c r="G20" s="17">
        <f ca="1">'02 Assumptions'!G37</f>
        <v>0</v>
      </c>
      <c r="H20" s="17">
        <f ca="1">'02 Assumptions'!H37</f>
        <v>0</v>
      </c>
      <c r="I20" s="17">
        <f ca="1">'02 Assumptions'!I37</f>
        <v>0</v>
      </c>
      <c r="J20" s="17">
        <f ca="1">'02 Assumptions'!J37</f>
        <v>0</v>
      </c>
      <c r="K20" s="17">
        <f ca="1">'02 Assumptions'!K37</f>
        <v>0</v>
      </c>
      <c r="L20" s="17">
        <f ca="1">'02 Assumptions'!L37</f>
        <v>0</v>
      </c>
      <c r="M20" s="17">
        <f ca="1">'02 Assumptions'!M37</f>
        <v>0</v>
      </c>
      <c r="N20" s="17">
        <f ca="1">'02 Assumptions'!N37</f>
        <v>0</v>
      </c>
      <c r="O20" s="17">
        <f ca="1">'02 Assumptions'!O37</f>
        <v>0</v>
      </c>
      <c r="P20" s="17">
        <f ca="1">'02 Assumptions'!P37</f>
        <v>0</v>
      </c>
    </row>
    <row r="21" spans="2:16" x14ac:dyDescent="0.3">
      <c r="B21" t="s">
        <v>348</v>
      </c>
      <c r="C21" t="s">
        <v>95</v>
      </c>
      <c r="D21" s="17"/>
      <c r="E21" s="17"/>
      <c r="F21" s="17"/>
      <c r="G21" s="17">
        <f ca="1">'02 Assumptions'!G38</f>
        <v>0</v>
      </c>
      <c r="H21" s="17">
        <f ca="1">'02 Assumptions'!H38</f>
        <v>0</v>
      </c>
      <c r="I21" s="17">
        <f ca="1">'02 Assumptions'!I38</f>
        <v>0</v>
      </c>
      <c r="J21" s="17">
        <f ca="1">'02 Assumptions'!J38</f>
        <v>0</v>
      </c>
      <c r="K21" s="17">
        <f ca="1">'02 Assumptions'!K38</f>
        <v>0</v>
      </c>
      <c r="L21" s="17">
        <f ca="1">'02 Assumptions'!L38</f>
        <v>0</v>
      </c>
      <c r="M21" s="17">
        <f ca="1">'02 Assumptions'!M38</f>
        <v>0</v>
      </c>
      <c r="N21" s="17">
        <f ca="1">'02 Assumptions'!N38</f>
        <v>0</v>
      </c>
      <c r="O21" s="17">
        <f ca="1">'02 Assumptions'!O38</f>
        <v>0</v>
      </c>
      <c r="P21" s="17">
        <f ca="1">'02 Assumptions'!P38</f>
        <v>0</v>
      </c>
    </row>
    <row r="22" spans="2:16" x14ac:dyDescent="0.3">
      <c r="B22" t="s">
        <v>1891</v>
      </c>
      <c r="C22" t="s">
        <v>95</v>
      </c>
      <c r="D22" s="17"/>
      <c r="E22" s="17"/>
      <c r="F22" s="17"/>
      <c r="G22" s="17">
        <f t="shared" ref="G22:P22" ca="1" si="4">SUM(G17:G21)</f>
        <v>0</v>
      </c>
      <c r="H22" s="17">
        <f t="shared" ca="1" si="4"/>
        <v>0</v>
      </c>
      <c r="I22" s="17">
        <f t="shared" ca="1" si="4"/>
        <v>0</v>
      </c>
      <c r="J22" s="17">
        <f t="shared" ca="1" si="4"/>
        <v>0</v>
      </c>
      <c r="K22" s="17">
        <f t="shared" ca="1" si="4"/>
        <v>0</v>
      </c>
      <c r="L22" s="17">
        <f t="shared" ca="1" si="4"/>
        <v>0</v>
      </c>
      <c r="M22" s="17">
        <f t="shared" ca="1" si="4"/>
        <v>0</v>
      </c>
      <c r="N22" s="17">
        <f t="shared" ca="1" si="4"/>
        <v>0</v>
      </c>
      <c r="O22" s="17">
        <f t="shared" ca="1" si="4"/>
        <v>0</v>
      </c>
      <c r="P22" s="17">
        <f t="shared" ca="1" si="4"/>
        <v>0</v>
      </c>
    </row>
    <row r="23" spans="2:16" x14ac:dyDescent="0.3">
      <c r="B23" s="3" t="s">
        <v>415</v>
      </c>
      <c r="C23" s="3" t="s">
        <v>95</v>
      </c>
      <c r="D23" s="18"/>
      <c r="E23" s="18"/>
      <c r="F23" s="18"/>
      <c r="G23" s="18">
        <f t="shared" ref="G23:P23" ca="1" si="5">G15-G22</f>
        <v>0</v>
      </c>
      <c r="H23" s="18">
        <f t="shared" ca="1" si="5"/>
        <v>0</v>
      </c>
      <c r="I23" s="18">
        <f t="shared" ca="1" si="5"/>
        <v>0</v>
      </c>
      <c r="J23" s="18">
        <f t="shared" ca="1" si="5"/>
        <v>0</v>
      </c>
      <c r="K23" s="18">
        <f t="shared" ca="1" si="5"/>
        <v>0</v>
      </c>
      <c r="L23" s="18">
        <f t="shared" ca="1" si="5"/>
        <v>0</v>
      </c>
      <c r="M23" s="18">
        <f t="shared" ca="1" si="5"/>
        <v>0</v>
      </c>
      <c r="N23" s="18">
        <f t="shared" ca="1" si="5"/>
        <v>0</v>
      </c>
      <c r="O23" s="18">
        <f t="shared" ca="1" si="5"/>
        <v>0</v>
      </c>
      <c r="P23" s="18">
        <f t="shared" ca="1" si="5"/>
        <v>0</v>
      </c>
    </row>
    <row r="24" spans="2:16" x14ac:dyDescent="0.3">
      <c r="B24" s="3" t="s">
        <v>1892</v>
      </c>
      <c r="C24" s="3" t="s">
        <v>95</v>
      </c>
      <c r="D24" s="18"/>
      <c r="E24" s="18"/>
      <c r="F24" s="18"/>
      <c r="G24" s="18">
        <f t="shared" ref="G24:P24" ca="1" si="6">G23+G21</f>
        <v>0</v>
      </c>
      <c r="H24" s="18">
        <f t="shared" ca="1" si="6"/>
        <v>0</v>
      </c>
      <c r="I24" s="18">
        <f t="shared" ca="1" si="6"/>
        <v>0</v>
      </c>
      <c r="J24" s="18">
        <f t="shared" ca="1" si="6"/>
        <v>0</v>
      </c>
      <c r="K24" s="18">
        <f t="shared" ca="1" si="6"/>
        <v>0</v>
      </c>
      <c r="L24" s="18">
        <f t="shared" ca="1" si="6"/>
        <v>0</v>
      </c>
      <c r="M24" s="18">
        <f t="shared" ca="1" si="6"/>
        <v>0</v>
      </c>
      <c r="N24" s="18">
        <f t="shared" ca="1" si="6"/>
        <v>0</v>
      </c>
      <c r="O24" s="18">
        <f t="shared" ca="1" si="6"/>
        <v>0</v>
      </c>
      <c r="P24" s="18">
        <f t="shared" ca="1" si="6"/>
        <v>0</v>
      </c>
    </row>
    <row r="25" spans="2:16" x14ac:dyDescent="0.3">
      <c r="B25" t="s">
        <v>417</v>
      </c>
      <c r="C25" t="s">
        <v>42</v>
      </c>
      <c r="D25" s="19"/>
      <c r="E25" s="19"/>
      <c r="F25" s="19"/>
      <c r="G25" s="19">
        <f t="shared" ref="G25:P25" ca="1" si="7">G24/G11</f>
        <v>0</v>
      </c>
      <c r="H25" s="19">
        <f t="shared" ca="1" si="7"/>
        <v>0</v>
      </c>
      <c r="I25" s="19">
        <f t="shared" ca="1" si="7"/>
        <v>0</v>
      </c>
      <c r="J25" s="19">
        <f t="shared" ca="1" si="7"/>
        <v>0</v>
      </c>
      <c r="K25" s="19">
        <f t="shared" ca="1" si="7"/>
        <v>0</v>
      </c>
      <c r="L25" s="19">
        <f t="shared" ca="1" si="7"/>
        <v>0</v>
      </c>
      <c r="M25" s="19">
        <f t="shared" ca="1" si="7"/>
        <v>0</v>
      </c>
      <c r="N25" s="19">
        <f t="shared" ca="1" si="7"/>
        <v>0</v>
      </c>
      <c r="O25" s="19">
        <f t="shared" ca="1" si="7"/>
        <v>0</v>
      </c>
      <c r="P25" s="19">
        <f t="shared" ca="1" si="7"/>
        <v>0</v>
      </c>
    </row>
    <row r="26" spans="2:16" x14ac:dyDescent="0.3">
      <c r="B26" s="5" t="s">
        <v>349</v>
      </c>
      <c r="C26" s="5"/>
      <c r="D26" s="5"/>
      <c r="E26" s="5"/>
      <c r="F26" s="5"/>
      <c r="G26" s="5"/>
      <c r="H26" s="5"/>
      <c r="I26" s="5"/>
      <c r="J26" s="5"/>
      <c r="K26" s="5"/>
      <c r="L26" s="5"/>
      <c r="M26" s="5"/>
      <c r="N26" s="5"/>
      <c r="O26" s="5"/>
      <c r="P26" s="5"/>
    </row>
    <row r="27" spans="2:16" x14ac:dyDescent="0.3">
      <c r="B27" t="s">
        <v>419</v>
      </c>
      <c r="C27" t="s">
        <v>95</v>
      </c>
      <c r="D27" s="17"/>
      <c r="E27" s="17"/>
      <c r="F27" s="17"/>
      <c r="G27" s="17">
        <f t="shared" ref="G27:P27" ca="1" si="8">F30</f>
        <v>0</v>
      </c>
      <c r="H27" s="17">
        <f t="shared" ca="1" si="8"/>
        <v>0</v>
      </c>
      <c r="I27" s="17">
        <f t="shared" ca="1" si="8"/>
        <v>0</v>
      </c>
      <c r="J27" s="17">
        <f t="shared" ca="1" si="8"/>
        <v>0</v>
      </c>
      <c r="K27" s="17">
        <f t="shared" ca="1" si="8"/>
        <v>0</v>
      </c>
      <c r="L27" s="17">
        <f t="shared" ca="1" si="8"/>
        <v>0</v>
      </c>
      <c r="M27" s="17">
        <f t="shared" ca="1" si="8"/>
        <v>0</v>
      </c>
      <c r="N27" s="17">
        <f t="shared" ca="1" si="8"/>
        <v>0</v>
      </c>
      <c r="O27" s="17">
        <f t="shared" ca="1" si="8"/>
        <v>0</v>
      </c>
      <c r="P27" s="17">
        <f t="shared" ca="1" si="8"/>
        <v>0</v>
      </c>
    </row>
    <row r="28" spans="2:16" x14ac:dyDescent="0.3">
      <c r="B28" t="s">
        <v>206</v>
      </c>
      <c r="C28" t="s">
        <v>95</v>
      </c>
      <c r="D28" s="17"/>
      <c r="E28" s="17"/>
      <c r="F28" s="17"/>
      <c r="G28" s="17">
        <f ca="1">G11*'02 Assumptions'!G41*'09 Escenarios'!$E$13</f>
        <v>0</v>
      </c>
      <c r="H28" s="17">
        <f ca="1">H11*'02 Assumptions'!H41*'09 Escenarios'!$E$13</f>
        <v>0</v>
      </c>
      <c r="I28" s="17">
        <f ca="1">I11*'02 Assumptions'!I41*'09 Escenarios'!$E$13</f>
        <v>0</v>
      </c>
      <c r="J28" s="17">
        <f ca="1">J11*'02 Assumptions'!J41*'09 Escenarios'!$E$13</f>
        <v>0</v>
      </c>
      <c r="K28" s="17">
        <f ca="1">K11*'02 Assumptions'!K41*'09 Escenarios'!$E$13</f>
        <v>0</v>
      </c>
      <c r="L28" s="17">
        <f ca="1">L11*'02 Assumptions'!L41*'09 Escenarios'!$E$13</f>
        <v>0</v>
      </c>
      <c r="M28" s="17">
        <f ca="1">M11*'02 Assumptions'!M41*'09 Escenarios'!$E$13</f>
        <v>0</v>
      </c>
      <c r="N28" s="17">
        <f ca="1">N11*'02 Assumptions'!N41*'09 Escenarios'!$E$13</f>
        <v>0</v>
      </c>
      <c r="O28" s="17">
        <f ca="1">O11*'02 Assumptions'!O41*'09 Escenarios'!$E$13</f>
        <v>0</v>
      </c>
      <c r="P28" s="17">
        <f ca="1">P11*'02 Assumptions'!P41*'09 Escenarios'!$E$13</f>
        <v>0</v>
      </c>
    </row>
    <row r="29" spans="2:16" x14ac:dyDescent="0.3">
      <c r="B29" t="s">
        <v>163</v>
      </c>
      <c r="C29" t="s">
        <v>95</v>
      </c>
      <c r="D29" s="17"/>
      <c r="E29" s="17"/>
      <c r="F29" s="17"/>
      <c r="G29" s="17">
        <f ca="1">(G27+G28/2)/'02 Assumptions'!$C$43</f>
        <v>0</v>
      </c>
      <c r="H29" s="17">
        <f ca="1">(H27+H28/2)/'02 Assumptions'!$C$43</f>
        <v>0</v>
      </c>
      <c r="I29" s="17">
        <f ca="1">(I27+I28/2)/'02 Assumptions'!$C$43</f>
        <v>0</v>
      </c>
      <c r="J29" s="17">
        <f ca="1">(J27+J28/2)/'02 Assumptions'!$C$43</f>
        <v>0</v>
      </c>
      <c r="K29" s="17">
        <f ca="1">(K27+K28/2)/'02 Assumptions'!$C$43</f>
        <v>0</v>
      </c>
      <c r="L29" s="17">
        <f ca="1">(L27+L28/2)/'02 Assumptions'!$C$43</f>
        <v>0</v>
      </c>
      <c r="M29" s="17">
        <f ca="1">(M27+M28/2)/'02 Assumptions'!$C$43</f>
        <v>0</v>
      </c>
      <c r="N29" s="17">
        <f ca="1">(N27+N28/2)/'02 Assumptions'!$C$43</f>
        <v>0</v>
      </c>
      <c r="O29" s="17">
        <f ca="1">(O27+O28/2)/'02 Assumptions'!$C$43</f>
        <v>0</v>
      </c>
      <c r="P29" s="17">
        <f ca="1">(P27+P28/2)/'02 Assumptions'!$C$43</f>
        <v>0</v>
      </c>
    </row>
    <row r="30" spans="2:16" x14ac:dyDescent="0.3">
      <c r="B30" t="s">
        <v>421</v>
      </c>
      <c r="C30" t="s">
        <v>95</v>
      </c>
      <c r="D30" s="17"/>
      <c r="E30" s="17"/>
      <c r="F30" s="17">
        <f ca="1">'03 Historical'!F48</f>
        <v>0</v>
      </c>
      <c r="G30" s="17">
        <f t="shared" ref="G30:P30" ca="1" si="9">G27+G28-G29</f>
        <v>0</v>
      </c>
      <c r="H30" s="17">
        <f t="shared" ca="1" si="9"/>
        <v>0</v>
      </c>
      <c r="I30" s="17">
        <f t="shared" ca="1" si="9"/>
        <v>0</v>
      </c>
      <c r="J30" s="17">
        <f t="shared" ca="1" si="9"/>
        <v>0</v>
      </c>
      <c r="K30" s="17">
        <f t="shared" ca="1" si="9"/>
        <v>0</v>
      </c>
      <c r="L30" s="17">
        <f t="shared" ca="1" si="9"/>
        <v>0</v>
      </c>
      <c r="M30" s="17">
        <f t="shared" ca="1" si="9"/>
        <v>0</v>
      </c>
      <c r="N30" s="17">
        <f t="shared" ca="1" si="9"/>
        <v>0</v>
      </c>
      <c r="O30" s="17">
        <f t="shared" ca="1" si="9"/>
        <v>0</v>
      </c>
      <c r="P30" s="17">
        <f t="shared" ca="1" si="9"/>
        <v>0</v>
      </c>
    </row>
    <row r="31" spans="2:16" x14ac:dyDescent="0.3">
      <c r="B31" t="s">
        <v>1893</v>
      </c>
      <c r="C31" t="s">
        <v>95</v>
      </c>
      <c r="D31" s="17"/>
      <c r="E31" s="17"/>
      <c r="F31" s="17"/>
      <c r="G31" s="17">
        <f t="shared" ref="G31:P31" ca="1" si="10">G29+G20</f>
        <v>0</v>
      </c>
      <c r="H31" s="17">
        <f t="shared" ca="1" si="10"/>
        <v>0</v>
      </c>
      <c r="I31" s="17">
        <f t="shared" ca="1" si="10"/>
        <v>0</v>
      </c>
      <c r="J31" s="17">
        <f t="shared" ca="1" si="10"/>
        <v>0</v>
      </c>
      <c r="K31" s="17">
        <f t="shared" ca="1" si="10"/>
        <v>0</v>
      </c>
      <c r="L31" s="17">
        <f t="shared" ca="1" si="10"/>
        <v>0</v>
      </c>
      <c r="M31" s="17">
        <f t="shared" ca="1" si="10"/>
        <v>0</v>
      </c>
      <c r="N31" s="17">
        <f t="shared" ca="1" si="10"/>
        <v>0</v>
      </c>
      <c r="O31" s="17">
        <f t="shared" ca="1" si="10"/>
        <v>0</v>
      </c>
      <c r="P31" s="17">
        <f t="shared" ca="1" si="10"/>
        <v>0</v>
      </c>
    </row>
    <row r="32" spans="2:16" x14ac:dyDescent="0.3">
      <c r="B32" s="3" t="s">
        <v>1894</v>
      </c>
      <c r="C32" s="3" t="s">
        <v>95</v>
      </c>
      <c r="D32" s="18"/>
      <c r="E32" s="18"/>
      <c r="F32" s="18"/>
      <c r="G32" s="18">
        <f t="shared" ref="G32:P32" ca="1" si="11">G24+G31</f>
        <v>0</v>
      </c>
      <c r="H32" s="18">
        <f t="shared" ca="1" si="11"/>
        <v>0</v>
      </c>
      <c r="I32" s="18">
        <f t="shared" ca="1" si="11"/>
        <v>0</v>
      </c>
      <c r="J32" s="18">
        <f t="shared" ca="1" si="11"/>
        <v>0</v>
      </c>
      <c r="K32" s="18">
        <f t="shared" ca="1" si="11"/>
        <v>0</v>
      </c>
      <c r="L32" s="18">
        <f t="shared" ca="1" si="11"/>
        <v>0</v>
      </c>
      <c r="M32" s="18">
        <f t="shared" ca="1" si="11"/>
        <v>0</v>
      </c>
      <c r="N32" s="18">
        <f t="shared" ca="1" si="11"/>
        <v>0</v>
      </c>
      <c r="O32" s="18">
        <f t="shared" ca="1" si="11"/>
        <v>0</v>
      </c>
      <c r="P32" s="18">
        <f t="shared" ca="1" si="11"/>
        <v>0</v>
      </c>
    </row>
    <row r="33" spans="2:16" x14ac:dyDescent="0.3">
      <c r="B33" s="5" t="s">
        <v>1895</v>
      </c>
      <c r="C33" s="5"/>
      <c r="D33" s="5"/>
      <c r="E33" s="5"/>
      <c r="F33" s="5"/>
      <c r="G33" s="5"/>
      <c r="H33" s="5"/>
      <c r="I33" s="5"/>
      <c r="J33" s="5"/>
      <c r="K33" s="5"/>
      <c r="L33" s="5"/>
      <c r="M33" s="5"/>
      <c r="N33" s="5"/>
      <c r="O33" s="5"/>
      <c r="P33" s="5"/>
    </row>
    <row r="34" spans="2:16" x14ac:dyDescent="0.3">
      <c r="B34" t="s">
        <v>1896</v>
      </c>
      <c r="C34" t="s">
        <v>95</v>
      </c>
      <c r="D34" s="17"/>
      <c r="E34" s="17"/>
      <c r="F34" s="17"/>
      <c r="G34" s="17">
        <f ca="1">('02 Assumptions'!G47+'09 Escenarios'!$E$14)/365*G11</f>
        <v>0</v>
      </c>
      <c r="H34" s="17">
        <f ca="1">('02 Assumptions'!H47+'09 Escenarios'!$E$14)/365*H11</f>
        <v>0</v>
      </c>
      <c r="I34" s="17">
        <f ca="1">('02 Assumptions'!I47+'09 Escenarios'!$E$14)/365*I11</f>
        <v>0</v>
      </c>
      <c r="J34" s="17">
        <f ca="1">('02 Assumptions'!J47+'09 Escenarios'!$E$14)/365*J11</f>
        <v>0</v>
      </c>
      <c r="K34" s="17">
        <f ca="1">('02 Assumptions'!K47+'09 Escenarios'!$E$14)/365*K11</f>
        <v>0</v>
      </c>
      <c r="L34" s="17">
        <f ca="1">('02 Assumptions'!L47+'09 Escenarios'!$E$14)/365*L11</f>
        <v>0</v>
      </c>
      <c r="M34" s="17">
        <f ca="1">('02 Assumptions'!M47+'09 Escenarios'!$E$14)/365*M11</f>
        <v>0</v>
      </c>
      <c r="N34" s="17">
        <f ca="1">('02 Assumptions'!N47+'09 Escenarios'!$E$14)/365*N11</f>
        <v>0</v>
      </c>
      <c r="O34" s="17">
        <f ca="1">('02 Assumptions'!O47+'09 Escenarios'!$E$14)/365*O11</f>
        <v>0</v>
      </c>
      <c r="P34" s="17">
        <f ca="1">('02 Assumptions'!P47+'09 Escenarios'!$E$14)/365*P11</f>
        <v>0</v>
      </c>
    </row>
    <row r="35" spans="2:16" x14ac:dyDescent="0.3">
      <c r="B35" t="s">
        <v>426</v>
      </c>
      <c r="C35" t="s">
        <v>95</v>
      </c>
      <c r="D35" s="17"/>
      <c r="E35" s="17"/>
      <c r="F35" s="17"/>
      <c r="G35" s="17">
        <f ca="1">G11*'02 Assumptions'!G51</f>
        <v>0</v>
      </c>
      <c r="H35" s="17">
        <f ca="1">H11*'02 Assumptions'!H51</f>
        <v>0</v>
      </c>
      <c r="I35" s="17">
        <f ca="1">I11*'02 Assumptions'!I51</f>
        <v>0</v>
      </c>
      <c r="J35" s="17">
        <f ca="1">J11*'02 Assumptions'!J51</f>
        <v>0</v>
      </c>
      <c r="K35" s="17">
        <f ca="1">K11*'02 Assumptions'!K51</f>
        <v>0</v>
      </c>
      <c r="L35" s="17">
        <f ca="1">L11*'02 Assumptions'!L51</f>
        <v>0</v>
      </c>
      <c r="M35" s="17">
        <f ca="1">M11*'02 Assumptions'!M51</f>
        <v>0</v>
      </c>
      <c r="N35" s="17">
        <f ca="1">N11*'02 Assumptions'!N51</f>
        <v>0</v>
      </c>
      <c r="O35" s="17">
        <f ca="1">O11*'02 Assumptions'!O51</f>
        <v>0</v>
      </c>
      <c r="P35" s="17">
        <f ca="1">P11*'02 Assumptions'!P51</f>
        <v>0</v>
      </c>
    </row>
    <row r="36" spans="2:16" x14ac:dyDescent="0.3">
      <c r="B36" t="s">
        <v>142</v>
      </c>
      <c r="C36" t="s">
        <v>95</v>
      </c>
      <c r="D36" s="17"/>
      <c r="E36" s="17"/>
      <c r="F36" s="17"/>
      <c r="G36" s="17">
        <f ca="1">(G16+G28)*'02 Assumptions'!G49</f>
        <v>0</v>
      </c>
      <c r="H36" s="17">
        <f ca="1">(H16+H28)*'02 Assumptions'!H49</f>
        <v>0</v>
      </c>
      <c r="I36" s="17">
        <f ca="1">(I16+I28)*'02 Assumptions'!I49</f>
        <v>0</v>
      </c>
      <c r="J36" s="17">
        <f ca="1">(J16+J28)*'02 Assumptions'!J49</f>
        <v>0</v>
      </c>
      <c r="K36" s="17">
        <f ca="1">(K16+K28)*'02 Assumptions'!K49</f>
        <v>0</v>
      </c>
      <c r="L36" s="17">
        <f ca="1">(L16+L28)*'02 Assumptions'!L49</f>
        <v>0</v>
      </c>
      <c r="M36" s="17">
        <f ca="1">(M16+M28)*'02 Assumptions'!M49</f>
        <v>0</v>
      </c>
      <c r="N36" s="17">
        <f ca="1">(N16+N28)*'02 Assumptions'!N49</f>
        <v>0</v>
      </c>
      <c r="O36" s="17">
        <f ca="1">(O16+O28)*'02 Assumptions'!O49</f>
        <v>0</v>
      </c>
      <c r="P36" s="17">
        <f ca="1">(P16+P28)*'02 Assumptions'!P49</f>
        <v>0</v>
      </c>
    </row>
    <row r="37" spans="2:16" x14ac:dyDescent="0.3">
      <c r="B37" t="s">
        <v>427</v>
      </c>
      <c r="C37" t="s">
        <v>95</v>
      </c>
      <c r="D37" s="17"/>
      <c r="E37" s="17"/>
      <c r="F37" s="17"/>
      <c r="G37" s="17">
        <f ca="1">G11*'02 Assumptions'!G52</f>
        <v>0</v>
      </c>
      <c r="H37" s="17">
        <f ca="1">H11*'02 Assumptions'!H52</f>
        <v>0</v>
      </c>
      <c r="I37" s="17">
        <f ca="1">I11*'02 Assumptions'!I52</f>
        <v>0</v>
      </c>
      <c r="J37" s="17">
        <f ca="1">J11*'02 Assumptions'!J52</f>
        <v>0</v>
      </c>
      <c r="K37" s="17">
        <f ca="1">K11*'02 Assumptions'!K52</f>
        <v>0</v>
      </c>
      <c r="L37" s="17">
        <f ca="1">L11*'02 Assumptions'!L52</f>
        <v>0</v>
      </c>
      <c r="M37" s="17">
        <f ca="1">M11*'02 Assumptions'!M52</f>
        <v>0</v>
      </c>
      <c r="N37" s="17">
        <f ca="1">N11*'02 Assumptions'!N52</f>
        <v>0</v>
      </c>
      <c r="O37" s="17">
        <f ca="1">O11*'02 Assumptions'!O52</f>
        <v>0</v>
      </c>
      <c r="P37" s="17">
        <f ca="1">P11*'02 Assumptions'!P52</f>
        <v>0</v>
      </c>
    </row>
    <row r="38" spans="2:16" x14ac:dyDescent="0.3">
      <c r="B38" t="s">
        <v>144</v>
      </c>
      <c r="C38" t="s">
        <v>95</v>
      </c>
      <c r="D38" s="17"/>
      <c r="E38" s="17"/>
      <c r="F38" s="17"/>
      <c r="G38" s="17">
        <f ca="1">G11*'02 Assumptions'!G50</f>
        <v>0</v>
      </c>
      <c r="H38" s="17">
        <f ca="1">H11*'02 Assumptions'!H50</f>
        <v>0</v>
      </c>
      <c r="I38" s="17">
        <f ca="1">I11*'02 Assumptions'!I50</f>
        <v>0</v>
      </c>
      <c r="J38" s="17">
        <f ca="1">J11*'02 Assumptions'!J50</f>
        <v>0</v>
      </c>
      <c r="K38" s="17">
        <f ca="1">K11*'02 Assumptions'!K50</f>
        <v>0</v>
      </c>
      <c r="L38" s="17">
        <f ca="1">L11*'02 Assumptions'!L50</f>
        <v>0</v>
      </c>
      <c r="M38" s="17">
        <f ca="1">M11*'02 Assumptions'!M50</f>
        <v>0</v>
      </c>
      <c r="N38" s="17">
        <f ca="1">N11*'02 Assumptions'!N50</f>
        <v>0</v>
      </c>
      <c r="O38" s="17">
        <f ca="1">O11*'02 Assumptions'!O50</f>
        <v>0</v>
      </c>
      <c r="P38" s="17">
        <f ca="1">P11*'02 Assumptions'!P50</f>
        <v>0</v>
      </c>
    </row>
    <row r="39" spans="2:16" x14ac:dyDescent="0.3">
      <c r="B39" t="s">
        <v>145</v>
      </c>
      <c r="C39" t="s">
        <v>95</v>
      </c>
      <c r="D39" s="17"/>
      <c r="E39" s="17"/>
      <c r="F39" s="17"/>
      <c r="G39" s="17">
        <f ca="1">G11*'02 Assumptions'!G53</f>
        <v>0</v>
      </c>
      <c r="H39" s="17">
        <f ca="1">H11*'02 Assumptions'!H53</f>
        <v>0</v>
      </c>
      <c r="I39" s="17">
        <f ca="1">I11*'02 Assumptions'!I53</f>
        <v>0</v>
      </c>
      <c r="J39" s="17">
        <f ca="1">J11*'02 Assumptions'!J53</f>
        <v>0</v>
      </c>
      <c r="K39" s="17">
        <f ca="1">K11*'02 Assumptions'!K53</f>
        <v>0</v>
      </c>
      <c r="L39" s="17">
        <f ca="1">L11*'02 Assumptions'!L53</f>
        <v>0</v>
      </c>
      <c r="M39" s="17">
        <f ca="1">M11*'02 Assumptions'!M53</f>
        <v>0</v>
      </c>
      <c r="N39" s="17">
        <f ca="1">N11*'02 Assumptions'!N53</f>
        <v>0</v>
      </c>
      <c r="O39" s="17">
        <f ca="1">O11*'02 Assumptions'!O53</f>
        <v>0</v>
      </c>
      <c r="P39" s="17">
        <f ca="1">P11*'02 Assumptions'!P53</f>
        <v>0</v>
      </c>
    </row>
    <row r="40" spans="2:16" x14ac:dyDescent="0.3">
      <c r="B40" s="3" t="s">
        <v>1897</v>
      </c>
      <c r="C40" s="3" t="s">
        <v>95</v>
      </c>
      <c r="D40" s="18"/>
      <c r="E40" s="18"/>
      <c r="F40" s="18">
        <f ca="1">'04 Operating Model'!F50</f>
        <v>0</v>
      </c>
      <c r="G40" s="18">
        <f t="shared" ref="G40:P40" ca="1" si="12">G34+G35-G36-G37-G38-G39</f>
        <v>0</v>
      </c>
      <c r="H40" s="18">
        <f t="shared" ca="1" si="12"/>
        <v>0</v>
      </c>
      <c r="I40" s="18">
        <f t="shared" ca="1" si="12"/>
        <v>0</v>
      </c>
      <c r="J40" s="18">
        <f t="shared" ca="1" si="12"/>
        <v>0</v>
      </c>
      <c r="K40" s="18">
        <f t="shared" ca="1" si="12"/>
        <v>0</v>
      </c>
      <c r="L40" s="18">
        <f t="shared" ca="1" si="12"/>
        <v>0</v>
      </c>
      <c r="M40" s="18">
        <f t="shared" ca="1" si="12"/>
        <v>0</v>
      </c>
      <c r="N40" s="18">
        <f t="shared" ca="1" si="12"/>
        <v>0</v>
      </c>
      <c r="O40" s="18">
        <f t="shared" ca="1" si="12"/>
        <v>0</v>
      </c>
      <c r="P40" s="18">
        <f t="shared" ca="1" si="12"/>
        <v>0</v>
      </c>
    </row>
    <row r="41" spans="2:16" x14ac:dyDescent="0.3">
      <c r="B41" t="s">
        <v>1898</v>
      </c>
      <c r="C41" t="s">
        <v>95</v>
      </c>
      <c r="D41" s="17"/>
      <c r="E41" s="17"/>
      <c r="F41" s="17"/>
      <c r="G41" s="17">
        <f t="shared" ref="G41:P41" ca="1" si="13">G40-F40</f>
        <v>0</v>
      </c>
      <c r="H41" s="17">
        <f t="shared" ca="1" si="13"/>
        <v>0</v>
      </c>
      <c r="I41" s="17">
        <f t="shared" ca="1" si="13"/>
        <v>0</v>
      </c>
      <c r="J41" s="17">
        <f t="shared" ca="1" si="13"/>
        <v>0</v>
      </c>
      <c r="K41" s="17">
        <f t="shared" ca="1" si="13"/>
        <v>0</v>
      </c>
      <c r="L41" s="17">
        <f t="shared" ca="1" si="13"/>
        <v>0</v>
      </c>
      <c r="M41" s="17">
        <f t="shared" ca="1" si="13"/>
        <v>0</v>
      </c>
      <c r="N41" s="17">
        <f t="shared" ca="1" si="13"/>
        <v>0</v>
      </c>
      <c r="O41" s="17">
        <f t="shared" ca="1" si="13"/>
        <v>0</v>
      </c>
      <c r="P41" s="17">
        <f t="shared" ca="1" si="13"/>
        <v>0</v>
      </c>
    </row>
    <row r="42" spans="2:16" x14ac:dyDescent="0.3">
      <c r="B42" s="5" t="s">
        <v>518</v>
      </c>
      <c r="C42" s="5"/>
      <c r="D42" s="5"/>
      <c r="E42" s="5"/>
      <c r="F42" s="5"/>
      <c r="G42" s="5"/>
      <c r="H42" s="5"/>
      <c r="I42" s="5"/>
      <c r="J42" s="5"/>
      <c r="K42" s="5"/>
      <c r="L42" s="5"/>
      <c r="M42" s="5"/>
      <c r="N42" s="5"/>
      <c r="O42" s="5"/>
      <c r="P42" s="5"/>
    </row>
    <row r="43" spans="2:16" x14ac:dyDescent="0.3">
      <c r="B43" t="s">
        <v>433</v>
      </c>
      <c r="C43" t="s">
        <v>42</v>
      </c>
      <c r="D43" s="19"/>
      <c r="E43" s="19"/>
      <c r="F43" s="19"/>
      <c r="G43" s="19">
        <f ca="1">'02 Assumptions'!G56+'09 Escenarios'!$E$15</f>
        <v>0</v>
      </c>
      <c r="H43" s="19">
        <f ca="1">'02 Assumptions'!H56+'09 Escenarios'!$E$15</f>
        <v>0</v>
      </c>
      <c r="I43" s="19">
        <f ca="1">'02 Assumptions'!I56+'09 Escenarios'!$E$15</f>
        <v>0</v>
      </c>
      <c r="J43" s="19">
        <f ca="1">'02 Assumptions'!J56+'09 Escenarios'!$E$15</f>
        <v>0</v>
      </c>
      <c r="K43" s="19">
        <f ca="1">'02 Assumptions'!K56+'09 Escenarios'!$E$15</f>
        <v>0</v>
      </c>
      <c r="L43" s="19">
        <f ca="1">'02 Assumptions'!L56+'09 Escenarios'!$E$15</f>
        <v>0</v>
      </c>
      <c r="M43" s="19">
        <f ca="1">'02 Assumptions'!M56+'09 Escenarios'!$E$15</f>
        <v>0</v>
      </c>
      <c r="N43" s="19">
        <f ca="1">'02 Assumptions'!N56+'09 Escenarios'!$E$15</f>
        <v>0</v>
      </c>
      <c r="O43" s="19">
        <f ca="1">'02 Assumptions'!O56+'09 Escenarios'!$E$15</f>
        <v>0</v>
      </c>
      <c r="P43" s="19">
        <f ca="1">'02 Assumptions'!P56+'09 Escenarios'!$E$15</f>
        <v>0</v>
      </c>
    </row>
    <row r="44" spans="2:16" x14ac:dyDescent="0.3">
      <c r="B44" t="s">
        <v>512</v>
      </c>
      <c r="C44" t="s">
        <v>95</v>
      </c>
      <c r="D44" s="17"/>
      <c r="E44" s="17"/>
      <c r="F44" s="17"/>
      <c r="G44" s="17">
        <f t="shared" ref="G44:P44" ca="1" si="14">-G24*G43</f>
        <v>0</v>
      </c>
      <c r="H44" s="17">
        <f t="shared" ca="1" si="14"/>
        <v>0</v>
      </c>
      <c r="I44" s="17">
        <f t="shared" ca="1" si="14"/>
        <v>0</v>
      </c>
      <c r="J44" s="17">
        <f t="shared" ca="1" si="14"/>
        <v>0</v>
      </c>
      <c r="K44" s="17">
        <f t="shared" ca="1" si="14"/>
        <v>0</v>
      </c>
      <c r="L44" s="17">
        <f t="shared" ca="1" si="14"/>
        <v>0</v>
      </c>
      <c r="M44" s="17">
        <f t="shared" ca="1" si="14"/>
        <v>0</v>
      </c>
      <c r="N44" s="17">
        <f t="shared" ca="1" si="14"/>
        <v>0</v>
      </c>
      <c r="O44" s="17">
        <f t="shared" ca="1" si="14"/>
        <v>0</v>
      </c>
      <c r="P44" s="17">
        <f t="shared" ca="1" si="14"/>
        <v>0</v>
      </c>
    </row>
    <row r="45" spans="2:16" x14ac:dyDescent="0.3">
      <c r="B45" s="3" t="s">
        <v>513</v>
      </c>
      <c r="C45" s="3" t="s">
        <v>95</v>
      </c>
      <c r="D45" s="18"/>
      <c r="E45" s="18"/>
      <c r="F45" s="18"/>
      <c r="G45" s="18">
        <f t="shared" ref="G45:P45" ca="1" si="15">G24+G44</f>
        <v>0</v>
      </c>
      <c r="H45" s="18">
        <f t="shared" ca="1" si="15"/>
        <v>0</v>
      </c>
      <c r="I45" s="18">
        <f t="shared" ca="1" si="15"/>
        <v>0</v>
      </c>
      <c r="J45" s="18">
        <f t="shared" ca="1" si="15"/>
        <v>0</v>
      </c>
      <c r="K45" s="18">
        <f t="shared" ca="1" si="15"/>
        <v>0</v>
      </c>
      <c r="L45" s="18">
        <f t="shared" ca="1" si="15"/>
        <v>0</v>
      </c>
      <c r="M45" s="18">
        <f t="shared" ca="1" si="15"/>
        <v>0</v>
      </c>
      <c r="N45" s="18">
        <f t="shared" ca="1" si="15"/>
        <v>0</v>
      </c>
      <c r="O45" s="18">
        <f t="shared" ca="1" si="15"/>
        <v>0</v>
      </c>
      <c r="P45" s="18">
        <f t="shared" ca="1" si="15"/>
        <v>0</v>
      </c>
    </row>
    <row r="46" spans="2:16" x14ac:dyDescent="0.3">
      <c r="B46" t="s">
        <v>514</v>
      </c>
      <c r="C46" t="s">
        <v>95</v>
      </c>
      <c r="D46" s="17"/>
      <c r="E46" s="17"/>
      <c r="F46" s="17"/>
      <c r="G46" s="17">
        <f t="shared" ref="G46:P46" ca="1" si="16">G31</f>
        <v>0</v>
      </c>
      <c r="H46" s="17">
        <f t="shared" ca="1" si="16"/>
        <v>0</v>
      </c>
      <c r="I46" s="17">
        <f t="shared" ca="1" si="16"/>
        <v>0</v>
      </c>
      <c r="J46" s="17">
        <f t="shared" ca="1" si="16"/>
        <v>0</v>
      </c>
      <c r="K46" s="17">
        <f t="shared" ca="1" si="16"/>
        <v>0</v>
      </c>
      <c r="L46" s="17">
        <f t="shared" ca="1" si="16"/>
        <v>0</v>
      </c>
      <c r="M46" s="17">
        <f t="shared" ca="1" si="16"/>
        <v>0</v>
      </c>
      <c r="N46" s="17">
        <f t="shared" ca="1" si="16"/>
        <v>0</v>
      </c>
      <c r="O46" s="17">
        <f t="shared" ca="1" si="16"/>
        <v>0</v>
      </c>
      <c r="P46" s="17">
        <f t="shared" ca="1" si="16"/>
        <v>0</v>
      </c>
    </row>
    <row r="47" spans="2:16" x14ac:dyDescent="0.3">
      <c r="B47" t="s">
        <v>515</v>
      </c>
      <c r="C47" t="s">
        <v>95</v>
      </c>
      <c r="D47" s="17"/>
      <c r="E47" s="17"/>
      <c r="F47" s="17"/>
      <c r="G47" s="17">
        <f t="shared" ref="G47:P47" ca="1" si="17">-G28</f>
        <v>0</v>
      </c>
      <c r="H47" s="17">
        <f t="shared" ca="1" si="17"/>
        <v>0</v>
      </c>
      <c r="I47" s="17">
        <f t="shared" ca="1" si="17"/>
        <v>0</v>
      </c>
      <c r="J47" s="17">
        <f t="shared" ca="1" si="17"/>
        <v>0</v>
      </c>
      <c r="K47" s="17">
        <f t="shared" ca="1" si="17"/>
        <v>0</v>
      </c>
      <c r="L47" s="17">
        <f t="shared" ca="1" si="17"/>
        <v>0</v>
      </c>
      <c r="M47" s="17">
        <f t="shared" ca="1" si="17"/>
        <v>0</v>
      </c>
      <c r="N47" s="17">
        <f t="shared" ca="1" si="17"/>
        <v>0</v>
      </c>
      <c r="O47" s="17">
        <f t="shared" ca="1" si="17"/>
        <v>0</v>
      </c>
      <c r="P47" s="17">
        <f t="shared" ca="1" si="17"/>
        <v>0</v>
      </c>
    </row>
    <row r="48" spans="2:16" x14ac:dyDescent="0.3">
      <c r="B48" t="s">
        <v>1899</v>
      </c>
      <c r="C48" t="s">
        <v>95</v>
      </c>
      <c r="D48" s="17"/>
      <c r="E48" s="17"/>
      <c r="F48" s="17"/>
      <c r="G48" s="17">
        <f t="shared" ref="G48:P48" ca="1" si="18">-G41</f>
        <v>0</v>
      </c>
      <c r="H48" s="17">
        <f t="shared" ca="1" si="18"/>
        <v>0</v>
      </c>
      <c r="I48" s="17">
        <f t="shared" ca="1" si="18"/>
        <v>0</v>
      </c>
      <c r="J48" s="17">
        <f t="shared" ca="1" si="18"/>
        <v>0</v>
      </c>
      <c r="K48" s="17">
        <f t="shared" ca="1" si="18"/>
        <v>0</v>
      </c>
      <c r="L48" s="17">
        <f t="shared" ca="1" si="18"/>
        <v>0</v>
      </c>
      <c r="M48" s="17">
        <f t="shared" ca="1" si="18"/>
        <v>0</v>
      </c>
      <c r="N48" s="17">
        <f t="shared" ca="1" si="18"/>
        <v>0</v>
      </c>
      <c r="O48" s="17">
        <f t="shared" ca="1" si="18"/>
        <v>0</v>
      </c>
      <c r="P48" s="17">
        <f t="shared" ca="1" si="18"/>
        <v>0</v>
      </c>
    </row>
    <row r="49" spans="2:16" x14ac:dyDescent="0.3">
      <c r="B49" t="s">
        <v>1900</v>
      </c>
      <c r="C49" t="s">
        <v>95</v>
      </c>
      <c r="D49" s="17"/>
      <c r="E49" s="17"/>
      <c r="F49" s="17"/>
      <c r="G49" s="17">
        <f t="shared" ref="G49:P49" ca="1" si="19">-G21</f>
        <v>0</v>
      </c>
      <c r="H49" s="17">
        <f t="shared" ca="1" si="19"/>
        <v>0</v>
      </c>
      <c r="I49" s="17">
        <f t="shared" ca="1" si="19"/>
        <v>0</v>
      </c>
      <c r="J49" s="17">
        <f t="shared" ca="1" si="19"/>
        <v>0</v>
      </c>
      <c r="K49" s="17">
        <f t="shared" ca="1" si="19"/>
        <v>0</v>
      </c>
      <c r="L49" s="17">
        <f t="shared" ca="1" si="19"/>
        <v>0</v>
      </c>
      <c r="M49" s="17">
        <f t="shared" ca="1" si="19"/>
        <v>0</v>
      </c>
      <c r="N49" s="17">
        <f t="shared" ca="1" si="19"/>
        <v>0</v>
      </c>
      <c r="O49" s="17">
        <f t="shared" ca="1" si="19"/>
        <v>0</v>
      </c>
      <c r="P49" s="17">
        <f t="shared" ca="1" si="19"/>
        <v>0</v>
      </c>
    </row>
    <row r="50" spans="2:16" x14ac:dyDescent="0.3">
      <c r="B50" s="76" t="s">
        <v>518</v>
      </c>
      <c r="C50" s="76" t="s">
        <v>95</v>
      </c>
      <c r="D50" s="106"/>
      <c r="E50" s="106"/>
      <c r="F50" s="106"/>
      <c r="G50" s="106">
        <f t="shared" ref="G50:P50" ca="1" si="20">SUM(G45:G49)</f>
        <v>0</v>
      </c>
      <c r="H50" s="106">
        <f t="shared" ca="1" si="20"/>
        <v>0</v>
      </c>
      <c r="I50" s="106">
        <f t="shared" ca="1" si="20"/>
        <v>0</v>
      </c>
      <c r="J50" s="106">
        <f t="shared" ca="1" si="20"/>
        <v>0</v>
      </c>
      <c r="K50" s="106">
        <f t="shared" ca="1" si="20"/>
        <v>0</v>
      </c>
      <c r="L50" s="106">
        <f t="shared" ca="1" si="20"/>
        <v>0</v>
      </c>
      <c r="M50" s="106">
        <f t="shared" ca="1" si="20"/>
        <v>0</v>
      </c>
      <c r="N50" s="106">
        <f t="shared" ca="1" si="20"/>
        <v>0</v>
      </c>
      <c r="O50" s="106">
        <f t="shared" ca="1" si="20"/>
        <v>0</v>
      </c>
      <c r="P50" s="106">
        <f t="shared" ca="1" si="20"/>
        <v>0</v>
      </c>
    </row>
    <row r="51" spans="2:16" x14ac:dyDescent="0.3">
      <c r="B51" s="5" t="s">
        <v>1914</v>
      </c>
      <c r="C51" s="5"/>
      <c r="D51" s="5"/>
      <c r="E51" s="5"/>
      <c r="F51" s="5"/>
      <c r="G51" s="5"/>
      <c r="H51" s="5"/>
      <c r="I51" s="5"/>
      <c r="J51" s="5"/>
      <c r="K51" s="5"/>
      <c r="L51" s="5"/>
      <c r="M51" s="5"/>
      <c r="N51" s="5"/>
      <c r="O51" s="5"/>
      <c r="P51" s="5"/>
    </row>
    <row r="52" spans="2:16" x14ac:dyDescent="0.3">
      <c r="B52" t="s">
        <v>1901</v>
      </c>
      <c r="C52" t="s">
        <v>42</v>
      </c>
      <c r="D52" s="19"/>
      <c r="E52" s="19"/>
      <c r="F52" s="19"/>
      <c r="G52" s="19">
        <f ca="1">'07 WACC'!$C$36+'09 Escenarios'!$E$17</f>
        <v>0</v>
      </c>
      <c r="H52" s="19">
        <f ca="1">'07 WACC'!$C$36+'09 Escenarios'!$E$17</f>
        <v>0</v>
      </c>
      <c r="I52" s="19">
        <f ca="1">'07 WACC'!$C$36+'09 Escenarios'!$E$17</f>
        <v>0</v>
      </c>
      <c r="J52" s="19">
        <f ca="1">'07 WACC'!$C$36+'09 Escenarios'!$E$17</f>
        <v>0</v>
      </c>
      <c r="K52" s="19">
        <f ca="1">'07 WACC'!$C$36+'09 Escenarios'!$E$17</f>
        <v>0</v>
      </c>
      <c r="L52" s="19">
        <f ca="1">'07 WACC'!$C$36+'09 Escenarios'!$E$17</f>
        <v>0</v>
      </c>
      <c r="M52" s="19">
        <f ca="1">'07 WACC'!$C$36+'09 Escenarios'!$E$17</f>
        <v>0</v>
      </c>
      <c r="N52" s="19">
        <f ca="1">'07 WACC'!$C$36+'09 Escenarios'!$E$17</f>
        <v>0</v>
      </c>
      <c r="O52" s="19">
        <f ca="1">'07 WACC'!$C$36+'09 Escenarios'!$E$17</f>
        <v>0</v>
      </c>
      <c r="P52" s="19">
        <f ca="1">'07 WACC'!$C$36+'09 Escenarios'!$E$17</f>
        <v>0</v>
      </c>
    </row>
    <row r="53" spans="2:16" x14ac:dyDescent="0.3">
      <c r="B53" t="s">
        <v>481</v>
      </c>
      <c r="C53" t="s">
        <v>42</v>
      </c>
      <c r="D53" s="19"/>
      <c r="E53" s="19"/>
      <c r="F53" s="19"/>
      <c r="G53" s="19">
        <f ca="1">'02 Assumptions'!$C$62+'09 Escenarios'!$E$16</f>
        <v>0</v>
      </c>
      <c r="H53" s="19">
        <f ca="1">'02 Assumptions'!$C$62+'09 Escenarios'!$E$16</f>
        <v>0</v>
      </c>
      <c r="I53" s="19">
        <f ca="1">'02 Assumptions'!$C$62+'09 Escenarios'!$E$16</f>
        <v>0</v>
      </c>
      <c r="J53" s="19">
        <f ca="1">'02 Assumptions'!$C$62+'09 Escenarios'!$E$16</f>
        <v>0</v>
      </c>
      <c r="K53" s="19">
        <f ca="1">'02 Assumptions'!$C$62+'09 Escenarios'!$E$16</f>
        <v>0</v>
      </c>
      <c r="L53" s="19">
        <f ca="1">'02 Assumptions'!$C$62+'09 Escenarios'!$E$16</f>
        <v>0</v>
      </c>
      <c r="M53" s="19">
        <f ca="1">'02 Assumptions'!$C$62+'09 Escenarios'!$E$16</f>
        <v>0</v>
      </c>
      <c r="N53" s="19">
        <f ca="1">'02 Assumptions'!$C$62+'09 Escenarios'!$E$16</f>
        <v>0</v>
      </c>
      <c r="O53" s="19">
        <f ca="1">'02 Assumptions'!$C$62+'09 Escenarios'!$E$16</f>
        <v>0</v>
      </c>
      <c r="P53" s="19">
        <f ca="1">'02 Assumptions'!$C$62+'09 Escenarios'!$E$16</f>
        <v>0</v>
      </c>
    </row>
    <row r="54" spans="2:16" x14ac:dyDescent="0.3">
      <c r="B54" t="s">
        <v>526</v>
      </c>
      <c r="C54" t="s">
        <v>42</v>
      </c>
      <c r="D54" s="19"/>
      <c r="E54" s="19"/>
      <c r="F54" s="19"/>
      <c r="G54" s="19">
        <f ca="1">'02 Assumptions'!$C$66</f>
        <v>0</v>
      </c>
      <c r="H54" s="19">
        <f ca="1">'02 Assumptions'!$C$66</f>
        <v>0</v>
      </c>
      <c r="I54" s="19">
        <f ca="1">'02 Assumptions'!$C$66</f>
        <v>0</v>
      </c>
      <c r="J54" s="19">
        <f ca="1">'02 Assumptions'!$C$66</f>
        <v>0</v>
      </c>
      <c r="K54" s="19">
        <f ca="1">'02 Assumptions'!$C$66</f>
        <v>0</v>
      </c>
      <c r="L54" s="19">
        <f ca="1">'02 Assumptions'!$C$66</f>
        <v>0</v>
      </c>
      <c r="M54" s="19">
        <f ca="1">'02 Assumptions'!$C$66</f>
        <v>0</v>
      </c>
      <c r="N54" s="19">
        <f ca="1">'02 Assumptions'!$C$66</f>
        <v>0</v>
      </c>
      <c r="O54" s="19">
        <f ca="1">'02 Assumptions'!$C$66</f>
        <v>0</v>
      </c>
      <c r="P54" s="19">
        <f ca="1">'02 Assumptions'!$C$66</f>
        <v>0</v>
      </c>
    </row>
    <row r="55" spans="2:16" x14ac:dyDescent="0.3">
      <c r="B55" t="s">
        <v>1902</v>
      </c>
      <c r="C55" t="s">
        <v>321</v>
      </c>
      <c r="D55" s="26"/>
      <c r="E55" s="26"/>
      <c r="F55" s="26"/>
      <c r="G55" s="26">
        <f ca="1">COLUMNS($G55:G55)-IF('02 Assumptions'!$C$12=2,0.5,0)</f>
        <v>0</v>
      </c>
      <c r="H55" s="26">
        <f ca="1">COLUMNS($G55:H55)-IF('02 Assumptions'!$C$12=2,0.5,0)</f>
        <v>0</v>
      </c>
      <c r="I55" s="26">
        <f ca="1">COLUMNS($G55:I55)-IF('02 Assumptions'!$C$12=2,0.5,0)</f>
        <v>0</v>
      </c>
      <c r="J55" s="26">
        <f ca="1">COLUMNS($G55:J55)-IF('02 Assumptions'!$C$12=2,0.5,0)</f>
        <v>0</v>
      </c>
      <c r="K55" s="26">
        <f ca="1">COLUMNS($G55:K55)-IF('02 Assumptions'!$C$12=2,0.5,0)</f>
        <v>0</v>
      </c>
      <c r="L55" s="26">
        <f ca="1">COLUMNS($G55:L55)-IF('02 Assumptions'!$C$12=2,0.5,0)</f>
        <v>0</v>
      </c>
      <c r="M55" s="26">
        <f ca="1">COLUMNS($G55:M55)-IF('02 Assumptions'!$C$12=2,0.5,0)</f>
        <v>0</v>
      </c>
      <c r="N55" s="26">
        <f ca="1">COLUMNS($G55:N55)-IF('02 Assumptions'!$C$12=2,0.5,0)</f>
        <v>0</v>
      </c>
      <c r="O55" s="26">
        <f ca="1">COLUMNS($G55:O55)-IF('02 Assumptions'!$C$12=2,0.5,0)</f>
        <v>0</v>
      </c>
      <c r="P55" s="26">
        <f ca="1">COLUMNS($G55:P55)-IF('02 Assumptions'!$C$12=2,0.5,0)</f>
        <v>0</v>
      </c>
    </row>
    <row r="56" spans="2:16" x14ac:dyDescent="0.3">
      <c r="B56" t="s">
        <v>1903</v>
      </c>
      <c r="C56" t="s">
        <v>209</v>
      </c>
      <c r="D56" s="44"/>
      <c r="E56" s="44"/>
      <c r="F56" s="44"/>
      <c r="G56" s="44">
        <f t="shared" ref="G56:P56" ca="1" si="21">1/(1+G52)^G55</f>
        <v>0</v>
      </c>
      <c r="H56" s="44">
        <f t="shared" ca="1" si="21"/>
        <v>0</v>
      </c>
      <c r="I56" s="44">
        <f t="shared" ca="1" si="21"/>
        <v>0</v>
      </c>
      <c r="J56" s="44">
        <f t="shared" ca="1" si="21"/>
        <v>0</v>
      </c>
      <c r="K56" s="44">
        <f t="shared" ca="1" si="21"/>
        <v>0</v>
      </c>
      <c r="L56" s="44">
        <f t="shared" ca="1" si="21"/>
        <v>0</v>
      </c>
      <c r="M56" s="44">
        <f t="shared" ca="1" si="21"/>
        <v>0</v>
      </c>
      <c r="N56" s="44">
        <f t="shared" ca="1" si="21"/>
        <v>0</v>
      </c>
      <c r="O56" s="44">
        <f t="shared" ca="1" si="21"/>
        <v>0</v>
      </c>
      <c r="P56" s="44">
        <f t="shared" ca="1" si="21"/>
        <v>0</v>
      </c>
    </row>
    <row r="57" spans="2:16" x14ac:dyDescent="0.3">
      <c r="B57" t="s">
        <v>1904</v>
      </c>
      <c r="C57" t="s">
        <v>95</v>
      </c>
      <c r="D57" s="17"/>
      <c r="E57" s="17"/>
      <c r="F57" s="17"/>
      <c r="G57" s="17">
        <f t="shared" ref="G57:P57" ca="1" si="22">G50*G56</f>
        <v>0</v>
      </c>
      <c r="H57" s="17">
        <f t="shared" ca="1" si="22"/>
        <v>0</v>
      </c>
      <c r="I57" s="17">
        <f t="shared" ca="1" si="22"/>
        <v>0</v>
      </c>
      <c r="J57" s="17">
        <f t="shared" ca="1" si="22"/>
        <v>0</v>
      </c>
      <c r="K57" s="17">
        <f t="shared" ca="1" si="22"/>
        <v>0</v>
      </c>
      <c r="L57" s="17">
        <f t="shared" ca="1" si="22"/>
        <v>0</v>
      </c>
      <c r="M57" s="17">
        <f t="shared" ca="1" si="22"/>
        <v>0</v>
      </c>
      <c r="N57" s="17">
        <f t="shared" ca="1" si="22"/>
        <v>0</v>
      </c>
      <c r="O57" s="17">
        <f t="shared" ca="1" si="22"/>
        <v>0</v>
      </c>
      <c r="P57" s="17">
        <f t="shared" ca="1" si="22"/>
        <v>0</v>
      </c>
    </row>
    <row r="59" spans="2:16" x14ac:dyDescent="0.3">
      <c r="B59" t="s">
        <v>1919</v>
      </c>
      <c r="C59" t="s">
        <v>95</v>
      </c>
      <c r="D59" s="17"/>
      <c r="E59" s="17"/>
      <c r="F59" s="17">
        <f ca="1">SUM(G57:P57)</f>
        <v>0</v>
      </c>
      <c r="G59" s="17"/>
      <c r="H59" s="17"/>
      <c r="I59" s="17"/>
      <c r="J59" s="17"/>
      <c r="K59" s="17"/>
      <c r="L59" s="17"/>
      <c r="M59" s="17"/>
      <c r="N59" s="17"/>
      <c r="O59" s="17"/>
      <c r="P59" s="17"/>
    </row>
    <row r="60" spans="2:16" x14ac:dyDescent="0.3">
      <c r="B60" t="s">
        <v>1905</v>
      </c>
      <c r="C60" t="s">
        <v>42</v>
      </c>
      <c r="D60" s="19"/>
      <c r="E60" s="19"/>
      <c r="F60" s="19">
        <f ca="1">P53/P54</f>
        <v>0</v>
      </c>
      <c r="G60" s="19"/>
      <c r="H60" s="19"/>
      <c r="I60" s="19"/>
      <c r="J60" s="19"/>
      <c r="K60" s="19"/>
      <c r="L60" s="19"/>
      <c r="M60" s="19"/>
      <c r="N60" s="19"/>
      <c r="O60" s="19"/>
      <c r="P60" s="19"/>
    </row>
    <row r="61" spans="2:16" x14ac:dyDescent="0.3">
      <c r="B61" t="s">
        <v>1906</v>
      </c>
      <c r="C61" t="s">
        <v>95</v>
      </c>
      <c r="D61" s="17"/>
      <c r="E61" s="17"/>
      <c r="F61" s="17">
        <f ca="1">P45*(1+P53)</f>
        <v>0</v>
      </c>
      <c r="G61" s="17"/>
      <c r="H61" s="17"/>
      <c r="I61" s="17"/>
      <c r="J61" s="17"/>
      <c r="K61" s="17"/>
      <c r="L61" s="17"/>
      <c r="M61" s="17"/>
      <c r="N61" s="17"/>
      <c r="O61" s="17"/>
      <c r="P61" s="17"/>
    </row>
    <row r="62" spans="2:16" x14ac:dyDescent="0.3">
      <c r="B62" t="s">
        <v>1907</v>
      </c>
      <c r="C62" t="s">
        <v>95</v>
      </c>
      <c r="D62" s="17"/>
      <c r="E62" s="17"/>
      <c r="F62" s="17">
        <f ca="1">F61*(1-F60)</f>
        <v>0</v>
      </c>
      <c r="G62" s="17"/>
      <c r="H62" s="17"/>
      <c r="I62" s="17"/>
      <c r="J62" s="17"/>
      <c r="K62" s="17"/>
      <c r="L62" s="17"/>
      <c r="M62" s="17"/>
      <c r="N62" s="17"/>
      <c r="O62" s="17"/>
      <c r="P62" s="17"/>
    </row>
    <row r="63" spans="2:16" x14ac:dyDescent="0.3">
      <c r="B63" t="s">
        <v>1908</v>
      </c>
      <c r="C63" t="s">
        <v>95</v>
      </c>
      <c r="D63" s="17"/>
      <c r="E63" s="17"/>
      <c r="F63" s="17">
        <f ca="1">IF(P52&lt;=P53,"FALLO: WACC&lt;=g",F62/(P52-P53))</f>
        <v>0</v>
      </c>
      <c r="G63" s="17"/>
      <c r="H63" s="17"/>
      <c r="I63" s="17"/>
      <c r="J63" s="17"/>
      <c r="K63" s="17"/>
      <c r="L63" s="17"/>
      <c r="M63" s="17"/>
      <c r="N63" s="17"/>
      <c r="O63" s="17"/>
      <c r="P63" s="17"/>
    </row>
    <row r="64" spans="2:16" x14ac:dyDescent="0.3">
      <c r="B64" t="s">
        <v>1909</v>
      </c>
      <c r="C64" t="s">
        <v>209</v>
      </c>
      <c r="D64" s="44"/>
      <c r="E64" s="44"/>
      <c r="F64" s="44">
        <f ca="1">1/(1+P52)^'02 Assumptions'!$C$11</f>
        <v>0</v>
      </c>
      <c r="G64" s="44"/>
      <c r="H64" s="44"/>
      <c r="I64" s="44"/>
      <c r="J64" s="44"/>
      <c r="K64" s="44"/>
      <c r="L64" s="44"/>
      <c r="M64" s="44"/>
      <c r="N64" s="44"/>
      <c r="O64" s="44"/>
      <c r="P64" s="44"/>
    </row>
    <row r="65" spans="2:16" x14ac:dyDescent="0.3">
      <c r="B65" t="s">
        <v>541</v>
      </c>
      <c r="C65" t="s">
        <v>95</v>
      </c>
      <c r="D65" s="17"/>
      <c r="E65" s="17"/>
      <c r="F65" s="17">
        <f ca="1">F63*F64</f>
        <v>0</v>
      </c>
      <c r="G65" s="17"/>
      <c r="H65" s="17"/>
      <c r="I65" s="17"/>
      <c r="J65" s="17"/>
      <c r="K65" s="17"/>
      <c r="L65" s="17"/>
      <c r="M65" s="17"/>
      <c r="N65" s="17"/>
      <c r="O65" s="17"/>
      <c r="P65" s="17"/>
    </row>
    <row r="66" spans="2:16" x14ac:dyDescent="0.3">
      <c r="B66" s="100" t="s">
        <v>542</v>
      </c>
      <c r="C66" s="100" t="s">
        <v>95</v>
      </c>
      <c r="D66" s="107"/>
      <c r="E66" s="107"/>
      <c r="F66" s="107">
        <f ca="1">F59+F65</f>
        <v>0</v>
      </c>
      <c r="G66" s="18"/>
      <c r="H66" s="18"/>
      <c r="I66" s="18"/>
      <c r="J66" s="18"/>
      <c r="K66" s="18"/>
      <c r="L66" s="18"/>
      <c r="M66" s="18"/>
      <c r="N66" s="18"/>
      <c r="O66" s="18"/>
      <c r="P66" s="18"/>
    </row>
    <row r="67" spans="2:16" x14ac:dyDescent="0.3">
      <c r="B67" t="s">
        <v>543</v>
      </c>
      <c r="C67" t="s">
        <v>42</v>
      </c>
      <c r="D67" s="19"/>
      <c r="E67" s="19"/>
      <c r="F67" s="19">
        <f ca="1">F65/F66</f>
        <v>0</v>
      </c>
      <c r="G67" s="19"/>
      <c r="H67" s="19"/>
      <c r="I67" s="19"/>
      <c r="J67" s="19"/>
      <c r="K67" s="19"/>
      <c r="L67" s="19"/>
      <c r="M67" s="19"/>
      <c r="N67" s="19"/>
      <c r="O67" s="19"/>
      <c r="P67" s="19"/>
    </row>
    <row r="68" spans="2:16" x14ac:dyDescent="0.3">
      <c r="B68" t="s">
        <v>591</v>
      </c>
      <c r="C68" t="s">
        <v>209</v>
      </c>
      <c r="D68" s="44"/>
      <c r="E68" s="44"/>
      <c r="F68" s="44">
        <f ca="1">IFERROR(F63/P32,"n/a")</f>
        <v>0</v>
      </c>
      <c r="G68" s="44"/>
      <c r="H68" s="44"/>
      <c r="I68" s="44"/>
      <c r="J68" s="44"/>
      <c r="K68" s="44"/>
      <c r="L68" s="44"/>
      <c r="M68" s="44"/>
      <c r="N68" s="44"/>
      <c r="O68" s="44"/>
      <c r="P68" s="44"/>
    </row>
    <row r="69" spans="2:16" x14ac:dyDescent="0.3">
      <c r="B69" t="s">
        <v>1920</v>
      </c>
      <c r="C69" t="s">
        <v>95</v>
      </c>
      <c r="D69" s="17"/>
      <c r="E69" s="17"/>
      <c r="F69" s="17">
        <f ca="1">SUM('06 DCF'!$F$46:$F$52)</f>
        <v>0</v>
      </c>
      <c r="G69" s="17"/>
      <c r="H69" s="17"/>
      <c r="I69" s="17"/>
      <c r="J69" s="17"/>
      <c r="K69" s="17"/>
      <c r="L69" s="17"/>
      <c r="M69" s="17"/>
      <c r="N69" s="17"/>
      <c r="O69" s="17"/>
      <c r="P69" s="17"/>
    </row>
    <row r="70" spans="2:16" x14ac:dyDescent="0.3">
      <c r="B70" s="100" t="s">
        <v>551</v>
      </c>
      <c r="C70" s="100" t="s">
        <v>95</v>
      </c>
      <c r="D70" s="107"/>
      <c r="E70" s="107"/>
      <c r="F70" s="107">
        <f ca="1">F66+F69</f>
        <v>0</v>
      </c>
      <c r="G70" s="18"/>
      <c r="H70" s="18"/>
      <c r="I70" s="18"/>
      <c r="J70" s="18"/>
      <c r="K70" s="18"/>
      <c r="L70" s="18"/>
      <c r="M70" s="18"/>
      <c r="N70" s="18"/>
      <c r="O70" s="18"/>
      <c r="P70" s="18"/>
    </row>
    <row r="71" spans="2:16" x14ac:dyDescent="0.3">
      <c r="B71" t="s">
        <v>552</v>
      </c>
      <c r="C71" t="s">
        <v>126</v>
      </c>
      <c r="D71" s="21"/>
      <c r="E71" s="21"/>
      <c r="F71" s="21">
        <f ca="1">'02 Assumptions'!$C$69</f>
        <v>0</v>
      </c>
      <c r="G71" s="21"/>
      <c r="H71" s="21"/>
      <c r="I71" s="21"/>
      <c r="J71" s="21"/>
      <c r="K71" s="21"/>
      <c r="L71" s="21"/>
      <c r="M71" s="21"/>
      <c r="N71" s="21"/>
      <c r="O71" s="21"/>
      <c r="P71" s="21"/>
    </row>
    <row r="72" spans="2:16" ht="15.6" x14ac:dyDescent="0.3">
      <c r="B72" s="108" t="s">
        <v>553</v>
      </c>
      <c r="C72" s="108" t="s">
        <v>123</v>
      </c>
      <c r="D72" s="172"/>
      <c r="E72" s="172"/>
      <c r="F72" s="172">
        <f ca="1">F70/F71</f>
        <v>0</v>
      </c>
      <c r="G72" s="190"/>
      <c r="H72" s="190"/>
      <c r="I72" s="190"/>
      <c r="J72" s="190"/>
      <c r="K72" s="190"/>
      <c r="L72" s="190"/>
      <c r="M72" s="190"/>
      <c r="N72" s="190"/>
      <c r="O72" s="190"/>
      <c r="P72" s="190"/>
    </row>
    <row r="73" spans="2:16" x14ac:dyDescent="0.3">
      <c r="B73" t="s">
        <v>717</v>
      </c>
      <c r="C73" t="s">
        <v>123</v>
      </c>
      <c r="D73" s="168"/>
      <c r="E73" s="168"/>
      <c r="F73" s="168">
        <f ca="1">'01 Summary'!$C$10</f>
        <v>0</v>
      </c>
      <c r="G73" s="168"/>
      <c r="H73" s="168"/>
      <c r="I73" s="168"/>
      <c r="J73" s="168"/>
      <c r="K73" s="168"/>
      <c r="L73" s="168"/>
      <c r="M73" s="168"/>
      <c r="N73" s="168"/>
      <c r="O73" s="168"/>
      <c r="P73" s="168"/>
    </row>
    <row r="74" spans="2:16" x14ac:dyDescent="0.3">
      <c r="B74" t="s">
        <v>555</v>
      </c>
      <c r="C74" t="s">
        <v>42</v>
      </c>
      <c r="D74" s="19"/>
      <c r="E74" s="19"/>
      <c r="F74" s="19">
        <f ca="1">IF(F73&lt;=0,"introducir precio",F72/F73-1)</f>
        <v>0</v>
      </c>
      <c r="G74" s="19"/>
      <c r="H74" s="19"/>
      <c r="I74" s="19"/>
      <c r="J74" s="19"/>
      <c r="K74" s="19"/>
      <c r="L74" s="19"/>
      <c r="M74" s="19"/>
      <c r="N74" s="19"/>
      <c r="O74" s="19"/>
      <c r="P74" s="19"/>
    </row>
    <row r="75" spans="2:16" x14ac:dyDescent="0.3">
      <c r="B75" t="s">
        <v>1921</v>
      </c>
      <c r="C75" t="s">
        <v>95</v>
      </c>
      <c r="D75" s="17"/>
      <c r="E75" s="17"/>
      <c r="F75" s="17">
        <f ca="1">P11</f>
        <v>0</v>
      </c>
      <c r="G75" s="17"/>
      <c r="H75" s="17"/>
      <c r="I75" s="17"/>
      <c r="J75" s="17"/>
      <c r="K75" s="17"/>
      <c r="L75" s="17"/>
      <c r="M75" s="17"/>
      <c r="N75" s="17"/>
      <c r="O75" s="17"/>
      <c r="P75" s="17"/>
    </row>
    <row r="77" spans="2:16" x14ac:dyDescent="0.3">
      <c r="B77" s="5" t="s">
        <v>1910</v>
      </c>
      <c r="C77" s="5"/>
      <c r="D77" s="5"/>
      <c r="E77" s="5"/>
      <c r="F77" s="5"/>
      <c r="G77" s="5"/>
      <c r="H77" s="5"/>
      <c r="I77" s="5"/>
      <c r="J77" s="5"/>
      <c r="K77" s="5"/>
      <c r="L77" s="5"/>
      <c r="M77" s="5"/>
      <c r="N77" s="5"/>
      <c r="O77" s="5"/>
      <c r="P77" s="5"/>
    </row>
    <row r="78" spans="2:16" x14ac:dyDescent="0.3">
      <c r="B78" s="102" t="s">
        <v>482</v>
      </c>
      <c r="C78" s="102"/>
      <c r="D78" s="102"/>
      <c r="E78" s="102"/>
      <c r="F78" s="102">
        <f ca="1">IF(P52&gt;P53,"OK","FALLO")</f>
        <v>0</v>
      </c>
      <c r="G78" s="5"/>
      <c r="H78" s="5"/>
      <c r="I78" s="5"/>
      <c r="J78" s="5"/>
      <c r="K78" s="5"/>
      <c r="L78" s="5"/>
      <c r="M78" s="5"/>
      <c r="N78" s="5"/>
      <c r="O78" s="5"/>
      <c r="P78" s="5"/>
    </row>
    <row r="79" spans="2:16" x14ac:dyDescent="0.3">
      <c r="B79" s="102" t="s">
        <v>1911</v>
      </c>
      <c r="C79" s="102"/>
      <c r="D79" s="102"/>
      <c r="E79" s="102"/>
      <c r="F79" s="102">
        <f ca="1">IF(P50&gt;0,"OK","FALLO")</f>
        <v>0</v>
      </c>
      <c r="G79" s="5"/>
      <c r="H79" s="5"/>
      <c r="I79" s="5"/>
      <c r="J79" s="5"/>
      <c r="K79" s="5"/>
      <c r="L79" s="5"/>
      <c r="M79" s="5"/>
      <c r="N79" s="5"/>
      <c r="O79" s="5"/>
      <c r="P79" s="5"/>
    </row>
    <row r="80" spans="2:16" x14ac:dyDescent="0.3">
      <c r="B80" s="102" t="s">
        <v>1912</v>
      </c>
      <c r="C80" s="102"/>
      <c r="D80" s="102"/>
      <c r="E80" s="102"/>
      <c r="F80" s="102">
        <f ca="1">IF(P12&gt;=P53,"OK","AVISO: el último año explícito crece menos que la perpetuidad")</f>
        <v>0</v>
      </c>
      <c r="G80" s="5"/>
      <c r="H80" s="5"/>
      <c r="I80" s="5"/>
      <c r="J80" s="5"/>
      <c r="K80" s="5"/>
      <c r="L80" s="5"/>
      <c r="M80" s="5"/>
      <c r="N80" s="5"/>
      <c r="O80" s="5"/>
      <c r="P80" s="5"/>
    </row>
    <row r="81" spans="2:16" x14ac:dyDescent="0.3">
      <c r="B81" s="102" t="s">
        <v>1922</v>
      </c>
      <c r="C81" s="102"/>
      <c r="D81" s="102"/>
      <c r="E81" s="102"/>
      <c r="F81" s="102" cm="1">
        <f t="array" aca="1" ref="F81" ca="1">IF(SUMPRODUCT(--ISERROR($G$7:$P$57))=0,"OK","FALLO")</f>
        <v>0</v>
      </c>
      <c r="G81" s="5"/>
      <c r="H81" s="5"/>
      <c r="I81" s="5"/>
      <c r="J81" s="5"/>
      <c r="K81" s="5"/>
      <c r="L81" s="5"/>
      <c r="M81" s="5"/>
      <c r="N81" s="5"/>
      <c r="O81" s="5"/>
      <c r="P81" s="5"/>
    </row>
    <row r="82" spans="2:16" x14ac:dyDescent="0.3">
      <c r="B82" s="102" t="s">
        <v>1923</v>
      </c>
      <c r="C82" s="102"/>
      <c r="D82" s="102"/>
      <c r="E82" s="102"/>
      <c r="F82" s="102">
        <f ca="1">IF(ABS(F72-'06 DCF'!$F$55)&lt;0.01,"OK","FALLO: el escenario Base no reproduce el DCF")</f>
        <v>0</v>
      </c>
      <c r="G82" s="5"/>
      <c r="H82" s="5"/>
      <c r="I82" s="5"/>
      <c r="J82" s="5"/>
      <c r="K82" s="5"/>
      <c r="L82" s="5"/>
      <c r="M82" s="5"/>
      <c r="N82" s="5"/>
      <c r="O82" s="5"/>
      <c r="P82"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D92D-4B22-44AB-B0DD-3492EFBAA068}">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1917</v>
      </c>
    </row>
    <row r="2" spans="1:16" x14ac:dyDescent="0.3">
      <c r="A2" s="14" t="s">
        <v>1918</v>
      </c>
    </row>
    <row r="4" spans="1:16" x14ac:dyDescent="0.3">
      <c r="B4" s="15" t="s">
        <v>88</v>
      </c>
      <c r="C4" s="15" t="s">
        <v>89</v>
      </c>
      <c r="D4" s="15">
        <f ca="1">'00 Panel del Analista'!D14</f>
        <v>0</v>
      </c>
      <c r="E4" s="15">
        <f ca="1">'00 Panel del Analista'!E14</f>
        <v>0</v>
      </c>
      <c r="F4" s="15">
        <f ca="1">'00 Panel del Analista'!F14</f>
        <v>0</v>
      </c>
      <c r="G4" s="15">
        <f ca="1">'00 Panel del Analista'!G14</f>
        <v>0</v>
      </c>
      <c r="H4" s="15">
        <f ca="1">'00 Panel del Analista'!H14</f>
        <v>0</v>
      </c>
      <c r="I4" s="15">
        <f ca="1">'00 Panel del Analista'!I14</f>
        <v>0</v>
      </c>
      <c r="J4" s="15">
        <f ca="1">'00 Panel del Analista'!J14</f>
        <v>0</v>
      </c>
      <c r="K4" s="15">
        <f ca="1">'00 Panel del Analista'!K14</f>
        <v>0</v>
      </c>
      <c r="L4" s="15">
        <f ca="1">'00 Panel del Analista'!L14</f>
        <v>0</v>
      </c>
      <c r="M4" s="15">
        <f ca="1">'00 Panel del Analista'!M14</f>
        <v>0</v>
      </c>
      <c r="N4" s="15">
        <f ca="1">'00 Panel del Analista'!N14</f>
        <v>0</v>
      </c>
      <c r="O4" s="15">
        <f ca="1">'00 Panel del Analista'!O14</f>
        <v>0</v>
      </c>
      <c r="P4" s="15">
        <f ca="1">'00 Panel del Analista'!P14</f>
        <v>0</v>
      </c>
    </row>
    <row r="6" spans="1:16" x14ac:dyDescent="0.3">
      <c r="B6" s="5" t="s">
        <v>1884</v>
      </c>
      <c r="C6" s="5"/>
      <c r="D6" s="5"/>
      <c r="E6" s="5"/>
      <c r="F6" s="5"/>
      <c r="G6" s="5"/>
      <c r="H6" s="5"/>
      <c r="I6" s="5"/>
      <c r="J6" s="5"/>
      <c r="K6" s="5"/>
      <c r="L6" s="5"/>
      <c r="M6" s="5"/>
      <c r="N6" s="5"/>
      <c r="O6" s="5"/>
      <c r="P6" s="5"/>
    </row>
    <row r="7" spans="1:16" x14ac:dyDescent="0.3">
      <c r="B7" t="s">
        <v>94</v>
      </c>
      <c r="C7" t="s">
        <v>95</v>
      </c>
      <c r="D7" s="17"/>
      <c r="E7" s="17"/>
      <c r="F7" s="17">
        <f ca="1">'03 Historical'!F7</f>
        <v>0</v>
      </c>
      <c r="G7" s="17">
        <f ca="1">F7*(1+'02 Assumptions'!G19*'09 Escenarios'!$F$9)</f>
        <v>0</v>
      </c>
      <c r="H7" s="17">
        <f ca="1">G7*(1+'02 Assumptions'!H19*'09 Escenarios'!$F$9)</f>
        <v>0</v>
      </c>
      <c r="I7" s="17">
        <f ca="1">H7*(1+'02 Assumptions'!I19*'09 Escenarios'!$F$9)</f>
        <v>0</v>
      </c>
      <c r="J7" s="17">
        <f ca="1">I7*(1+'02 Assumptions'!J19*'09 Escenarios'!$F$9)</f>
        <v>0</v>
      </c>
      <c r="K7" s="17">
        <f ca="1">J7*(1+'02 Assumptions'!K19*'09 Escenarios'!$F$9)</f>
        <v>0</v>
      </c>
      <c r="L7" s="17">
        <f ca="1">K7*(1+'02 Assumptions'!L19*'09 Escenarios'!$F$9)</f>
        <v>0</v>
      </c>
      <c r="M7" s="17">
        <f ca="1">L7*(1+'02 Assumptions'!M19*'09 Escenarios'!$F$9)</f>
        <v>0</v>
      </c>
      <c r="N7" s="17">
        <f ca="1">M7*(1+'02 Assumptions'!N19*'09 Escenarios'!$F$9)</f>
        <v>0</v>
      </c>
      <c r="O7" s="17">
        <f ca="1">N7*(1+'02 Assumptions'!O19*'09 Escenarios'!$F$9)</f>
        <v>0</v>
      </c>
      <c r="P7" s="17">
        <f ca="1">O7*(1+'02 Assumptions'!P19*'09 Escenarios'!$F$9)</f>
        <v>0</v>
      </c>
    </row>
    <row r="8" spans="1:16" x14ac:dyDescent="0.3">
      <c r="B8" t="s">
        <v>1885</v>
      </c>
      <c r="C8" t="s">
        <v>95</v>
      </c>
      <c r="D8" s="17"/>
      <c r="E8" s="17"/>
      <c r="F8" s="17">
        <f ca="1">'03 Historical'!F8</f>
        <v>0</v>
      </c>
      <c r="G8" s="17">
        <f ca="1">F8*(1+'02 Assumptions'!G21+'09 Escenarios'!$F$10)</f>
        <v>0</v>
      </c>
      <c r="H8" s="17">
        <f ca="1">G8*(1+'02 Assumptions'!H21+'09 Escenarios'!$F$10)</f>
        <v>0</v>
      </c>
      <c r="I8" s="17">
        <f ca="1">H8*(1+'02 Assumptions'!I21+'09 Escenarios'!$F$10)</f>
        <v>0</v>
      </c>
      <c r="J8" s="17">
        <f ca="1">I8*(1+'02 Assumptions'!J21+'09 Escenarios'!$F$10)</f>
        <v>0</v>
      </c>
      <c r="K8" s="17">
        <f ca="1">J8*(1+'02 Assumptions'!K21+'09 Escenarios'!$F$10)</f>
        <v>0</v>
      </c>
      <c r="L8" s="17">
        <f ca="1">K8*(1+'02 Assumptions'!L21+'09 Escenarios'!$F$10)</f>
        <v>0</v>
      </c>
      <c r="M8" s="17">
        <f ca="1">L8*(1+'02 Assumptions'!M21+'09 Escenarios'!$F$10)</f>
        <v>0</v>
      </c>
      <c r="N8" s="17">
        <f ca="1">M8*(1+'02 Assumptions'!N21+'09 Escenarios'!$F$10)</f>
        <v>0</v>
      </c>
      <c r="O8" s="17">
        <f ca="1">N8*(1+'02 Assumptions'!O21+'09 Escenarios'!$F$10)</f>
        <v>0</v>
      </c>
      <c r="P8" s="17">
        <f ca="1">O8*(1+'02 Assumptions'!P21+'09 Escenarios'!$F$10)</f>
        <v>0</v>
      </c>
    </row>
    <row r="9" spans="1:16" x14ac:dyDescent="0.3">
      <c r="B9" t="s">
        <v>97</v>
      </c>
      <c r="C9" t="s">
        <v>95</v>
      </c>
      <c r="D9" s="17"/>
      <c r="E9" s="17"/>
      <c r="F9" s="17">
        <f ca="1">'03 Historical'!F9</f>
        <v>0</v>
      </c>
      <c r="G9" s="17">
        <f ca="1">F9*(1+'02 Assumptions'!G23+'09 Escenarios'!$F$10)</f>
        <v>0</v>
      </c>
      <c r="H9" s="17">
        <f ca="1">G9*(1+'02 Assumptions'!H23+'09 Escenarios'!$F$10)</f>
        <v>0</v>
      </c>
      <c r="I9" s="17">
        <f ca="1">H9*(1+'02 Assumptions'!I23+'09 Escenarios'!$F$10)</f>
        <v>0</v>
      </c>
      <c r="J9" s="17">
        <f ca="1">I9*(1+'02 Assumptions'!J23+'09 Escenarios'!$F$10)</f>
        <v>0</v>
      </c>
      <c r="K9" s="17">
        <f ca="1">J9*(1+'02 Assumptions'!K23+'09 Escenarios'!$F$10)</f>
        <v>0</v>
      </c>
      <c r="L9" s="17">
        <f ca="1">K9*(1+'02 Assumptions'!L23+'09 Escenarios'!$F$10)</f>
        <v>0</v>
      </c>
      <c r="M9" s="17">
        <f ca="1">L9*(1+'02 Assumptions'!M23+'09 Escenarios'!$F$10)</f>
        <v>0</v>
      </c>
      <c r="N9" s="17">
        <f ca="1">M9*(1+'02 Assumptions'!N23+'09 Escenarios'!$F$10)</f>
        <v>0</v>
      </c>
      <c r="O9" s="17">
        <f ca="1">N9*(1+'02 Assumptions'!O23+'09 Escenarios'!$F$10)</f>
        <v>0</v>
      </c>
      <c r="P9" s="17">
        <f ca="1">O9*(1+'02 Assumptions'!P23+'09 Escenarios'!$F$10)</f>
        <v>0</v>
      </c>
    </row>
    <row r="10" spans="1:16" x14ac:dyDescent="0.3">
      <c r="B10" t="s">
        <v>98</v>
      </c>
      <c r="C10" t="s">
        <v>95</v>
      </c>
      <c r="D10" s="17"/>
      <c r="E10" s="17"/>
      <c r="F10" s="17">
        <f ca="1">'03 Historical'!F10</f>
        <v>0</v>
      </c>
      <c r="G10" s="17">
        <f ca="1">F10*(1+'02 Assumptions'!G25+'09 Escenarios'!$F$10)</f>
        <v>0</v>
      </c>
      <c r="H10" s="17">
        <f ca="1">G10*(1+'02 Assumptions'!H25+'09 Escenarios'!$F$10)</f>
        <v>0</v>
      </c>
      <c r="I10" s="17">
        <f ca="1">H10*(1+'02 Assumptions'!I25+'09 Escenarios'!$F$10)</f>
        <v>0</v>
      </c>
      <c r="J10" s="17">
        <f ca="1">I10*(1+'02 Assumptions'!J25+'09 Escenarios'!$F$10)</f>
        <v>0</v>
      </c>
      <c r="K10" s="17">
        <f ca="1">J10*(1+'02 Assumptions'!K25+'09 Escenarios'!$F$10)</f>
        <v>0</v>
      </c>
      <c r="L10" s="17">
        <f ca="1">K10*(1+'02 Assumptions'!L25+'09 Escenarios'!$F$10)</f>
        <v>0</v>
      </c>
      <c r="M10" s="17">
        <f ca="1">L10*(1+'02 Assumptions'!M25+'09 Escenarios'!$F$10)</f>
        <v>0</v>
      </c>
      <c r="N10" s="17">
        <f ca="1">M10*(1+'02 Assumptions'!N25+'09 Escenarios'!$F$10)</f>
        <v>0</v>
      </c>
      <c r="O10" s="17">
        <f ca="1">N10*(1+'02 Assumptions'!O25+'09 Escenarios'!$F$10)</f>
        <v>0</v>
      </c>
      <c r="P10" s="17">
        <f ca="1">O10*(1+'02 Assumptions'!P25+'09 Escenarios'!$F$10)</f>
        <v>0</v>
      </c>
    </row>
    <row r="11" spans="1:16" x14ac:dyDescent="0.3">
      <c r="B11" s="3" t="s">
        <v>407</v>
      </c>
      <c r="C11" s="3" t="s">
        <v>95</v>
      </c>
      <c r="D11" s="18"/>
      <c r="E11" s="18"/>
      <c r="F11" s="18">
        <f t="shared" ref="F11:P11" ca="1" si="0">SUM(F7:F10)</f>
        <v>0</v>
      </c>
      <c r="G11" s="18">
        <f t="shared" ca="1" si="0"/>
        <v>0</v>
      </c>
      <c r="H11" s="18">
        <f t="shared" ca="1" si="0"/>
        <v>0</v>
      </c>
      <c r="I11" s="18">
        <f t="shared" ca="1" si="0"/>
        <v>0</v>
      </c>
      <c r="J11" s="18">
        <f t="shared" ca="1" si="0"/>
        <v>0</v>
      </c>
      <c r="K11" s="18">
        <f t="shared" ca="1" si="0"/>
        <v>0</v>
      </c>
      <c r="L11" s="18">
        <f t="shared" ca="1" si="0"/>
        <v>0</v>
      </c>
      <c r="M11" s="18">
        <f t="shared" ca="1" si="0"/>
        <v>0</v>
      </c>
      <c r="N11" s="18">
        <f t="shared" ca="1" si="0"/>
        <v>0</v>
      </c>
      <c r="O11" s="18">
        <f t="shared" ca="1" si="0"/>
        <v>0</v>
      </c>
      <c r="P11" s="18">
        <f t="shared" ca="1" si="0"/>
        <v>0</v>
      </c>
    </row>
    <row r="12" spans="1:16" x14ac:dyDescent="0.3">
      <c r="B12" t="s">
        <v>1886</v>
      </c>
      <c r="C12" t="s">
        <v>42</v>
      </c>
      <c r="D12" s="19"/>
      <c r="E12" s="19"/>
      <c r="F12" s="19"/>
      <c r="G12" s="19">
        <f t="shared" ref="G12:P12" ca="1" si="1">G11/F11-1</f>
        <v>0</v>
      </c>
      <c r="H12" s="19">
        <f t="shared" ca="1" si="1"/>
        <v>0</v>
      </c>
      <c r="I12" s="19">
        <f t="shared" ca="1" si="1"/>
        <v>0</v>
      </c>
      <c r="J12" s="19">
        <f t="shared" ca="1" si="1"/>
        <v>0</v>
      </c>
      <c r="K12" s="19">
        <f t="shared" ca="1" si="1"/>
        <v>0</v>
      </c>
      <c r="L12" s="19">
        <f t="shared" ca="1" si="1"/>
        <v>0</v>
      </c>
      <c r="M12" s="19">
        <f t="shared" ca="1" si="1"/>
        <v>0</v>
      </c>
      <c r="N12" s="19">
        <f t="shared" ca="1" si="1"/>
        <v>0</v>
      </c>
      <c r="O12" s="19">
        <f t="shared" ca="1" si="1"/>
        <v>0</v>
      </c>
      <c r="P12" s="19">
        <f t="shared" ca="1" si="1"/>
        <v>0</v>
      </c>
    </row>
    <row r="13" spans="1:16" x14ac:dyDescent="0.3">
      <c r="B13" s="5" t="s">
        <v>1887</v>
      </c>
      <c r="C13" s="5"/>
      <c r="D13" s="5"/>
      <c r="E13" s="5"/>
      <c r="F13" s="5"/>
      <c r="G13" s="5"/>
      <c r="H13" s="5"/>
      <c r="I13" s="5"/>
      <c r="J13" s="5"/>
      <c r="K13" s="5"/>
      <c r="L13" s="5"/>
      <c r="M13" s="5"/>
      <c r="N13" s="5"/>
      <c r="O13" s="5"/>
      <c r="P13" s="5"/>
    </row>
    <row r="14" spans="1:16" x14ac:dyDescent="0.3">
      <c r="B14" t="s">
        <v>105</v>
      </c>
      <c r="C14" t="s">
        <v>42</v>
      </c>
      <c r="D14" s="19"/>
      <c r="E14" s="19"/>
      <c r="F14" s="19"/>
      <c r="G14" s="19">
        <f ca="1">'02 Assumptions'!G29+'09 Escenarios'!$F$11</f>
        <v>0</v>
      </c>
      <c r="H14" s="19">
        <f ca="1">'02 Assumptions'!H29+'09 Escenarios'!$F$11</f>
        <v>0</v>
      </c>
      <c r="I14" s="19">
        <f ca="1">'02 Assumptions'!I29+'09 Escenarios'!$F$11</f>
        <v>0</v>
      </c>
      <c r="J14" s="19">
        <f ca="1">'02 Assumptions'!J29+'09 Escenarios'!$F$11</f>
        <v>0</v>
      </c>
      <c r="K14" s="19">
        <f ca="1">'02 Assumptions'!K29+'09 Escenarios'!$F$11</f>
        <v>0</v>
      </c>
      <c r="L14" s="19">
        <f ca="1">'02 Assumptions'!L29+'09 Escenarios'!$F$11</f>
        <v>0</v>
      </c>
      <c r="M14" s="19">
        <f ca="1">'02 Assumptions'!M29+'09 Escenarios'!$F$11</f>
        <v>0</v>
      </c>
      <c r="N14" s="19">
        <f ca="1">'02 Assumptions'!N29+'09 Escenarios'!$F$11</f>
        <v>0</v>
      </c>
      <c r="O14" s="19">
        <f ca="1">'02 Assumptions'!O29+'09 Escenarios'!$F$11</f>
        <v>0</v>
      </c>
      <c r="P14" s="19">
        <f ca="1">'02 Assumptions'!P29+'09 Escenarios'!$F$11</f>
        <v>0</v>
      </c>
    </row>
    <row r="15" spans="1:16" x14ac:dyDescent="0.3">
      <c r="B15" t="s">
        <v>1888</v>
      </c>
      <c r="C15" t="s">
        <v>95</v>
      </c>
      <c r="D15" s="17"/>
      <c r="E15" s="17"/>
      <c r="F15" s="17"/>
      <c r="G15" s="17">
        <f t="shared" ref="G15:P15" ca="1" si="2">G11*G14</f>
        <v>0</v>
      </c>
      <c r="H15" s="17">
        <f t="shared" ca="1" si="2"/>
        <v>0</v>
      </c>
      <c r="I15" s="17">
        <f t="shared" ca="1" si="2"/>
        <v>0</v>
      </c>
      <c r="J15" s="17">
        <f t="shared" ca="1" si="2"/>
        <v>0</v>
      </c>
      <c r="K15" s="17">
        <f t="shared" ca="1" si="2"/>
        <v>0</v>
      </c>
      <c r="L15" s="17">
        <f t="shared" ca="1" si="2"/>
        <v>0</v>
      </c>
      <c r="M15" s="17">
        <f t="shared" ca="1" si="2"/>
        <v>0</v>
      </c>
      <c r="N15" s="17">
        <f t="shared" ca="1" si="2"/>
        <v>0</v>
      </c>
      <c r="O15" s="17">
        <f t="shared" ca="1" si="2"/>
        <v>0</v>
      </c>
      <c r="P15" s="17">
        <f t="shared" ca="1" si="2"/>
        <v>0</v>
      </c>
    </row>
    <row r="16" spans="1:16" x14ac:dyDescent="0.3">
      <c r="B16" t="s">
        <v>410</v>
      </c>
      <c r="C16" t="s">
        <v>95</v>
      </c>
      <c r="D16" s="17"/>
      <c r="E16" s="17"/>
      <c r="F16" s="17"/>
      <c r="G16" s="17">
        <f t="shared" ref="G16:P16" ca="1" si="3">G11-G15</f>
        <v>0</v>
      </c>
      <c r="H16" s="17">
        <f t="shared" ca="1" si="3"/>
        <v>0</v>
      </c>
      <c r="I16" s="17">
        <f t="shared" ca="1" si="3"/>
        <v>0</v>
      </c>
      <c r="J16" s="17">
        <f t="shared" ca="1" si="3"/>
        <v>0</v>
      </c>
      <c r="K16" s="17">
        <f t="shared" ca="1" si="3"/>
        <v>0</v>
      </c>
      <c r="L16" s="17">
        <f t="shared" ca="1" si="3"/>
        <v>0</v>
      </c>
      <c r="M16" s="17">
        <f t="shared" ca="1" si="3"/>
        <v>0</v>
      </c>
      <c r="N16" s="17">
        <f t="shared" ca="1" si="3"/>
        <v>0</v>
      </c>
      <c r="O16" s="17">
        <f t="shared" ca="1" si="3"/>
        <v>0</v>
      </c>
      <c r="P16" s="17">
        <f t="shared" ca="1" si="3"/>
        <v>0</v>
      </c>
    </row>
    <row r="17" spans="2:16" x14ac:dyDescent="0.3">
      <c r="B17" t="s">
        <v>106</v>
      </c>
      <c r="C17" t="s">
        <v>95</v>
      </c>
      <c r="D17" s="17"/>
      <c r="E17" s="17"/>
      <c r="F17" s="17"/>
      <c r="G17" s="17">
        <f ca="1">G11*('02 Assumptions'!G31+'09 Escenarios'!$F$12*'02 Assumptions'!$Q$32)</f>
        <v>0</v>
      </c>
      <c r="H17" s="17">
        <f ca="1">H11*('02 Assumptions'!H31+'09 Escenarios'!$F$12*'02 Assumptions'!$Q$32)</f>
        <v>0</v>
      </c>
      <c r="I17" s="17">
        <f ca="1">I11*('02 Assumptions'!I31+'09 Escenarios'!$F$12*'02 Assumptions'!$Q$32)</f>
        <v>0</v>
      </c>
      <c r="J17" s="17">
        <f ca="1">J11*('02 Assumptions'!J31+'09 Escenarios'!$F$12*'02 Assumptions'!$Q$32)</f>
        <v>0</v>
      </c>
      <c r="K17" s="17">
        <f ca="1">K11*('02 Assumptions'!K31+'09 Escenarios'!$F$12*'02 Assumptions'!$Q$32)</f>
        <v>0</v>
      </c>
      <c r="L17" s="17">
        <f ca="1">L11*('02 Assumptions'!L31+'09 Escenarios'!$F$12*'02 Assumptions'!$Q$32)</f>
        <v>0</v>
      </c>
      <c r="M17" s="17">
        <f ca="1">M11*('02 Assumptions'!M31+'09 Escenarios'!$F$12*'02 Assumptions'!$Q$32)</f>
        <v>0</v>
      </c>
      <c r="N17" s="17">
        <f ca="1">N11*('02 Assumptions'!N31+'09 Escenarios'!$F$12*'02 Assumptions'!$Q$32)</f>
        <v>0</v>
      </c>
      <c r="O17" s="17">
        <f ca="1">O11*('02 Assumptions'!O31+'09 Escenarios'!$F$12*'02 Assumptions'!$Q$32)</f>
        <v>0</v>
      </c>
      <c r="P17" s="17">
        <f ca="1">P11*('02 Assumptions'!P31+'09 Escenarios'!$F$12*'02 Assumptions'!$Q$32)</f>
        <v>0</v>
      </c>
    </row>
    <row r="18" spans="2:16" x14ac:dyDescent="0.3">
      <c r="B18" t="s">
        <v>1889</v>
      </c>
      <c r="C18" t="s">
        <v>95</v>
      </c>
      <c r="D18" s="17"/>
      <c r="E18" s="17"/>
      <c r="F18" s="17"/>
      <c r="G18" s="17">
        <f ca="1">G11*('02 Assumptions'!G33+'09 Escenarios'!$F$12*'02 Assumptions'!$Q$34)</f>
        <v>0</v>
      </c>
      <c r="H18" s="17">
        <f ca="1">H11*('02 Assumptions'!H33+'09 Escenarios'!$F$12*'02 Assumptions'!$Q$34)</f>
        <v>0</v>
      </c>
      <c r="I18" s="17">
        <f ca="1">I11*('02 Assumptions'!I33+'09 Escenarios'!$F$12*'02 Assumptions'!$Q$34)</f>
        <v>0</v>
      </c>
      <c r="J18" s="17">
        <f ca="1">J11*('02 Assumptions'!J33+'09 Escenarios'!$F$12*'02 Assumptions'!$Q$34)</f>
        <v>0</v>
      </c>
      <c r="K18" s="17">
        <f ca="1">K11*('02 Assumptions'!K33+'09 Escenarios'!$F$12*'02 Assumptions'!$Q$34)</f>
        <v>0</v>
      </c>
      <c r="L18" s="17">
        <f ca="1">L11*('02 Assumptions'!L33+'09 Escenarios'!$F$12*'02 Assumptions'!$Q$34)</f>
        <v>0</v>
      </c>
      <c r="M18" s="17">
        <f ca="1">M11*('02 Assumptions'!M33+'09 Escenarios'!$F$12*'02 Assumptions'!$Q$34)</f>
        <v>0</v>
      </c>
      <c r="N18" s="17">
        <f ca="1">N11*('02 Assumptions'!N33+'09 Escenarios'!$F$12*'02 Assumptions'!$Q$34)</f>
        <v>0</v>
      </c>
      <c r="O18" s="17">
        <f ca="1">O11*('02 Assumptions'!O33+'09 Escenarios'!$F$12*'02 Assumptions'!$Q$34)</f>
        <v>0</v>
      </c>
      <c r="P18" s="17">
        <f ca="1">P11*('02 Assumptions'!P33+'09 Escenarios'!$F$12*'02 Assumptions'!$Q$34)</f>
        <v>0</v>
      </c>
    </row>
    <row r="19" spans="2:16" x14ac:dyDescent="0.3">
      <c r="B19" t="s">
        <v>1890</v>
      </c>
      <c r="C19" t="s">
        <v>95</v>
      </c>
      <c r="D19" s="17"/>
      <c r="E19" s="17"/>
      <c r="F19" s="17"/>
      <c r="G19" s="17">
        <f ca="1">G11*('02 Assumptions'!G35+'09 Escenarios'!$F$12*'02 Assumptions'!$Q$36)</f>
        <v>0</v>
      </c>
      <c r="H19" s="17">
        <f ca="1">H11*('02 Assumptions'!H35+'09 Escenarios'!$F$12*'02 Assumptions'!$Q$36)</f>
        <v>0</v>
      </c>
      <c r="I19" s="17">
        <f ca="1">I11*('02 Assumptions'!I35+'09 Escenarios'!$F$12*'02 Assumptions'!$Q$36)</f>
        <v>0</v>
      </c>
      <c r="J19" s="17">
        <f ca="1">J11*('02 Assumptions'!J35+'09 Escenarios'!$F$12*'02 Assumptions'!$Q$36)</f>
        <v>0</v>
      </c>
      <c r="K19" s="17">
        <f ca="1">K11*('02 Assumptions'!K35+'09 Escenarios'!$F$12*'02 Assumptions'!$Q$36)</f>
        <v>0</v>
      </c>
      <c r="L19" s="17">
        <f ca="1">L11*('02 Assumptions'!L35+'09 Escenarios'!$F$12*'02 Assumptions'!$Q$36)</f>
        <v>0</v>
      </c>
      <c r="M19" s="17">
        <f ca="1">M11*('02 Assumptions'!M35+'09 Escenarios'!$F$12*'02 Assumptions'!$Q$36)</f>
        <v>0</v>
      </c>
      <c r="N19" s="17">
        <f ca="1">N11*('02 Assumptions'!N35+'09 Escenarios'!$F$12*'02 Assumptions'!$Q$36)</f>
        <v>0</v>
      </c>
      <c r="O19" s="17">
        <f ca="1">O11*('02 Assumptions'!O35+'09 Escenarios'!$F$12*'02 Assumptions'!$Q$36)</f>
        <v>0</v>
      </c>
      <c r="P19" s="17">
        <f ca="1">P11*('02 Assumptions'!P35+'09 Escenarios'!$F$12*'02 Assumptions'!$Q$36)</f>
        <v>0</v>
      </c>
    </row>
    <row r="20" spans="2:16" x14ac:dyDescent="0.3">
      <c r="B20" t="s">
        <v>109</v>
      </c>
      <c r="C20" t="s">
        <v>95</v>
      </c>
      <c r="D20" s="17"/>
      <c r="E20" s="17"/>
      <c r="F20" s="17"/>
      <c r="G20" s="17">
        <f ca="1">'02 Assumptions'!G37</f>
        <v>0</v>
      </c>
      <c r="H20" s="17">
        <f ca="1">'02 Assumptions'!H37</f>
        <v>0</v>
      </c>
      <c r="I20" s="17">
        <f ca="1">'02 Assumptions'!I37</f>
        <v>0</v>
      </c>
      <c r="J20" s="17">
        <f ca="1">'02 Assumptions'!J37</f>
        <v>0</v>
      </c>
      <c r="K20" s="17">
        <f ca="1">'02 Assumptions'!K37</f>
        <v>0</v>
      </c>
      <c r="L20" s="17">
        <f ca="1">'02 Assumptions'!L37</f>
        <v>0</v>
      </c>
      <c r="M20" s="17">
        <f ca="1">'02 Assumptions'!M37</f>
        <v>0</v>
      </c>
      <c r="N20" s="17">
        <f ca="1">'02 Assumptions'!N37</f>
        <v>0</v>
      </c>
      <c r="O20" s="17">
        <f ca="1">'02 Assumptions'!O37</f>
        <v>0</v>
      </c>
      <c r="P20" s="17">
        <f ca="1">'02 Assumptions'!P37</f>
        <v>0</v>
      </c>
    </row>
    <row r="21" spans="2:16" x14ac:dyDescent="0.3">
      <c r="B21" t="s">
        <v>348</v>
      </c>
      <c r="C21" t="s">
        <v>95</v>
      </c>
      <c r="D21" s="17"/>
      <c r="E21" s="17"/>
      <c r="F21" s="17"/>
      <c r="G21" s="17">
        <f ca="1">'02 Assumptions'!G38</f>
        <v>0</v>
      </c>
      <c r="H21" s="17">
        <f ca="1">'02 Assumptions'!H38</f>
        <v>0</v>
      </c>
      <c r="I21" s="17">
        <f ca="1">'02 Assumptions'!I38</f>
        <v>0</v>
      </c>
      <c r="J21" s="17">
        <f ca="1">'02 Assumptions'!J38</f>
        <v>0</v>
      </c>
      <c r="K21" s="17">
        <f ca="1">'02 Assumptions'!K38</f>
        <v>0</v>
      </c>
      <c r="L21" s="17">
        <f ca="1">'02 Assumptions'!L38</f>
        <v>0</v>
      </c>
      <c r="M21" s="17">
        <f ca="1">'02 Assumptions'!M38</f>
        <v>0</v>
      </c>
      <c r="N21" s="17">
        <f ca="1">'02 Assumptions'!N38</f>
        <v>0</v>
      </c>
      <c r="O21" s="17">
        <f ca="1">'02 Assumptions'!O38</f>
        <v>0</v>
      </c>
      <c r="P21" s="17">
        <f ca="1">'02 Assumptions'!P38</f>
        <v>0</v>
      </c>
    </row>
    <row r="22" spans="2:16" x14ac:dyDescent="0.3">
      <c r="B22" t="s">
        <v>1891</v>
      </c>
      <c r="C22" t="s">
        <v>95</v>
      </c>
      <c r="D22" s="17"/>
      <c r="E22" s="17"/>
      <c r="F22" s="17"/>
      <c r="G22" s="17">
        <f t="shared" ref="G22:P22" ca="1" si="4">SUM(G17:G21)</f>
        <v>0</v>
      </c>
      <c r="H22" s="17">
        <f t="shared" ca="1" si="4"/>
        <v>0</v>
      </c>
      <c r="I22" s="17">
        <f t="shared" ca="1" si="4"/>
        <v>0</v>
      </c>
      <c r="J22" s="17">
        <f t="shared" ca="1" si="4"/>
        <v>0</v>
      </c>
      <c r="K22" s="17">
        <f t="shared" ca="1" si="4"/>
        <v>0</v>
      </c>
      <c r="L22" s="17">
        <f t="shared" ca="1" si="4"/>
        <v>0</v>
      </c>
      <c r="M22" s="17">
        <f t="shared" ca="1" si="4"/>
        <v>0</v>
      </c>
      <c r="N22" s="17">
        <f t="shared" ca="1" si="4"/>
        <v>0</v>
      </c>
      <c r="O22" s="17">
        <f t="shared" ca="1" si="4"/>
        <v>0</v>
      </c>
      <c r="P22" s="17">
        <f t="shared" ca="1" si="4"/>
        <v>0</v>
      </c>
    </row>
    <row r="23" spans="2:16" x14ac:dyDescent="0.3">
      <c r="B23" s="3" t="s">
        <v>415</v>
      </c>
      <c r="C23" s="3" t="s">
        <v>95</v>
      </c>
      <c r="D23" s="18"/>
      <c r="E23" s="18"/>
      <c r="F23" s="18"/>
      <c r="G23" s="18">
        <f t="shared" ref="G23:P23" ca="1" si="5">G15-G22</f>
        <v>0</v>
      </c>
      <c r="H23" s="18">
        <f t="shared" ca="1" si="5"/>
        <v>0</v>
      </c>
      <c r="I23" s="18">
        <f t="shared" ca="1" si="5"/>
        <v>0</v>
      </c>
      <c r="J23" s="18">
        <f t="shared" ca="1" si="5"/>
        <v>0</v>
      </c>
      <c r="K23" s="18">
        <f t="shared" ca="1" si="5"/>
        <v>0</v>
      </c>
      <c r="L23" s="18">
        <f t="shared" ca="1" si="5"/>
        <v>0</v>
      </c>
      <c r="M23" s="18">
        <f t="shared" ca="1" si="5"/>
        <v>0</v>
      </c>
      <c r="N23" s="18">
        <f t="shared" ca="1" si="5"/>
        <v>0</v>
      </c>
      <c r="O23" s="18">
        <f t="shared" ca="1" si="5"/>
        <v>0</v>
      </c>
      <c r="P23" s="18">
        <f t="shared" ca="1" si="5"/>
        <v>0</v>
      </c>
    </row>
    <row r="24" spans="2:16" x14ac:dyDescent="0.3">
      <c r="B24" s="3" t="s">
        <v>1892</v>
      </c>
      <c r="C24" s="3" t="s">
        <v>95</v>
      </c>
      <c r="D24" s="18"/>
      <c r="E24" s="18"/>
      <c r="F24" s="18"/>
      <c r="G24" s="18">
        <f t="shared" ref="G24:P24" ca="1" si="6">G23+G21</f>
        <v>0</v>
      </c>
      <c r="H24" s="18">
        <f t="shared" ca="1" si="6"/>
        <v>0</v>
      </c>
      <c r="I24" s="18">
        <f t="shared" ca="1" si="6"/>
        <v>0</v>
      </c>
      <c r="J24" s="18">
        <f t="shared" ca="1" si="6"/>
        <v>0</v>
      </c>
      <c r="K24" s="18">
        <f t="shared" ca="1" si="6"/>
        <v>0</v>
      </c>
      <c r="L24" s="18">
        <f t="shared" ca="1" si="6"/>
        <v>0</v>
      </c>
      <c r="M24" s="18">
        <f t="shared" ca="1" si="6"/>
        <v>0</v>
      </c>
      <c r="N24" s="18">
        <f t="shared" ca="1" si="6"/>
        <v>0</v>
      </c>
      <c r="O24" s="18">
        <f t="shared" ca="1" si="6"/>
        <v>0</v>
      </c>
      <c r="P24" s="18">
        <f t="shared" ca="1" si="6"/>
        <v>0</v>
      </c>
    </row>
    <row r="25" spans="2:16" x14ac:dyDescent="0.3">
      <c r="B25" t="s">
        <v>417</v>
      </c>
      <c r="C25" t="s">
        <v>42</v>
      </c>
      <c r="D25" s="19"/>
      <c r="E25" s="19"/>
      <c r="F25" s="19"/>
      <c r="G25" s="19">
        <f t="shared" ref="G25:P25" ca="1" si="7">G24/G11</f>
        <v>0</v>
      </c>
      <c r="H25" s="19">
        <f t="shared" ca="1" si="7"/>
        <v>0</v>
      </c>
      <c r="I25" s="19">
        <f t="shared" ca="1" si="7"/>
        <v>0</v>
      </c>
      <c r="J25" s="19">
        <f t="shared" ca="1" si="7"/>
        <v>0</v>
      </c>
      <c r="K25" s="19">
        <f t="shared" ca="1" si="7"/>
        <v>0</v>
      </c>
      <c r="L25" s="19">
        <f t="shared" ca="1" si="7"/>
        <v>0</v>
      </c>
      <c r="M25" s="19">
        <f t="shared" ca="1" si="7"/>
        <v>0</v>
      </c>
      <c r="N25" s="19">
        <f t="shared" ca="1" si="7"/>
        <v>0</v>
      </c>
      <c r="O25" s="19">
        <f t="shared" ca="1" si="7"/>
        <v>0</v>
      </c>
      <c r="P25" s="19">
        <f t="shared" ca="1" si="7"/>
        <v>0</v>
      </c>
    </row>
    <row r="26" spans="2:16" x14ac:dyDescent="0.3">
      <c r="B26" s="5" t="s">
        <v>349</v>
      </c>
      <c r="C26" s="5"/>
      <c r="D26" s="5"/>
      <c r="E26" s="5"/>
      <c r="F26" s="5"/>
      <c r="G26" s="5"/>
      <c r="H26" s="5"/>
      <c r="I26" s="5"/>
      <c r="J26" s="5"/>
      <c r="K26" s="5"/>
      <c r="L26" s="5"/>
      <c r="M26" s="5"/>
      <c r="N26" s="5"/>
      <c r="O26" s="5"/>
      <c r="P26" s="5"/>
    </row>
    <row r="27" spans="2:16" x14ac:dyDescent="0.3">
      <c r="B27" t="s">
        <v>419</v>
      </c>
      <c r="C27" t="s">
        <v>95</v>
      </c>
      <c r="D27" s="17"/>
      <c r="E27" s="17"/>
      <c r="F27" s="17"/>
      <c r="G27" s="17">
        <f t="shared" ref="G27:P27" ca="1" si="8">F30</f>
        <v>0</v>
      </c>
      <c r="H27" s="17">
        <f t="shared" ca="1" si="8"/>
        <v>0</v>
      </c>
      <c r="I27" s="17">
        <f t="shared" ca="1" si="8"/>
        <v>0</v>
      </c>
      <c r="J27" s="17">
        <f t="shared" ca="1" si="8"/>
        <v>0</v>
      </c>
      <c r="K27" s="17">
        <f t="shared" ca="1" si="8"/>
        <v>0</v>
      </c>
      <c r="L27" s="17">
        <f t="shared" ca="1" si="8"/>
        <v>0</v>
      </c>
      <c r="M27" s="17">
        <f t="shared" ca="1" si="8"/>
        <v>0</v>
      </c>
      <c r="N27" s="17">
        <f t="shared" ca="1" si="8"/>
        <v>0</v>
      </c>
      <c r="O27" s="17">
        <f t="shared" ca="1" si="8"/>
        <v>0</v>
      </c>
      <c r="P27" s="17">
        <f t="shared" ca="1" si="8"/>
        <v>0</v>
      </c>
    </row>
    <row r="28" spans="2:16" x14ac:dyDescent="0.3">
      <c r="B28" t="s">
        <v>206</v>
      </c>
      <c r="C28" t="s">
        <v>95</v>
      </c>
      <c r="D28" s="17"/>
      <c r="E28" s="17"/>
      <c r="F28" s="17"/>
      <c r="G28" s="17">
        <f ca="1">G11*'02 Assumptions'!G41*'09 Escenarios'!$F$13</f>
        <v>0</v>
      </c>
      <c r="H28" s="17">
        <f ca="1">H11*'02 Assumptions'!H41*'09 Escenarios'!$F$13</f>
        <v>0</v>
      </c>
      <c r="I28" s="17">
        <f ca="1">I11*'02 Assumptions'!I41*'09 Escenarios'!$F$13</f>
        <v>0</v>
      </c>
      <c r="J28" s="17">
        <f ca="1">J11*'02 Assumptions'!J41*'09 Escenarios'!$F$13</f>
        <v>0</v>
      </c>
      <c r="K28" s="17">
        <f ca="1">K11*'02 Assumptions'!K41*'09 Escenarios'!$F$13</f>
        <v>0</v>
      </c>
      <c r="L28" s="17">
        <f ca="1">L11*'02 Assumptions'!L41*'09 Escenarios'!$F$13</f>
        <v>0</v>
      </c>
      <c r="M28" s="17">
        <f ca="1">M11*'02 Assumptions'!M41*'09 Escenarios'!$F$13</f>
        <v>0</v>
      </c>
      <c r="N28" s="17">
        <f ca="1">N11*'02 Assumptions'!N41*'09 Escenarios'!$F$13</f>
        <v>0</v>
      </c>
      <c r="O28" s="17">
        <f ca="1">O11*'02 Assumptions'!O41*'09 Escenarios'!$F$13</f>
        <v>0</v>
      </c>
      <c r="P28" s="17">
        <f ca="1">P11*'02 Assumptions'!P41*'09 Escenarios'!$F$13</f>
        <v>0</v>
      </c>
    </row>
    <row r="29" spans="2:16" x14ac:dyDescent="0.3">
      <c r="B29" t="s">
        <v>163</v>
      </c>
      <c r="C29" t="s">
        <v>95</v>
      </c>
      <c r="D29" s="17"/>
      <c r="E29" s="17"/>
      <c r="F29" s="17"/>
      <c r="G29" s="17">
        <f ca="1">(G27+G28/2)/'02 Assumptions'!$C$43</f>
        <v>0</v>
      </c>
      <c r="H29" s="17">
        <f ca="1">(H27+H28/2)/'02 Assumptions'!$C$43</f>
        <v>0</v>
      </c>
      <c r="I29" s="17">
        <f ca="1">(I27+I28/2)/'02 Assumptions'!$C$43</f>
        <v>0</v>
      </c>
      <c r="J29" s="17">
        <f ca="1">(J27+J28/2)/'02 Assumptions'!$C$43</f>
        <v>0</v>
      </c>
      <c r="K29" s="17">
        <f ca="1">(K27+K28/2)/'02 Assumptions'!$C$43</f>
        <v>0</v>
      </c>
      <c r="L29" s="17">
        <f ca="1">(L27+L28/2)/'02 Assumptions'!$C$43</f>
        <v>0</v>
      </c>
      <c r="M29" s="17">
        <f ca="1">(M27+M28/2)/'02 Assumptions'!$C$43</f>
        <v>0</v>
      </c>
      <c r="N29" s="17">
        <f ca="1">(N27+N28/2)/'02 Assumptions'!$C$43</f>
        <v>0</v>
      </c>
      <c r="O29" s="17">
        <f ca="1">(O27+O28/2)/'02 Assumptions'!$C$43</f>
        <v>0</v>
      </c>
      <c r="P29" s="17">
        <f ca="1">(P27+P28/2)/'02 Assumptions'!$C$43</f>
        <v>0</v>
      </c>
    </row>
    <row r="30" spans="2:16" x14ac:dyDescent="0.3">
      <c r="B30" t="s">
        <v>421</v>
      </c>
      <c r="C30" t="s">
        <v>95</v>
      </c>
      <c r="D30" s="17"/>
      <c r="E30" s="17"/>
      <c r="F30" s="17">
        <f ca="1">'03 Historical'!F48</f>
        <v>0</v>
      </c>
      <c r="G30" s="17">
        <f t="shared" ref="G30:P30" ca="1" si="9">G27+G28-G29</f>
        <v>0</v>
      </c>
      <c r="H30" s="17">
        <f t="shared" ca="1" si="9"/>
        <v>0</v>
      </c>
      <c r="I30" s="17">
        <f t="shared" ca="1" si="9"/>
        <v>0</v>
      </c>
      <c r="J30" s="17">
        <f t="shared" ca="1" si="9"/>
        <v>0</v>
      </c>
      <c r="K30" s="17">
        <f t="shared" ca="1" si="9"/>
        <v>0</v>
      </c>
      <c r="L30" s="17">
        <f t="shared" ca="1" si="9"/>
        <v>0</v>
      </c>
      <c r="M30" s="17">
        <f t="shared" ca="1" si="9"/>
        <v>0</v>
      </c>
      <c r="N30" s="17">
        <f t="shared" ca="1" si="9"/>
        <v>0</v>
      </c>
      <c r="O30" s="17">
        <f t="shared" ca="1" si="9"/>
        <v>0</v>
      </c>
      <c r="P30" s="17">
        <f t="shared" ca="1" si="9"/>
        <v>0</v>
      </c>
    </row>
    <row r="31" spans="2:16" x14ac:dyDescent="0.3">
      <c r="B31" t="s">
        <v>1893</v>
      </c>
      <c r="C31" t="s">
        <v>95</v>
      </c>
      <c r="D31" s="17"/>
      <c r="E31" s="17"/>
      <c r="F31" s="17"/>
      <c r="G31" s="17">
        <f t="shared" ref="G31:P31" ca="1" si="10">G29+G20</f>
        <v>0</v>
      </c>
      <c r="H31" s="17">
        <f t="shared" ca="1" si="10"/>
        <v>0</v>
      </c>
      <c r="I31" s="17">
        <f t="shared" ca="1" si="10"/>
        <v>0</v>
      </c>
      <c r="J31" s="17">
        <f t="shared" ca="1" si="10"/>
        <v>0</v>
      </c>
      <c r="K31" s="17">
        <f t="shared" ca="1" si="10"/>
        <v>0</v>
      </c>
      <c r="L31" s="17">
        <f t="shared" ca="1" si="10"/>
        <v>0</v>
      </c>
      <c r="M31" s="17">
        <f t="shared" ca="1" si="10"/>
        <v>0</v>
      </c>
      <c r="N31" s="17">
        <f t="shared" ca="1" si="10"/>
        <v>0</v>
      </c>
      <c r="O31" s="17">
        <f t="shared" ca="1" si="10"/>
        <v>0</v>
      </c>
      <c r="P31" s="17">
        <f t="shared" ca="1" si="10"/>
        <v>0</v>
      </c>
    </row>
    <row r="32" spans="2:16" x14ac:dyDescent="0.3">
      <c r="B32" s="3" t="s">
        <v>1894</v>
      </c>
      <c r="C32" s="3" t="s">
        <v>95</v>
      </c>
      <c r="D32" s="18"/>
      <c r="E32" s="18"/>
      <c r="F32" s="18"/>
      <c r="G32" s="18">
        <f t="shared" ref="G32:P32" ca="1" si="11">G24+G31</f>
        <v>0</v>
      </c>
      <c r="H32" s="18">
        <f t="shared" ca="1" si="11"/>
        <v>0</v>
      </c>
      <c r="I32" s="18">
        <f t="shared" ca="1" si="11"/>
        <v>0</v>
      </c>
      <c r="J32" s="18">
        <f t="shared" ca="1" si="11"/>
        <v>0</v>
      </c>
      <c r="K32" s="18">
        <f t="shared" ca="1" si="11"/>
        <v>0</v>
      </c>
      <c r="L32" s="18">
        <f t="shared" ca="1" si="11"/>
        <v>0</v>
      </c>
      <c r="M32" s="18">
        <f t="shared" ca="1" si="11"/>
        <v>0</v>
      </c>
      <c r="N32" s="18">
        <f t="shared" ca="1" si="11"/>
        <v>0</v>
      </c>
      <c r="O32" s="18">
        <f t="shared" ca="1" si="11"/>
        <v>0</v>
      </c>
      <c r="P32" s="18">
        <f t="shared" ca="1" si="11"/>
        <v>0</v>
      </c>
    </row>
    <row r="33" spans="2:16" x14ac:dyDescent="0.3">
      <c r="B33" s="5" t="s">
        <v>1895</v>
      </c>
      <c r="C33" s="5"/>
      <c r="D33" s="5"/>
      <c r="E33" s="5"/>
      <c r="F33" s="5"/>
      <c r="G33" s="5"/>
      <c r="H33" s="5"/>
      <c r="I33" s="5"/>
      <c r="J33" s="5"/>
      <c r="K33" s="5"/>
      <c r="L33" s="5"/>
      <c r="M33" s="5"/>
      <c r="N33" s="5"/>
      <c r="O33" s="5"/>
      <c r="P33" s="5"/>
    </row>
    <row r="34" spans="2:16" x14ac:dyDescent="0.3">
      <c r="B34" t="s">
        <v>1896</v>
      </c>
      <c r="C34" t="s">
        <v>95</v>
      </c>
      <c r="D34" s="17"/>
      <c r="E34" s="17"/>
      <c r="F34" s="17"/>
      <c r="G34" s="17">
        <f ca="1">('02 Assumptions'!G47+'09 Escenarios'!$F$14)/365*G11</f>
        <v>0</v>
      </c>
      <c r="H34" s="17">
        <f ca="1">('02 Assumptions'!H47+'09 Escenarios'!$F$14)/365*H11</f>
        <v>0</v>
      </c>
      <c r="I34" s="17">
        <f ca="1">('02 Assumptions'!I47+'09 Escenarios'!$F$14)/365*I11</f>
        <v>0</v>
      </c>
      <c r="J34" s="17">
        <f ca="1">('02 Assumptions'!J47+'09 Escenarios'!$F$14)/365*J11</f>
        <v>0</v>
      </c>
      <c r="K34" s="17">
        <f ca="1">('02 Assumptions'!K47+'09 Escenarios'!$F$14)/365*K11</f>
        <v>0</v>
      </c>
      <c r="L34" s="17">
        <f ca="1">('02 Assumptions'!L47+'09 Escenarios'!$F$14)/365*L11</f>
        <v>0</v>
      </c>
      <c r="M34" s="17">
        <f ca="1">('02 Assumptions'!M47+'09 Escenarios'!$F$14)/365*M11</f>
        <v>0</v>
      </c>
      <c r="N34" s="17">
        <f ca="1">('02 Assumptions'!N47+'09 Escenarios'!$F$14)/365*N11</f>
        <v>0</v>
      </c>
      <c r="O34" s="17">
        <f ca="1">('02 Assumptions'!O47+'09 Escenarios'!$F$14)/365*O11</f>
        <v>0</v>
      </c>
      <c r="P34" s="17">
        <f ca="1">('02 Assumptions'!P47+'09 Escenarios'!$F$14)/365*P11</f>
        <v>0</v>
      </c>
    </row>
    <row r="35" spans="2:16" x14ac:dyDescent="0.3">
      <c r="B35" t="s">
        <v>426</v>
      </c>
      <c r="C35" t="s">
        <v>95</v>
      </c>
      <c r="D35" s="17"/>
      <c r="E35" s="17"/>
      <c r="F35" s="17"/>
      <c r="G35" s="17">
        <f ca="1">G11*'02 Assumptions'!G51</f>
        <v>0</v>
      </c>
      <c r="H35" s="17">
        <f ca="1">H11*'02 Assumptions'!H51</f>
        <v>0</v>
      </c>
      <c r="I35" s="17">
        <f ca="1">I11*'02 Assumptions'!I51</f>
        <v>0</v>
      </c>
      <c r="J35" s="17">
        <f ca="1">J11*'02 Assumptions'!J51</f>
        <v>0</v>
      </c>
      <c r="K35" s="17">
        <f ca="1">K11*'02 Assumptions'!K51</f>
        <v>0</v>
      </c>
      <c r="L35" s="17">
        <f ca="1">L11*'02 Assumptions'!L51</f>
        <v>0</v>
      </c>
      <c r="M35" s="17">
        <f ca="1">M11*'02 Assumptions'!M51</f>
        <v>0</v>
      </c>
      <c r="N35" s="17">
        <f ca="1">N11*'02 Assumptions'!N51</f>
        <v>0</v>
      </c>
      <c r="O35" s="17">
        <f ca="1">O11*'02 Assumptions'!O51</f>
        <v>0</v>
      </c>
      <c r="P35" s="17">
        <f ca="1">P11*'02 Assumptions'!P51</f>
        <v>0</v>
      </c>
    </row>
    <row r="36" spans="2:16" x14ac:dyDescent="0.3">
      <c r="B36" t="s">
        <v>142</v>
      </c>
      <c r="C36" t="s">
        <v>95</v>
      </c>
      <c r="D36" s="17"/>
      <c r="E36" s="17"/>
      <c r="F36" s="17"/>
      <c r="G36" s="17">
        <f ca="1">(G16+G28)*'02 Assumptions'!G49</f>
        <v>0</v>
      </c>
      <c r="H36" s="17">
        <f ca="1">(H16+H28)*'02 Assumptions'!H49</f>
        <v>0</v>
      </c>
      <c r="I36" s="17">
        <f ca="1">(I16+I28)*'02 Assumptions'!I49</f>
        <v>0</v>
      </c>
      <c r="J36" s="17">
        <f ca="1">(J16+J28)*'02 Assumptions'!J49</f>
        <v>0</v>
      </c>
      <c r="K36" s="17">
        <f ca="1">(K16+K28)*'02 Assumptions'!K49</f>
        <v>0</v>
      </c>
      <c r="L36" s="17">
        <f ca="1">(L16+L28)*'02 Assumptions'!L49</f>
        <v>0</v>
      </c>
      <c r="M36" s="17">
        <f ca="1">(M16+M28)*'02 Assumptions'!M49</f>
        <v>0</v>
      </c>
      <c r="N36" s="17">
        <f ca="1">(N16+N28)*'02 Assumptions'!N49</f>
        <v>0</v>
      </c>
      <c r="O36" s="17">
        <f ca="1">(O16+O28)*'02 Assumptions'!O49</f>
        <v>0</v>
      </c>
      <c r="P36" s="17">
        <f ca="1">(P16+P28)*'02 Assumptions'!P49</f>
        <v>0</v>
      </c>
    </row>
    <row r="37" spans="2:16" x14ac:dyDescent="0.3">
      <c r="B37" t="s">
        <v>427</v>
      </c>
      <c r="C37" t="s">
        <v>95</v>
      </c>
      <c r="D37" s="17"/>
      <c r="E37" s="17"/>
      <c r="F37" s="17"/>
      <c r="G37" s="17">
        <f ca="1">G11*'02 Assumptions'!G52</f>
        <v>0</v>
      </c>
      <c r="H37" s="17">
        <f ca="1">H11*'02 Assumptions'!H52</f>
        <v>0</v>
      </c>
      <c r="I37" s="17">
        <f ca="1">I11*'02 Assumptions'!I52</f>
        <v>0</v>
      </c>
      <c r="J37" s="17">
        <f ca="1">J11*'02 Assumptions'!J52</f>
        <v>0</v>
      </c>
      <c r="K37" s="17">
        <f ca="1">K11*'02 Assumptions'!K52</f>
        <v>0</v>
      </c>
      <c r="L37" s="17">
        <f ca="1">L11*'02 Assumptions'!L52</f>
        <v>0</v>
      </c>
      <c r="M37" s="17">
        <f ca="1">M11*'02 Assumptions'!M52</f>
        <v>0</v>
      </c>
      <c r="N37" s="17">
        <f ca="1">N11*'02 Assumptions'!N52</f>
        <v>0</v>
      </c>
      <c r="O37" s="17">
        <f ca="1">O11*'02 Assumptions'!O52</f>
        <v>0</v>
      </c>
      <c r="P37" s="17">
        <f ca="1">P11*'02 Assumptions'!P52</f>
        <v>0</v>
      </c>
    </row>
    <row r="38" spans="2:16" x14ac:dyDescent="0.3">
      <c r="B38" t="s">
        <v>144</v>
      </c>
      <c r="C38" t="s">
        <v>95</v>
      </c>
      <c r="D38" s="17"/>
      <c r="E38" s="17"/>
      <c r="F38" s="17"/>
      <c r="G38" s="17">
        <f ca="1">G11*'02 Assumptions'!G50</f>
        <v>0</v>
      </c>
      <c r="H38" s="17">
        <f ca="1">H11*'02 Assumptions'!H50</f>
        <v>0</v>
      </c>
      <c r="I38" s="17">
        <f ca="1">I11*'02 Assumptions'!I50</f>
        <v>0</v>
      </c>
      <c r="J38" s="17">
        <f ca="1">J11*'02 Assumptions'!J50</f>
        <v>0</v>
      </c>
      <c r="K38" s="17">
        <f ca="1">K11*'02 Assumptions'!K50</f>
        <v>0</v>
      </c>
      <c r="L38" s="17">
        <f ca="1">L11*'02 Assumptions'!L50</f>
        <v>0</v>
      </c>
      <c r="M38" s="17">
        <f ca="1">M11*'02 Assumptions'!M50</f>
        <v>0</v>
      </c>
      <c r="N38" s="17">
        <f ca="1">N11*'02 Assumptions'!N50</f>
        <v>0</v>
      </c>
      <c r="O38" s="17">
        <f ca="1">O11*'02 Assumptions'!O50</f>
        <v>0</v>
      </c>
      <c r="P38" s="17">
        <f ca="1">P11*'02 Assumptions'!P50</f>
        <v>0</v>
      </c>
    </row>
    <row r="39" spans="2:16" x14ac:dyDescent="0.3">
      <c r="B39" t="s">
        <v>145</v>
      </c>
      <c r="C39" t="s">
        <v>95</v>
      </c>
      <c r="D39" s="17"/>
      <c r="E39" s="17"/>
      <c r="F39" s="17"/>
      <c r="G39" s="17">
        <f ca="1">G11*'02 Assumptions'!G53</f>
        <v>0</v>
      </c>
      <c r="H39" s="17">
        <f ca="1">H11*'02 Assumptions'!H53</f>
        <v>0</v>
      </c>
      <c r="I39" s="17">
        <f ca="1">I11*'02 Assumptions'!I53</f>
        <v>0</v>
      </c>
      <c r="J39" s="17">
        <f ca="1">J11*'02 Assumptions'!J53</f>
        <v>0</v>
      </c>
      <c r="K39" s="17">
        <f ca="1">K11*'02 Assumptions'!K53</f>
        <v>0</v>
      </c>
      <c r="L39" s="17">
        <f ca="1">L11*'02 Assumptions'!L53</f>
        <v>0</v>
      </c>
      <c r="M39" s="17">
        <f ca="1">M11*'02 Assumptions'!M53</f>
        <v>0</v>
      </c>
      <c r="N39" s="17">
        <f ca="1">N11*'02 Assumptions'!N53</f>
        <v>0</v>
      </c>
      <c r="O39" s="17">
        <f ca="1">O11*'02 Assumptions'!O53</f>
        <v>0</v>
      </c>
      <c r="P39" s="17">
        <f ca="1">P11*'02 Assumptions'!P53</f>
        <v>0</v>
      </c>
    </row>
    <row r="40" spans="2:16" x14ac:dyDescent="0.3">
      <c r="B40" s="3" t="s">
        <v>1897</v>
      </c>
      <c r="C40" s="3" t="s">
        <v>95</v>
      </c>
      <c r="D40" s="18"/>
      <c r="E40" s="18"/>
      <c r="F40" s="18">
        <f ca="1">'04 Operating Model'!F50</f>
        <v>0</v>
      </c>
      <c r="G40" s="18">
        <f t="shared" ref="G40:P40" ca="1" si="12">G34+G35-G36-G37-G38-G39</f>
        <v>0</v>
      </c>
      <c r="H40" s="18">
        <f t="shared" ca="1" si="12"/>
        <v>0</v>
      </c>
      <c r="I40" s="18">
        <f t="shared" ca="1" si="12"/>
        <v>0</v>
      </c>
      <c r="J40" s="18">
        <f t="shared" ca="1" si="12"/>
        <v>0</v>
      </c>
      <c r="K40" s="18">
        <f t="shared" ca="1" si="12"/>
        <v>0</v>
      </c>
      <c r="L40" s="18">
        <f t="shared" ca="1" si="12"/>
        <v>0</v>
      </c>
      <c r="M40" s="18">
        <f t="shared" ca="1" si="12"/>
        <v>0</v>
      </c>
      <c r="N40" s="18">
        <f t="shared" ca="1" si="12"/>
        <v>0</v>
      </c>
      <c r="O40" s="18">
        <f t="shared" ca="1" si="12"/>
        <v>0</v>
      </c>
      <c r="P40" s="18">
        <f t="shared" ca="1" si="12"/>
        <v>0</v>
      </c>
    </row>
    <row r="41" spans="2:16" x14ac:dyDescent="0.3">
      <c r="B41" t="s">
        <v>1898</v>
      </c>
      <c r="C41" t="s">
        <v>95</v>
      </c>
      <c r="D41" s="17"/>
      <c r="E41" s="17"/>
      <c r="F41" s="17"/>
      <c r="G41" s="17">
        <f t="shared" ref="G41:P41" ca="1" si="13">G40-F40</f>
        <v>0</v>
      </c>
      <c r="H41" s="17">
        <f t="shared" ca="1" si="13"/>
        <v>0</v>
      </c>
      <c r="I41" s="17">
        <f t="shared" ca="1" si="13"/>
        <v>0</v>
      </c>
      <c r="J41" s="17">
        <f t="shared" ca="1" si="13"/>
        <v>0</v>
      </c>
      <c r="K41" s="17">
        <f t="shared" ca="1" si="13"/>
        <v>0</v>
      </c>
      <c r="L41" s="17">
        <f t="shared" ca="1" si="13"/>
        <v>0</v>
      </c>
      <c r="M41" s="17">
        <f t="shared" ca="1" si="13"/>
        <v>0</v>
      </c>
      <c r="N41" s="17">
        <f t="shared" ca="1" si="13"/>
        <v>0</v>
      </c>
      <c r="O41" s="17">
        <f t="shared" ca="1" si="13"/>
        <v>0</v>
      </c>
      <c r="P41" s="17">
        <f t="shared" ca="1" si="13"/>
        <v>0</v>
      </c>
    </row>
    <row r="42" spans="2:16" x14ac:dyDescent="0.3">
      <c r="B42" s="5" t="s">
        <v>518</v>
      </c>
      <c r="C42" s="5"/>
      <c r="D42" s="5"/>
      <c r="E42" s="5"/>
      <c r="F42" s="5"/>
      <c r="G42" s="5"/>
      <c r="H42" s="5"/>
      <c r="I42" s="5"/>
      <c r="J42" s="5"/>
      <c r="K42" s="5"/>
      <c r="L42" s="5"/>
      <c r="M42" s="5"/>
      <c r="N42" s="5"/>
      <c r="O42" s="5"/>
      <c r="P42" s="5"/>
    </row>
    <row r="43" spans="2:16" x14ac:dyDescent="0.3">
      <c r="B43" t="s">
        <v>433</v>
      </c>
      <c r="C43" t="s">
        <v>42</v>
      </c>
      <c r="D43" s="19"/>
      <c r="E43" s="19"/>
      <c r="F43" s="19"/>
      <c r="G43" s="19">
        <f ca="1">'02 Assumptions'!G56+'09 Escenarios'!$F$15</f>
        <v>0</v>
      </c>
      <c r="H43" s="19">
        <f ca="1">'02 Assumptions'!H56+'09 Escenarios'!$F$15</f>
        <v>0</v>
      </c>
      <c r="I43" s="19">
        <f ca="1">'02 Assumptions'!I56+'09 Escenarios'!$F$15</f>
        <v>0</v>
      </c>
      <c r="J43" s="19">
        <f ca="1">'02 Assumptions'!J56+'09 Escenarios'!$F$15</f>
        <v>0</v>
      </c>
      <c r="K43" s="19">
        <f ca="1">'02 Assumptions'!K56+'09 Escenarios'!$F$15</f>
        <v>0</v>
      </c>
      <c r="L43" s="19">
        <f ca="1">'02 Assumptions'!L56+'09 Escenarios'!$F$15</f>
        <v>0</v>
      </c>
      <c r="M43" s="19">
        <f ca="1">'02 Assumptions'!M56+'09 Escenarios'!$F$15</f>
        <v>0</v>
      </c>
      <c r="N43" s="19">
        <f ca="1">'02 Assumptions'!N56+'09 Escenarios'!$F$15</f>
        <v>0</v>
      </c>
      <c r="O43" s="19">
        <f ca="1">'02 Assumptions'!O56+'09 Escenarios'!$F$15</f>
        <v>0</v>
      </c>
      <c r="P43" s="19">
        <f ca="1">'02 Assumptions'!P56+'09 Escenarios'!$F$15</f>
        <v>0</v>
      </c>
    </row>
    <row r="44" spans="2:16" x14ac:dyDescent="0.3">
      <c r="B44" t="s">
        <v>512</v>
      </c>
      <c r="C44" t="s">
        <v>95</v>
      </c>
      <c r="D44" s="17"/>
      <c r="E44" s="17"/>
      <c r="F44" s="17"/>
      <c r="G44" s="17">
        <f t="shared" ref="G44:P44" ca="1" si="14">-G24*G43</f>
        <v>0</v>
      </c>
      <c r="H44" s="17">
        <f t="shared" ca="1" si="14"/>
        <v>0</v>
      </c>
      <c r="I44" s="17">
        <f t="shared" ca="1" si="14"/>
        <v>0</v>
      </c>
      <c r="J44" s="17">
        <f t="shared" ca="1" si="14"/>
        <v>0</v>
      </c>
      <c r="K44" s="17">
        <f t="shared" ca="1" si="14"/>
        <v>0</v>
      </c>
      <c r="L44" s="17">
        <f t="shared" ca="1" si="14"/>
        <v>0</v>
      </c>
      <c r="M44" s="17">
        <f t="shared" ca="1" si="14"/>
        <v>0</v>
      </c>
      <c r="N44" s="17">
        <f t="shared" ca="1" si="14"/>
        <v>0</v>
      </c>
      <c r="O44" s="17">
        <f t="shared" ca="1" si="14"/>
        <v>0</v>
      </c>
      <c r="P44" s="17">
        <f t="shared" ca="1" si="14"/>
        <v>0</v>
      </c>
    </row>
    <row r="45" spans="2:16" x14ac:dyDescent="0.3">
      <c r="B45" s="3" t="s">
        <v>513</v>
      </c>
      <c r="C45" s="3" t="s">
        <v>95</v>
      </c>
      <c r="D45" s="18"/>
      <c r="E45" s="18"/>
      <c r="F45" s="18"/>
      <c r="G45" s="18">
        <f t="shared" ref="G45:P45" ca="1" si="15">G24+G44</f>
        <v>0</v>
      </c>
      <c r="H45" s="18">
        <f t="shared" ca="1" si="15"/>
        <v>0</v>
      </c>
      <c r="I45" s="18">
        <f t="shared" ca="1" si="15"/>
        <v>0</v>
      </c>
      <c r="J45" s="18">
        <f t="shared" ca="1" si="15"/>
        <v>0</v>
      </c>
      <c r="K45" s="18">
        <f t="shared" ca="1" si="15"/>
        <v>0</v>
      </c>
      <c r="L45" s="18">
        <f t="shared" ca="1" si="15"/>
        <v>0</v>
      </c>
      <c r="M45" s="18">
        <f t="shared" ca="1" si="15"/>
        <v>0</v>
      </c>
      <c r="N45" s="18">
        <f t="shared" ca="1" si="15"/>
        <v>0</v>
      </c>
      <c r="O45" s="18">
        <f t="shared" ca="1" si="15"/>
        <v>0</v>
      </c>
      <c r="P45" s="18">
        <f t="shared" ca="1" si="15"/>
        <v>0</v>
      </c>
    </row>
    <row r="46" spans="2:16" x14ac:dyDescent="0.3">
      <c r="B46" t="s">
        <v>514</v>
      </c>
      <c r="C46" t="s">
        <v>95</v>
      </c>
      <c r="D46" s="17"/>
      <c r="E46" s="17"/>
      <c r="F46" s="17"/>
      <c r="G46" s="17">
        <f t="shared" ref="G46:P46" ca="1" si="16">G31</f>
        <v>0</v>
      </c>
      <c r="H46" s="17">
        <f t="shared" ca="1" si="16"/>
        <v>0</v>
      </c>
      <c r="I46" s="17">
        <f t="shared" ca="1" si="16"/>
        <v>0</v>
      </c>
      <c r="J46" s="17">
        <f t="shared" ca="1" si="16"/>
        <v>0</v>
      </c>
      <c r="K46" s="17">
        <f t="shared" ca="1" si="16"/>
        <v>0</v>
      </c>
      <c r="L46" s="17">
        <f t="shared" ca="1" si="16"/>
        <v>0</v>
      </c>
      <c r="M46" s="17">
        <f t="shared" ca="1" si="16"/>
        <v>0</v>
      </c>
      <c r="N46" s="17">
        <f t="shared" ca="1" si="16"/>
        <v>0</v>
      </c>
      <c r="O46" s="17">
        <f t="shared" ca="1" si="16"/>
        <v>0</v>
      </c>
      <c r="P46" s="17">
        <f t="shared" ca="1" si="16"/>
        <v>0</v>
      </c>
    </row>
    <row r="47" spans="2:16" x14ac:dyDescent="0.3">
      <c r="B47" t="s">
        <v>515</v>
      </c>
      <c r="C47" t="s">
        <v>95</v>
      </c>
      <c r="D47" s="17"/>
      <c r="E47" s="17"/>
      <c r="F47" s="17"/>
      <c r="G47" s="17">
        <f t="shared" ref="G47:P47" ca="1" si="17">-G28</f>
        <v>0</v>
      </c>
      <c r="H47" s="17">
        <f t="shared" ca="1" si="17"/>
        <v>0</v>
      </c>
      <c r="I47" s="17">
        <f t="shared" ca="1" si="17"/>
        <v>0</v>
      </c>
      <c r="J47" s="17">
        <f t="shared" ca="1" si="17"/>
        <v>0</v>
      </c>
      <c r="K47" s="17">
        <f t="shared" ca="1" si="17"/>
        <v>0</v>
      </c>
      <c r="L47" s="17">
        <f t="shared" ca="1" si="17"/>
        <v>0</v>
      </c>
      <c r="M47" s="17">
        <f t="shared" ca="1" si="17"/>
        <v>0</v>
      </c>
      <c r="N47" s="17">
        <f t="shared" ca="1" si="17"/>
        <v>0</v>
      </c>
      <c r="O47" s="17">
        <f t="shared" ca="1" si="17"/>
        <v>0</v>
      </c>
      <c r="P47" s="17">
        <f t="shared" ca="1" si="17"/>
        <v>0</v>
      </c>
    </row>
    <row r="48" spans="2:16" x14ac:dyDescent="0.3">
      <c r="B48" t="s">
        <v>1899</v>
      </c>
      <c r="C48" t="s">
        <v>95</v>
      </c>
      <c r="D48" s="17"/>
      <c r="E48" s="17"/>
      <c r="F48" s="17"/>
      <c r="G48" s="17">
        <f t="shared" ref="G48:P48" ca="1" si="18">-G41</f>
        <v>0</v>
      </c>
      <c r="H48" s="17">
        <f t="shared" ca="1" si="18"/>
        <v>0</v>
      </c>
      <c r="I48" s="17">
        <f t="shared" ca="1" si="18"/>
        <v>0</v>
      </c>
      <c r="J48" s="17">
        <f t="shared" ca="1" si="18"/>
        <v>0</v>
      </c>
      <c r="K48" s="17">
        <f t="shared" ca="1" si="18"/>
        <v>0</v>
      </c>
      <c r="L48" s="17">
        <f t="shared" ca="1" si="18"/>
        <v>0</v>
      </c>
      <c r="M48" s="17">
        <f t="shared" ca="1" si="18"/>
        <v>0</v>
      </c>
      <c r="N48" s="17">
        <f t="shared" ca="1" si="18"/>
        <v>0</v>
      </c>
      <c r="O48" s="17">
        <f t="shared" ca="1" si="18"/>
        <v>0</v>
      </c>
      <c r="P48" s="17">
        <f t="shared" ca="1" si="18"/>
        <v>0</v>
      </c>
    </row>
    <row r="49" spans="2:16" x14ac:dyDescent="0.3">
      <c r="B49" t="s">
        <v>1900</v>
      </c>
      <c r="C49" t="s">
        <v>95</v>
      </c>
      <c r="D49" s="17"/>
      <c r="E49" s="17"/>
      <c r="F49" s="17"/>
      <c r="G49" s="17">
        <f t="shared" ref="G49:P49" ca="1" si="19">-G21</f>
        <v>0</v>
      </c>
      <c r="H49" s="17">
        <f t="shared" ca="1" si="19"/>
        <v>0</v>
      </c>
      <c r="I49" s="17">
        <f t="shared" ca="1" si="19"/>
        <v>0</v>
      </c>
      <c r="J49" s="17">
        <f t="shared" ca="1" si="19"/>
        <v>0</v>
      </c>
      <c r="K49" s="17">
        <f t="shared" ca="1" si="19"/>
        <v>0</v>
      </c>
      <c r="L49" s="17">
        <f t="shared" ca="1" si="19"/>
        <v>0</v>
      </c>
      <c r="M49" s="17">
        <f t="shared" ca="1" si="19"/>
        <v>0</v>
      </c>
      <c r="N49" s="17">
        <f t="shared" ca="1" si="19"/>
        <v>0</v>
      </c>
      <c r="O49" s="17">
        <f t="shared" ca="1" si="19"/>
        <v>0</v>
      </c>
      <c r="P49" s="17">
        <f t="shared" ca="1" si="19"/>
        <v>0</v>
      </c>
    </row>
    <row r="50" spans="2:16" x14ac:dyDescent="0.3">
      <c r="B50" s="76" t="s">
        <v>518</v>
      </c>
      <c r="C50" s="76" t="s">
        <v>95</v>
      </c>
      <c r="D50" s="106"/>
      <c r="E50" s="106"/>
      <c r="F50" s="106"/>
      <c r="G50" s="106">
        <f t="shared" ref="G50:P50" ca="1" si="20">SUM(G45:G49)</f>
        <v>0</v>
      </c>
      <c r="H50" s="106">
        <f t="shared" ca="1" si="20"/>
        <v>0</v>
      </c>
      <c r="I50" s="106">
        <f t="shared" ca="1" si="20"/>
        <v>0</v>
      </c>
      <c r="J50" s="106">
        <f t="shared" ca="1" si="20"/>
        <v>0</v>
      </c>
      <c r="K50" s="106">
        <f t="shared" ca="1" si="20"/>
        <v>0</v>
      </c>
      <c r="L50" s="106">
        <f t="shared" ca="1" si="20"/>
        <v>0</v>
      </c>
      <c r="M50" s="106">
        <f t="shared" ca="1" si="20"/>
        <v>0</v>
      </c>
      <c r="N50" s="106">
        <f t="shared" ca="1" si="20"/>
        <v>0</v>
      </c>
      <c r="O50" s="106">
        <f t="shared" ca="1" si="20"/>
        <v>0</v>
      </c>
      <c r="P50" s="106">
        <f t="shared" ca="1" si="20"/>
        <v>0</v>
      </c>
    </row>
    <row r="51" spans="2:16" x14ac:dyDescent="0.3">
      <c r="B51" s="5" t="s">
        <v>1914</v>
      </c>
      <c r="C51" s="5"/>
      <c r="D51" s="5"/>
      <c r="E51" s="5"/>
      <c r="F51" s="5"/>
      <c r="G51" s="5"/>
      <c r="H51" s="5"/>
      <c r="I51" s="5"/>
      <c r="J51" s="5"/>
      <c r="K51" s="5"/>
      <c r="L51" s="5"/>
      <c r="M51" s="5"/>
      <c r="N51" s="5"/>
      <c r="O51" s="5"/>
      <c r="P51" s="5"/>
    </row>
    <row r="52" spans="2:16" x14ac:dyDescent="0.3">
      <c r="B52" t="s">
        <v>1901</v>
      </c>
      <c r="C52" t="s">
        <v>42</v>
      </c>
      <c r="D52" s="19"/>
      <c r="E52" s="19"/>
      <c r="F52" s="19"/>
      <c r="G52" s="19">
        <f ca="1">'07 WACC'!$C$36+'09 Escenarios'!$F$17</f>
        <v>0</v>
      </c>
      <c r="H52" s="19">
        <f ca="1">'07 WACC'!$C$36+'09 Escenarios'!$F$17</f>
        <v>0</v>
      </c>
      <c r="I52" s="19">
        <f ca="1">'07 WACC'!$C$36+'09 Escenarios'!$F$17</f>
        <v>0</v>
      </c>
      <c r="J52" s="19">
        <f ca="1">'07 WACC'!$C$36+'09 Escenarios'!$F$17</f>
        <v>0</v>
      </c>
      <c r="K52" s="19">
        <f ca="1">'07 WACC'!$C$36+'09 Escenarios'!$F$17</f>
        <v>0</v>
      </c>
      <c r="L52" s="19">
        <f ca="1">'07 WACC'!$C$36+'09 Escenarios'!$F$17</f>
        <v>0</v>
      </c>
      <c r="M52" s="19">
        <f ca="1">'07 WACC'!$C$36+'09 Escenarios'!$F$17</f>
        <v>0</v>
      </c>
      <c r="N52" s="19">
        <f ca="1">'07 WACC'!$C$36+'09 Escenarios'!$F$17</f>
        <v>0</v>
      </c>
      <c r="O52" s="19">
        <f ca="1">'07 WACC'!$C$36+'09 Escenarios'!$F$17</f>
        <v>0</v>
      </c>
      <c r="P52" s="19">
        <f ca="1">'07 WACC'!$C$36+'09 Escenarios'!$F$17</f>
        <v>0</v>
      </c>
    </row>
    <row r="53" spans="2:16" x14ac:dyDescent="0.3">
      <c r="B53" t="s">
        <v>481</v>
      </c>
      <c r="C53" t="s">
        <v>42</v>
      </c>
      <c r="D53" s="19"/>
      <c r="E53" s="19"/>
      <c r="F53" s="19"/>
      <c r="G53" s="19">
        <f ca="1">'02 Assumptions'!$C$62+'09 Escenarios'!$F$16</f>
        <v>0</v>
      </c>
      <c r="H53" s="19">
        <f ca="1">'02 Assumptions'!$C$62+'09 Escenarios'!$F$16</f>
        <v>0</v>
      </c>
      <c r="I53" s="19">
        <f ca="1">'02 Assumptions'!$C$62+'09 Escenarios'!$F$16</f>
        <v>0</v>
      </c>
      <c r="J53" s="19">
        <f ca="1">'02 Assumptions'!$C$62+'09 Escenarios'!$F$16</f>
        <v>0</v>
      </c>
      <c r="K53" s="19">
        <f ca="1">'02 Assumptions'!$C$62+'09 Escenarios'!$F$16</f>
        <v>0</v>
      </c>
      <c r="L53" s="19">
        <f ca="1">'02 Assumptions'!$C$62+'09 Escenarios'!$F$16</f>
        <v>0</v>
      </c>
      <c r="M53" s="19">
        <f ca="1">'02 Assumptions'!$C$62+'09 Escenarios'!$F$16</f>
        <v>0</v>
      </c>
      <c r="N53" s="19">
        <f ca="1">'02 Assumptions'!$C$62+'09 Escenarios'!$F$16</f>
        <v>0</v>
      </c>
      <c r="O53" s="19">
        <f ca="1">'02 Assumptions'!$C$62+'09 Escenarios'!$F$16</f>
        <v>0</v>
      </c>
      <c r="P53" s="19">
        <f ca="1">'02 Assumptions'!$C$62+'09 Escenarios'!$F$16</f>
        <v>0</v>
      </c>
    </row>
    <row r="54" spans="2:16" x14ac:dyDescent="0.3">
      <c r="B54" t="s">
        <v>526</v>
      </c>
      <c r="C54" t="s">
        <v>42</v>
      </c>
      <c r="D54" s="19"/>
      <c r="E54" s="19"/>
      <c r="F54" s="19"/>
      <c r="G54" s="19">
        <f ca="1">'02 Assumptions'!$C$66</f>
        <v>0</v>
      </c>
      <c r="H54" s="19">
        <f ca="1">'02 Assumptions'!$C$66</f>
        <v>0</v>
      </c>
      <c r="I54" s="19">
        <f ca="1">'02 Assumptions'!$C$66</f>
        <v>0</v>
      </c>
      <c r="J54" s="19">
        <f ca="1">'02 Assumptions'!$C$66</f>
        <v>0</v>
      </c>
      <c r="K54" s="19">
        <f ca="1">'02 Assumptions'!$C$66</f>
        <v>0</v>
      </c>
      <c r="L54" s="19">
        <f ca="1">'02 Assumptions'!$C$66</f>
        <v>0</v>
      </c>
      <c r="M54" s="19">
        <f ca="1">'02 Assumptions'!$C$66</f>
        <v>0</v>
      </c>
      <c r="N54" s="19">
        <f ca="1">'02 Assumptions'!$C$66</f>
        <v>0</v>
      </c>
      <c r="O54" s="19">
        <f ca="1">'02 Assumptions'!$C$66</f>
        <v>0</v>
      </c>
      <c r="P54" s="19">
        <f ca="1">'02 Assumptions'!$C$66</f>
        <v>0</v>
      </c>
    </row>
    <row r="55" spans="2:16" x14ac:dyDescent="0.3">
      <c r="B55" t="s">
        <v>1902</v>
      </c>
      <c r="C55" t="s">
        <v>321</v>
      </c>
      <c r="D55" s="26"/>
      <c r="E55" s="26"/>
      <c r="F55" s="26"/>
      <c r="G55" s="26">
        <f ca="1">COLUMNS($G55:G55)-IF('02 Assumptions'!$C$12=2,0.5,0)</f>
        <v>0</v>
      </c>
      <c r="H55" s="26">
        <f ca="1">COLUMNS($G55:H55)-IF('02 Assumptions'!$C$12=2,0.5,0)</f>
        <v>0</v>
      </c>
      <c r="I55" s="26">
        <f ca="1">COLUMNS($G55:I55)-IF('02 Assumptions'!$C$12=2,0.5,0)</f>
        <v>0</v>
      </c>
      <c r="J55" s="26">
        <f ca="1">COLUMNS($G55:J55)-IF('02 Assumptions'!$C$12=2,0.5,0)</f>
        <v>0</v>
      </c>
      <c r="K55" s="26">
        <f ca="1">COLUMNS($G55:K55)-IF('02 Assumptions'!$C$12=2,0.5,0)</f>
        <v>0</v>
      </c>
      <c r="L55" s="26">
        <f ca="1">COLUMNS($G55:L55)-IF('02 Assumptions'!$C$12=2,0.5,0)</f>
        <v>0</v>
      </c>
      <c r="M55" s="26">
        <f ca="1">COLUMNS($G55:M55)-IF('02 Assumptions'!$C$12=2,0.5,0)</f>
        <v>0</v>
      </c>
      <c r="N55" s="26">
        <f ca="1">COLUMNS($G55:N55)-IF('02 Assumptions'!$C$12=2,0.5,0)</f>
        <v>0</v>
      </c>
      <c r="O55" s="26">
        <f ca="1">COLUMNS($G55:O55)-IF('02 Assumptions'!$C$12=2,0.5,0)</f>
        <v>0</v>
      </c>
      <c r="P55" s="26">
        <f ca="1">COLUMNS($G55:P55)-IF('02 Assumptions'!$C$12=2,0.5,0)</f>
        <v>0</v>
      </c>
    </row>
    <row r="56" spans="2:16" x14ac:dyDescent="0.3">
      <c r="B56" t="s">
        <v>1903</v>
      </c>
      <c r="C56" t="s">
        <v>209</v>
      </c>
      <c r="D56" s="44"/>
      <c r="E56" s="44"/>
      <c r="F56" s="44"/>
      <c r="G56" s="44">
        <f t="shared" ref="G56:P56" ca="1" si="21">1/(1+G52)^G55</f>
        <v>0</v>
      </c>
      <c r="H56" s="44">
        <f t="shared" ca="1" si="21"/>
        <v>0</v>
      </c>
      <c r="I56" s="44">
        <f t="shared" ca="1" si="21"/>
        <v>0</v>
      </c>
      <c r="J56" s="44">
        <f t="shared" ca="1" si="21"/>
        <v>0</v>
      </c>
      <c r="K56" s="44">
        <f t="shared" ca="1" si="21"/>
        <v>0</v>
      </c>
      <c r="L56" s="44">
        <f t="shared" ca="1" si="21"/>
        <v>0</v>
      </c>
      <c r="M56" s="44">
        <f t="shared" ca="1" si="21"/>
        <v>0</v>
      </c>
      <c r="N56" s="44">
        <f t="shared" ca="1" si="21"/>
        <v>0</v>
      </c>
      <c r="O56" s="44">
        <f t="shared" ca="1" si="21"/>
        <v>0</v>
      </c>
      <c r="P56" s="44">
        <f t="shared" ca="1" si="21"/>
        <v>0</v>
      </c>
    </row>
    <row r="57" spans="2:16" x14ac:dyDescent="0.3">
      <c r="B57" t="s">
        <v>1904</v>
      </c>
      <c r="C57" t="s">
        <v>95</v>
      </c>
      <c r="D57" s="17"/>
      <c r="E57" s="17"/>
      <c r="F57" s="17"/>
      <c r="G57" s="17">
        <f t="shared" ref="G57:P57" ca="1" si="22">G50*G56</f>
        <v>0</v>
      </c>
      <c r="H57" s="17">
        <f t="shared" ca="1" si="22"/>
        <v>0</v>
      </c>
      <c r="I57" s="17">
        <f t="shared" ca="1" si="22"/>
        <v>0</v>
      </c>
      <c r="J57" s="17">
        <f t="shared" ca="1" si="22"/>
        <v>0</v>
      </c>
      <c r="K57" s="17">
        <f t="shared" ca="1" si="22"/>
        <v>0</v>
      </c>
      <c r="L57" s="17">
        <f t="shared" ca="1" si="22"/>
        <v>0</v>
      </c>
      <c r="M57" s="17">
        <f t="shared" ca="1" si="22"/>
        <v>0</v>
      </c>
      <c r="N57" s="17">
        <f t="shared" ca="1" si="22"/>
        <v>0</v>
      </c>
      <c r="O57" s="17">
        <f t="shared" ca="1" si="22"/>
        <v>0</v>
      </c>
      <c r="P57" s="17">
        <f t="shared" ca="1" si="22"/>
        <v>0</v>
      </c>
    </row>
    <row r="59" spans="2:16" x14ac:dyDescent="0.3">
      <c r="B59" t="s">
        <v>1919</v>
      </c>
      <c r="C59" t="s">
        <v>95</v>
      </c>
      <c r="D59" s="17"/>
      <c r="E59" s="17"/>
      <c r="F59" s="17">
        <f ca="1">SUM(G57:P57)</f>
        <v>0</v>
      </c>
      <c r="G59" s="17"/>
      <c r="H59" s="17"/>
      <c r="I59" s="17"/>
      <c r="J59" s="17"/>
      <c r="K59" s="17"/>
      <c r="L59" s="17"/>
      <c r="M59" s="17"/>
      <c r="N59" s="17"/>
      <c r="O59" s="17"/>
      <c r="P59" s="17"/>
    </row>
    <row r="60" spans="2:16" x14ac:dyDescent="0.3">
      <c r="B60" t="s">
        <v>1905</v>
      </c>
      <c r="C60" t="s">
        <v>42</v>
      </c>
      <c r="D60" s="19"/>
      <c r="E60" s="19"/>
      <c r="F60" s="19">
        <f ca="1">P53/P54</f>
        <v>0</v>
      </c>
      <c r="G60" s="19"/>
      <c r="H60" s="19"/>
      <c r="I60" s="19"/>
      <c r="J60" s="19"/>
      <c r="K60" s="19"/>
      <c r="L60" s="19"/>
      <c r="M60" s="19"/>
      <c r="N60" s="19"/>
      <c r="O60" s="19"/>
      <c r="P60" s="19"/>
    </row>
    <row r="61" spans="2:16" x14ac:dyDescent="0.3">
      <c r="B61" t="s">
        <v>1906</v>
      </c>
      <c r="C61" t="s">
        <v>95</v>
      </c>
      <c r="D61" s="17"/>
      <c r="E61" s="17"/>
      <c r="F61" s="17">
        <f ca="1">P45*(1+P53)</f>
        <v>0</v>
      </c>
      <c r="G61" s="17"/>
      <c r="H61" s="17"/>
      <c r="I61" s="17"/>
      <c r="J61" s="17"/>
      <c r="K61" s="17"/>
      <c r="L61" s="17"/>
      <c r="M61" s="17"/>
      <c r="N61" s="17"/>
      <c r="O61" s="17"/>
      <c r="P61" s="17"/>
    </row>
    <row r="62" spans="2:16" x14ac:dyDescent="0.3">
      <c r="B62" t="s">
        <v>1907</v>
      </c>
      <c r="C62" t="s">
        <v>95</v>
      </c>
      <c r="D62" s="17"/>
      <c r="E62" s="17"/>
      <c r="F62" s="17">
        <f ca="1">F61*(1-F60)</f>
        <v>0</v>
      </c>
      <c r="G62" s="17"/>
      <c r="H62" s="17"/>
      <c r="I62" s="17"/>
      <c r="J62" s="17"/>
      <c r="K62" s="17"/>
      <c r="L62" s="17"/>
      <c r="M62" s="17"/>
      <c r="N62" s="17"/>
      <c r="O62" s="17"/>
      <c r="P62" s="17"/>
    </row>
    <row r="63" spans="2:16" x14ac:dyDescent="0.3">
      <c r="B63" t="s">
        <v>1908</v>
      </c>
      <c r="C63" t="s">
        <v>95</v>
      </c>
      <c r="D63" s="17"/>
      <c r="E63" s="17"/>
      <c r="F63" s="17">
        <f ca="1">IF(P52&lt;=P53,"FALLO: WACC&lt;=g",F62/(P52-P53))</f>
        <v>0</v>
      </c>
      <c r="G63" s="17"/>
      <c r="H63" s="17"/>
      <c r="I63" s="17"/>
      <c r="J63" s="17"/>
      <c r="K63" s="17"/>
      <c r="L63" s="17"/>
      <c r="M63" s="17"/>
      <c r="N63" s="17"/>
      <c r="O63" s="17"/>
      <c r="P63" s="17"/>
    </row>
    <row r="64" spans="2:16" x14ac:dyDescent="0.3">
      <c r="B64" t="s">
        <v>1909</v>
      </c>
      <c r="C64" t="s">
        <v>209</v>
      </c>
      <c r="D64" s="44"/>
      <c r="E64" s="44"/>
      <c r="F64" s="44">
        <f ca="1">1/(1+P52)^'02 Assumptions'!$C$11</f>
        <v>0</v>
      </c>
      <c r="G64" s="44"/>
      <c r="H64" s="44"/>
      <c r="I64" s="44"/>
      <c r="J64" s="44"/>
      <c r="K64" s="44"/>
      <c r="L64" s="44"/>
      <c r="M64" s="44"/>
      <c r="N64" s="44"/>
      <c r="O64" s="44"/>
      <c r="P64" s="44"/>
    </row>
    <row r="65" spans="2:16" x14ac:dyDescent="0.3">
      <c r="B65" t="s">
        <v>541</v>
      </c>
      <c r="C65" t="s">
        <v>95</v>
      </c>
      <c r="D65" s="17"/>
      <c r="E65" s="17"/>
      <c r="F65" s="17">
        <f ca="1">F63*F64</f>
        <v>0</v>
      </c>
      <c r="G65" s="17"/>
      <c r="H65" s="17"/>
      <c r="I65" s="17"/>
      <c r="J65" s="17"/>
      <c r="K65" s="17"/>
      <c r="L65" s="17"/>
      <c r="M65" s="17"/>
      <c r="N65" s="17"/>
      <c r="O65" s="17"/>
      <c r="P65" s="17"/>
    </row>
    <row r="66" spans="2:16" x14ac:dyDescent="0.3">
      <c r="B66" s="100" t="s">
        <v>542</v>
      </c>
      <c r="C66" s="100" t="s">
        <v>95</v>
      </c>
      <c r="D66" s="107"/>
      <c r="E66" s="107"/>
      <c r="F66" s="107">
        <f ca="1">F59+F65</f>
        <v>0</v>
      </c>
      <c r="G66" s="18"/>
      <c r="H66" s="18"/>
      <c r="I66" s="18"/>
      <c r="J66" s="18"/>
      <c r="K66" s="18"/>
      <c r="L66" s="18"/>
      <c r="M66" s="18"/>
      <c r="N66" s="18"/>
      <c r="O66" s="18"/>
      <c r="P66" s="18"/>
    </row>
    <row r="67" spans="2:16" x14ac:dyDescent="0.3">
      <c r="B67" t="s">
        <v>543</v>
      </c>
      <c r="C67" t="s">
        <v>42</v>
      </c>
      <c r="D67" s="19"/>
      <c r="E67" s="19"/>
      <c r="F67" s="19">
        <f ca="1">F65/F66</f>
        <v>0</v>
      </c>
      <c r="G67" s="19"/>
      <c r="H67" s="19"/>
      <c r="I67" s="19"/>
      <c r="J67" s="19"/>
      <c r="K67" s="19"/>
      <c r="L67" s="19"/>
      <c r="M67" s="19"/>
      <c r="N67" s="19"/>
      <c r="O67" s="19"/>
      <c r="P67" s="19"/>
    </row>
    <row r="68" spans="2:16" x14ac:dyDescent="0.3">
      <c r="B68" t="s">
        <v>591</v>
      </c>
      <c r="C68" t="s">
        <v>209</v>
      </c>
      <c r="D68" s="44"/>
      <c r="E68" s="44"/>
      <c r="F68" s="44">
        <f ca="1">IFERROR(F63/P32,"n/a")</f>
        <v>0</v>
      </c>
      <c r="G68" s="44"/>
      <c r="H68" s="44"/>
      <c r="I68" s="44"/>
      <c r="J68" s="44"/>
      <c r="K68" s="44"/>
      <c r="L68" s="44"/>
      <c r="M68" s="44"/>
      <c r="N68" s="44"/>
      <c r="O68" s="44"/>
      <c r="P68" s="44"/>
    </row>
    <row r="69" spans="2:16" x14ac:dyDescent="0.3">
      <c r="B69" t="s">
        <v>1920</v>
      </c>
      <c r="C69" t="s">
        <v>95</v>
      </c>
      <c r="D69" s="17"/>
      <c r="E69" s="17"/>
      <c r="F69" s="17">
        <f ca="1">SUM('06 DCF'!$F$46:$F$52)</f>
        <v>0</v>
      </c>
      <c r="G69" s="17"/>
      <c r="H69" s="17"/>
      <c r="I69" s="17"/>
      <c r="J69" s="17"/>
      <c r="K69" s="17"/>
      <c r="L69" s="17"/>
      <c r="M69" s="17"/>
      <c r="N69" s="17"/>
      <c r="O69" s="17"/>
      <c r="P69" s="17"/>
    </row>
    <row r="70" spans="2:16" x14ac:dyDescent="0.3">
      <c r="B70" s="100" t="s">
        <v>551</v>
      </c>
      <c r="C70" s="100" t="s">
        <v>95</v>
      </c>
      <c r="D70" s="107"/>
      <c r="E70" s="107"/>
      <c r="F70" s="107">
        <f ca="1">F66+F69</f>
        <v>0</v>
      </c>
      <c r="G70" s="18"/>
      <c r="H70" s="18"/>
      <c r="I70" s="18"/>
      <c r="J70" s="18"/>
      <c r="K70" s="18"/>
      <c r="L70" s="18"/>
      <c r="M70" s="18"/>
      <c r="N70" s="18"/>
      <c r="O70" s="18"/>
      <c r="P70" s="18"/>
    </row>
    <row r="71" spans="2:16" x14ac:dyDescent="0.3">
      <c r="B71" t="s">
        <v>552</v>
      </c>
      <c r="C71" t="s">
        <v>126</v>
      </c>
      <c r="D71" s="21"/>
      <c r="E71" s="21"/>
      <c r="F71" s="21">
        <f ca="1">'02 Assumptions'!$C$69</f>
        <v>0</v>
      </c>
      <c r="G71" s="21"/>
      <c r="H71" s="21"/>
      <c r="I71" s="21"/>
      <c r="J71" s="21"/>
      <c r="K71" s="21"/>
      <c r="L71" s="21"/>
      <c r="M71" s="21"/>
      <c r="N71" s="21"/>
      <c r="O71" s="21"/>
      <c r="P71" s="21"/>
    </row>
    <row r="72" spans="2:16" ht="15.6" x14ac:dyDescent="0.3">
      <c r="B72" s="108" t="s">
        <v>553</v>
      </c>
      <c r="C72" s="108" t="s">
        <v>123</v>
      </c>
      <c r="D72" s="172"/>
      <c r="E72" s="172"/>
      <c r="F72" s="172">
        <f ca="1">F70/F71</f>
        <v>0</v>
      </c>
      <c r="G72" s="190"/>
      <c r="H72" s="190"/>
      <c r="I72" s="190"/>
      <c r="J72" s="190"/>
      <c r="K72" s="190"/>
      <c r="L72" s="190"/>
      <c r="M72" s="190"/>
      <c r="N72" s="190"/>
      <c r="O72" s="190"/>
      <c r="P72" s="190"/>
    </row>
    <row r="73" spans="2:16" x14ac:dyDescent="0.3">
      <c r="B73" t="s">
        <v>717</v>
      </c>
      <c r="C73" t="s">
        <v>123</v>
      </c>
      <c r="D73" s="168"/>
      <c r="E73" s="168"/>
      <c r="F73" s="168">
        <f ca="1">'01 Summary'!$C$10</f>
        <v>0</v>
      </c>
      <c r="G73" s="168"/>
      <c r="H73" s="168"/>
      <c r="I73" s="168"/>
      <c r="J73" s="168"/>
      <c r="K73" s="168"/>
      <c r="L73" s="168"/>
      <c r="M73" s="168"/>
      <c r="N73" s="168"/>
      <c r="O73" s="168"/>
      <c r="P73" s="168"/>
    </row>
    <row r="74" spans="2:16" x14ac:dyDescent="0.3">
      <c r="B74" t="s">
        <v>555</v>
      </c>
      <c r="C74" t="s">
        <v>42</v>
      </c>
      <c r="D74" s="19"/>
      <c r="E74" s="19"/>
      <c r="F74" s="19">
        <f ca="1">IF(F73&lt;=0,"introducir precio",F72/F73-1)</f>
        <v>0</v>
      </c>
      <c r="G74" s="19"/>
      <c r="H74" s="19"/>
      <c r="I74" s="19"/>
      <c r="J74" s="19"/>
      <c r="K74" s="19"/>
      <c r="L74" s="19"/>
      <c r="M74" s="19"/>
      <c r="N74" s="19"/>
      <c r="O74" s="19"/>
      <c r="P74" s="19"/>
    </row>
    <row r="75" spans="2:16" x14ac:dyDescent="0.3">
      <c r="B75" t="s">
        <v>1921</v>
      </c>
      <c r="C75" t="s">
        <v>95</v>
      </c>
      <c r="D75" s="17"/>
      <c r="E75" s="17"/>
      <c r="F75" s="17">
        <f ca="1">P11</f>
        <v>0</v>
      </c>
      <c r="G75" s="17"/>
      <c r="H75" s="17"/>
      <c r="I75" s="17"/>
      <c r="J75" s="17"/>
      <c r="K75" s="17"/>
      <c r="L75" s="17"/>
      <c r="M75" s="17"/>
      <c r="N75" s="17"/>
      <c r="O75" s="17"/>
      <c r="P75" s="17"/>
    </row>
    <row r="77" spans="2:16" x14ac:dyDescent="0.3">
      <c r="B77" s="5" t="s">
        <v>1910</v>
      </c>
      <c r="C77" s="5"/>
      <c r="D77" s="5"/>
      <c r="E77" s="5"/>
      <c r="F77" s="5"/>
      <c r="G77" s="5"/>
      <c r="H77" s="5"/>
      <c r="I77" s="5"/>
      <c r="J77" s="5"/>
      <c r="K77" s="5"/>
      <c r="L77" s="5"/>
      <c r="M77" s="5"/>
      <c r="N77" s="5"/>
      <c r="O77" s="5"/>
      <c r="P77" s="5"/>
    </row>
    <row r="78" spans="2:16" x14ac:dyDescent="0.3">
      <c r="B78" s="102" t="s">
        <v>482</v>
      </c>
      <c r="C78" s="102"/>
      <c r="D78" s="102"/>
      <c r="E78" s="102"/>
      <c r="F78" s="102">
        <f ca="1">IF(P52&gt;P53,"OK","FALLO")</f>
        <v>0</v>
      </c>
      <c r="G78" s="5"/>
      <c r="H78" s="5"/>
      <c r="I78" s="5"/>
      <c r="J78" s="5"/>
      <c r="K78" s="5"/>
      <c r="L78" s="5"/>
      <c r="M78" s="5"/>
      <c r="N78" s="5"/>
      <c r="O78" s="5"/>
      <c r="P78" s="5"/>
    </row>
    <row r="79" spans="2:16" x14ac:dyDescent="0.3">
      <c r="B79" s="102" t="s">
        <v>1911</v>
      </c>
      <c r="C79" s="102"/>
      <c r="D79" s="102"/>
      <c r="E79" s="102"/>
      <c r="F79" s="102">
        <f ca="1">IF(P50&gt;0,"OK","FALLO")</f>
        <v>0</v>
      </c>
      <c r="G79" s="5"/>
      <c r="H79" s="5"/>
      <c r="I79" s="5"/>
      <c r="J79" s="5"/>
      <c r="K79" s="5"/>
      <c r="L79" s="5"/>
      <c r="M79" s="5"/>
      <c r="N79" s="5"/>
      <c r="O79" s="5"/>
      <c r="P79" s="5"/>
    </row>
    <row r="80" spans="2:16" x14ac:dyDescent="0.3">
      <c r="B80" s="102" t="s">
        <v>1912</v>
      </c>
      <c r="C80" s="102"/>
      <c r="D80" s="102"/>
      <c r="E80" s="102"/>
      <c r="F80" s="102">
        <f ca="1">IF(P12&gt;=P53,"OK","AVISO: el último año explícito crece menos que la perpetuidad")</f>
        <v>0</v>
      </c>
      <c r="G80" s="5"/>
      <c r="H80" s="5"/>
      <c r="I80" s="5"/>
      <c r="J80" s="5"/>
      <c r="K80" s="5"/>
      <c r="L80" s="5"/>
      <c r="M80" s="5"/>
      <c r="N80" s="5"/>
      <c r="O80" s="5"/>
      <c r="P80" s="5"/>
    </row>
    <row r="81" spans="2:16" x14ac:dyDescent="0.3">
      <c r="B81" s="102" t="s">
        <v>1922</v>
      </c>
      <c r="C81" s="102"/>
      <c r="D81" s="102"/>
      <c r="E81" s="102"/>
      <c r="F81" s="102" cm="1">
        <f t="array" aca="1" ref="F81" ca="1">IF(SUMPRODUCT(--ISERROR($G$7:$P$57))=0,"OK","FALLO")</f>
        <v>0</v>
      </c>
      <c r="G81" s="5"/>
      <c r="H81" s="5"/>
      <c r="I81" s="5"/>
      <c r="J81" s="5"/>
      <c r="K81" s="5"/>
      <c r="L81" s="5"/>
      <c r="M81" s="5"/>
      <c r="N81" s="5"/>
      <c r="O81" s="5"/>
      <c r="P81" s="5"/>
    </row>
    <row r="82" spans="2:16" x14ac:dyDescent="0.3">
      <c r="B82" s="102" t="s">
        <v>1923</v>
      </c>
      <c r="C82" s="102"/>
      <c r="D82" s="102"/>
      <c r="E82" s="102"/>
      <c r="F82" s="102" t="s">
        <v>1924</v>
      </c>
      <c r="G82" s="5"/>
      <c r="H82" s="5"/>
      <c r="I82" s="5"/>
      <c r="J82" s="5"/>
      <c r="K82" s="5"/>
      <c r="L82" s="5"/>
      <c r="M82" s="5"/>
      <c r="N82" s="5"/>
      <c r="O82" s="5"/>
      <c r="P82"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3FBC-38AC-40EA-A1F5-A412E0B2ADEE}">
  <dimension ref="A1:D57"/>
  <sheetViews>
    <sheetView workbookViewId="0"/>
  </sheetViews>
  <sheetFormatPr baseColWidth="10" defaultRowHeight="14.4" x14ac:dyDescent="0.3"/>
  <cols>
    <col min="2" max="2" width="77.77734375" customWidth="1"/>
    <col min="3" max="3" width="140.77734375" customWidth="1"/>
    <col min="4" max="4" width="25.88671875" customWidth="1"/>
  </cols>
  <sheetData>
    <row r="1" spans="1:4" ht="18" x14ac:dyDescent="0.35">
      <c r="A1" s="4" t="s">
        <v>714</v>
      </c>
    </row>
    <row r="2" spans="1:4" x14ac:dyDescent="0.3">
      <c r="A2" s="14" t="s">
        <v>715</v>
      </c>
    </row>
    <row r="4" spans="1:4" x14ac:dyDescent="0.3">
      <c r="B4" s="5" t="s">
        <v>716</v>
      </c>
      <c r="C4" s="5"/>
      <c r="D4" s="5"/>
    </row>
    <row r="5" spans="1:4" x14ac:dyDescent="0.3">
      <c r="B5" t="s">
        <v>717</v>
      </c>
      <c r="C5" t="s">
        <v>123</v>
      </c>
      <c r="D5" s="183">
        <f>'01 Summary'!$C$10</f>
        <v>0</v>
      </c>
    </row>
    <row r="6" spans="1:4" x14ac:dyDescent="0.3">
      <c r="B6" t="s">
        <v>552</v>
      </c>
      <c r="C6" t="s">
        <v>126</v>
      </c>
      <c r="D6" s="21">
        <f>'06 DCF'!$F$54</f>
        <v>2934</v>
      </c>
    </row>
    <row r="7" spans="1:4" x14ac:dyDescent="0.3">
      <c r="B7" t="s">
        <v>718</v>
      </c>
      <c r="C7" t="s">
        <v>95</v>
      </c>
      <c r="D7" s="17">
        <f>D5*D6</f>
        <v>0</v>
      </c>
    </row>
    <row r="8" spans="1:4" x14ac:dyDescent="0.3">
      <c r="B8" t="s">
        <v>719</v>
      </c>
      <c r="C8" t="s">
        <v>95</v>
      </c>
      <c r="D8" s="17">
        <f>'02 Assumptions'!$C$70</f>
        <v>129541</v>
      </c>
    </row>
    <row r="9" spans="1:4" x14ac:dyDescent="0.3">
      <c r="B9" t="s">
        <v>720</v>
      </c>
      <c r="C9" t="s">
        <v>95</v>
      </c>
      <c r="D9" s="17">
        <f>'02 Assumptions'!$C$71</f>
        <v>7701</v>
      </c>
    </row>
    <row r="10" spans="1:4" x14ac:dyDescent="0.3">
      <c r="B10" t="s">
        <v>721</v>
      </c>
      <c r="C10" t="s">
        <v>95</v>
      </c>
      <c r="D10" s="17">
        <f>-'02 Assumptions'!$C$72</f>
        <v>-31289</v>
      </c>
    </row>
    <row r="11" spans="1:4" x14ac:dyDescent="0.3">
      <c r="B11" t="s">
        <v>722</v>
      </c>
      <c r="C11" t="s">
        <v>95</v>
      </c>
      <c r="D11" s="17">
        <f>'02 Assumptions'!$C$68*'03 Historical'!$F$11</f>
        <v>1010.355</v>
      </c>
    </row>
    <row r="12" spans="1:4" x14ac:dyDescent="0.3">
      <c r="B12" t="s">
        <v>723</v>
      </c>
      <c r="C12" t="s">
        <v>95</v>
      </c>
      <c r="D12" s="17">
        <f>-'02 Assumptions'!$C$73</f>
        <v>-605</v>
      </c>
    </row>
    <row r="13" spans="1:4" x14ac:dyDescent="0.3">
      <c r="B13" t="s">
        <v>724</v>
      </c>
      <c r="C13" t="s">
        <v>95</v>
      </c>
      <c r="D13" s="17">
        <f>'02 Assumptions'!$C$74</f>
        <v>548</v>
      </c>
    </row>
    <row r="14" spans="1:4" x14ac:dyDescent="0.3">
      <c r="B14" t="s">
        <v>725</v>
      </c>
      <c r="C14" t="s">
        <v>95</v>
      </c>
      <c r="D14" s="17">
        <f>'02 Assumptions'!$C$75</f>
        <v>4954</v>
      </c>
    </row>
    <row r="15" spans="1:4" x14ac:dyDescent="0.3">
      <c r="B15" s="3" t="s">
        <v>726</v>
      </c>
      <c r="C15" s="3" t="s">
        <v>95</v>
      </c>
      <c r="D15" s="18">
        <f>D7+SUM(D8:D14)</f>
        <v>111860.355</v>
      </c>
    </row>
    <row r="16" spans="1:4" x14ac:dyDescent="0.3">
      <c r="B16" t="s">
        <v>727</v>
      </c>
      <c r="C16" t="s">
        <v>95</v>
      </c>
      <c r="D16" s="17">
        <f>'06 DCF'!$F$44</f>
        <v>608375.19047210505</v>
      </c>
    </row>
    <row r="17" spans="2:4" x14ac:dyDescent="0.3">
      <c r="B17" t="s">
        <v>728</v>
      </c>
      <c r="C17" t="s">
        <v>95</v>
      </c>
      <c r="D17" s="17">
        <f>D15-D16</f>
        <v>-496514.83547210507</v>
      </c>
    </row>
    <row r="18" spans="2:4" x14ac:dyDescent="0.3">
      <c r="B18" t="s">
        <v>729</v>
      </c>
      <c r="C18" t="s">
        <v>123</v>
      </c>
      <c r="D18" s="168">
        <f>'06 DCF'!$F$55</f>
        <v>169.22796028360773</v>
      </c>
    </row>
    <row r="19" spans="2:4" x14ac:dyDescent="0.3">
      <c r="B19" t="s">
        <v>730</v>
      </c>
      <c r="C19" t="s">
        <v>123</v>
      </c>
      <c r="D19" s="168">
        <f>D5-D18</f>
        <v>-169.22796028360773</v>
      </c>
    </row>
    <row r="21" spans="2:4" x14ac:dyDescent="0.3">
      <c r="B21" s="5" t="s">
        <v>731</v>
      </c>
      <c r="C21" s="5"/>
      <c r="D21" s="5"/>
    </row>
    <row r="22" spans="2:4" x14ac:dyDescent="0.3">
      <c r="B22" t="s">
        <v>732</v>
      </c>
      <c r="C22" t="s">
        <v>123</v>
      </c>
      <c r="D22" s="168" cm="1">
        <f t="array" ref="D22">(SUMPRODUCT('04 Operating Model'!$G$11:$P$11*(1-'04 Operating Model'!$G$55:$P$55),1/(1+'07 WACC'!$C$38)^'06 DCF'!$G$20:$P$20)+'04 Operating Model'!$P$11*(1-'04 Operating Model'!$P$55)*(1+'06 DCF'!$F$26)*(1-'06 DCF'!$F$26/'06 DCF'!$F$27)/('07 WACC'!$C$38-'06 DCF'!$F$26)/(1+'07 WACC'!$C$38)^'02 Assumptions'!$C$11)/'06 DCF'!$F$54*0.01</f>
        <v>6.932091222100663</v>
      </c>
    </row>
    <row r="23" spans="2:4" x14ac:dyDescent="0.3">
      <c r="B23" s="3" t="s">
        <v>1660</v>
      </c>
      <c r="C23" s="3" t="s">
        <v>42</v>
      </c>
      <c r="D23" s="122" t="str" cm="1">
        <f t="array" ref="D23">IF($D$5&lt;=0,"introducir precio",$D$19/((SUMPRODUCT('04 Operating Model'!$G$11:$P$11*(1-'04 Operating Model'!$G$55:$P$55),1/(1+'07 WACC'!$C$38)^'06 DCF'!$G$20:$P$20)+'04 Operating Model'!$P$11*(1-'04 Operating Model'!$P$55)*(1+'06 DCF'!$F$26)*(1-'06 DCF'!$F$26/'06 DCF'!$F$27)/('07 WACC'!$C$38-'06 DCF'!$F$26)/(1+'07 WACC'!$C$38)^'02 Assumptions'!$C$11)/'06 DCF'!$F$54))</f>
        <v>introducir precio</v>
      </c>
    </row>
    <row r="24" spans="2:4" x14ac:dyDescent="0.3">
      <c r="B24" t="s">
        <v>733</v>
      </c>
      <c r="C24" t="s">
        <v>42</v>
      </c>
      <c r="D24" s="89">
        <f>'04 Operating Model'!$P$30</f>
        <v>0.33658600745277512</v>
      </c>
    </row>
    <row r="25" spans="2:4" x14ac:dyDescent="0.3">
      <c r="B25" s="3" t="s">
        <v>734</v>
      </c>
      <c r="C25" s="3" t="s">
        <v>42</v>
      </c>
      <c r="D25" s="122" t="str">
        <f>IF($D$5&lt;=0,"introducir precio",D24+D23)</f>
        <v>introducir precio</v>
      </c>
    </row>
    <row r="26" spans="2:4" x14ac:dyDescent="0.3">
      <c r="B26" t="s">
        <v>735</v>
      </c>
      <c r="C26" t="s">
        <v>42</v>
      </c>
      <c r="D26" s="89">
        <f>MAX('03 Historical'!D128:F128)</f>
        <v>0.33320961444244845</v>
      </c>
    </row>
    <row r="27" spans="2:4" x14ac:dyDescent="0.3">
      <c r="B27" t="s">
        <v>736</v>
      </c>
      <c r="D27" s="36" t="str">
        <f>IF($D$5&lt;=0,"—",IF($D$25&gt;$D$26,"EL PRECIO EXIGE UN MARGEN EBIT TERMINAL SUPERIOR AL MÁXIMO HISTÓRICO. Hay que justificar el mecanismo económico que lo permite (apalancamiento operativo, poder de precios, mix) o concluir que el precio descuenta más de lo defendible.","El margen terminal implícito está por debajo del máximo histórico: exigencia asumible."))</f>
        <v>—</v>
      </c>
    </row>
    <row r="29" spans="2:4" x14ac:dyDescent="0.3">
      <c r="B29" s="5" t="s">
        <v>737</v>
      </c>
      <c r="C29" s="5"/>
      <c r="D29" s="5"/>
    </row>
    <row r="30" spans="2:4" x14ac:dyDescent="0.3">
      <c r="B30" t="s">
        <v>738</v>
      </c>
      <c r="C30" t="s">
        <v>123</v>
      </c>
      <c r="D30" s="168" cm="1">
        <f t="array" ref="D30">-SUMPRODUCT('04 Operating Model'!$G$11:$P$11,1/(1+'07 WACC'!$C$38)^'06 DCF'!$G$20:$P$20)/'06 DCF'!$F$54*0.01</f>
        <v>-3.4788974398092489</v>
      </c>
    </row>
    <row r="31" spans="2:4" x14ac:dyDescent="0.3">
      <c r="B31" s="3" t="s">
        <v>1661</v>
      </c>
      <c r="C31" s="3" t="s">
        <v>42</v>
      </c>
      <c r="D31" s="122" t="str">
        <f>IF($D$5&lt;=0,"introducir precio",$D$19/(D30/0.01))</f>
        <v>introducir precio</v>
      </c>
    </row>
    <row r="32" spans="2:4" x14ac:dyDescent="0.3">
      <c r="B32" t="s">
        <v>739</v>
      </c>
      <c r="C32" t="s">
        <v>42</v>
      </c>
      <c r="D32" s="89" t="str">
        <f>IF($D$5&lt;=0,"introducir precio",'04 Operating Model'!$P$35+D31)</f>
        <v>introducir precio</v>
      </c>
    </row>
    <row r="33" spans="2:4" x14ac:dyDescent="0.3">
      <c r="B33" s="13" t="s">
        <v>736</v>
      </c>
      <c r="C33" s="13"/>
      <c r="D33" s="153" t="str">
        <f>IF($D$5&lt;=0,"—",IF($D$32&lt;0,"EL PRECIO EXIGE UN CAPEX TERMINAL NEGATIVO, lo que es físicamente imposible: el precio no se puede justificar solo con eficiencia de capex.",IF($D$32&lt;0.05,"El capex terminal implícito cae por debajo del 5% de los ingresos: incompatible con un negocio de infraestructura cloud.","Capex terminal implícito dentro de un rango plausible.")))</f>
        <v>—</v>
      </c>
    </row>
    <row r="34" spans="2:4" x14ac:dyDescent="0.3">
      <c r="B34" s="5" t="s">
        <v>740</v>
      </c>
      <c r="C34" s="5"/>
      <c r="D34" s="5"/>
    </row>
    <row r="35" spans="2:4" x14ac:dyDescent="0.3">
      <c r="B35" t="s">
        <v>741</v>
      </c>
      <c r="C35" t="s">
        <v>95</v>
      </c>
      <c r="D35" s="17" t="str">
        <f>IF($D$5&lt;=0,"introducir precio",($D$15-'06 DCF'!$F$42)*(1+'07 WACC'!$C$38)^'02 Assumptions'!$C$11)</f>
        <v>introducir precio</v>
      </c>
    </row>
    <row r="36" spans="2:4" x14ac:dyDescent="0.3">
      <c r="B36" s="3" t="s">
        <v>742</v>
      </c>
      <c r="C36" s="3" t="s">
        <v>42</v>
      </c>
      <c r="D36" s="122" t="str">
        <f>IF($D$5&lt;=0,"introducir precio",IFERROR((('06 DCF'!$P$10*('06 DCF'!$F$27-1)+'06 DCF'!$F$27*$D$35)-SQRT(('06 DCF'!$P$10*('06 DCF'!$F$27-1)+'06 DCF'!$F$27*$D$35)^2-4*'06 DCF'!$P$10*('06 DCF'!$F$27*$D$35*'07 WACC'!$C$38-'06 DCF'!$P$10*'06 DCF'!$F$27)))/(2*'06 DCF'!$P$10),"sin solución real: el precio no es alcanzable ni con g→WACC"))</f>
        <v>introducir precio</v>
      </c>
    </row>
    <row r="37" spans="2:4" x14ac:dyDescent="0.3">
      <c r="B37" t="s">
        <v>743</v>
      </c>
      <c r="C37" t="s">
        <v>42</v>
      </c>
      <c r="D37" s="89">
        <f>'06 DCF'!$F$26</f>
        <v>0.03</v>
      </c>
    </row>
    <row r="38" spans="2:4" x14ac:dyDescent="0.3">
      <c r="B38" t="s">
        <v>744</v>
      </c>
      <c r="C38" t="s">
        <v>42</v>
      </c>
      <c r="D38" s="89">
        <f>'02 Assumptions'!$C$65</f>
        <v>0.04</v>
      </c>
    </row>
    <row r="39" spans="2:4" x14ac:dyDescent="0.3">
      <c r="B39" t="s">
        <v>736</v>
      </c>
      <c r="D39" s="36" t="str">
        <f>IF($D$5&lt;=0,"—",IF(NOT(ISNUMBER($D$36)),"El precio no se alcanza ni con g→WACC: hay que buscar la diferencia en el margen, el capex o el periodo explícito.",IF($D$36&gt;$D$38,"EL PRECIO EXIGE UN CRECIMIENTO PERPETUO SUPERIOR AL PIB NOMINAL. Eso implica que Oracle crecería indefinidamente más rápido que la economía: no es sostenible. El precio descuenta expectativas que el valor terminal no puede soportar.",IF($D$36&lt;0,"El precio es compatible incluso con decrecimiento perpetuo: el mercado descuenta menos de lo que proyecta el modelo.","Crecimiento terminal implícito dentro de un rango defendible."))))</f>
        <v>—</v>
      </c>
    </row>
    <row r="41" spans="2:4" x14ac:dyDescent="0.3">
      <c r="B41" s="5" t="s">
        <v>745</v>
      </c>
      <c r="C41" s="5"/>
      <c r="D41" s="5"/>
    </row>
    <row r="42" spans="2:4" x14ac:dyDescent="0.3">
      <c r="B42" t="s">
        <v>746</v>
      </c>
      <c r="C42" t="s">
        <v>209</v>
      </c>
      <c r="D42" s="25" t="str">
        <f>IFERROR($D$35/'04 Operating Model'!$P$39,"introducir precio")</f>
        <v>introducir precio</v>
      </c>
    </row>
    <row r="43" spans="2:4" x14ac:dyDescent="0.3">
      <c r="B43" t="s">
        <v>747</v>
      </c>
      <c r="C43" t="s">
        <v>209</v>
      </c>
      <c r="D43" s="25">
        <f>'06 DCF'!$F$62</f>
        <v>9.5110381206135504</v>
      </c>
    </row>
    <row r="44" spans="2:4" x14ac:dyDescent="0.3">
      <c r="B44" t="s">
        <v>748</v>
      </c>
      <c r="C44" t="s">
        <v>42</v>
      </c>
      <c r="D44" s="89" t="str">
        <f>IFERROR($D$35/(1+'07 WACC'!$C$38)^'02 Assumptions'!$C$11/$D$15,"introducir precio")</f>
        <v>introducir precio</v>
      </c>
    </row>
    <row r="46" spans="2:4" x14ac:dyDescent="0.3">
      <c r="B46" s="5" t="s">
        <v>749</v>
      </c>
      <c r="C46" s="5"/>
      <c r="D46" s="5"/>
    </row>
    <row r="47" spans="2:4" x14ac:dyDescent="0.3">
      <c r="B47" t="s">
        <v>750</v>
      </c>
      <c r="C47" t="s">
        <v>95</v>
      </c>
      <c r="D47" s="17">
        <f>'06 DCF'!$F$42</f>
        <v>206793.80504636379</v>
      </c>
    </row>
    <row r="48" spans="2:4" x14ac:dyDescent="0.3">
      <c r="B48" t="s">
        <v>751</v>
      </c>
      <c r="C48" t="s">
        <v>95</v>
      </c>
      <c r="D48" s="17">
        <f>'06 DCF'!$F$73</f>
        <v>357182.13797485863</v>
      </c>
    </row>
    <row r="49" spans="2:4" x14ac:dyDescent="0.3">
      <c r="B49" t="s">
        <v>752</v>
      </c>
      <c r="C49" t="s">
        <v>95</v>
      </c>
      <c r="D49" s="17">
        <f>'04 Operating Model'!$P$11</f>
        <v>217395.21786877228</v>
      </c>
    </row>
    <row r="50" spans="2:4" x14ac:dyDescent="0.3">
      <c r="B50" t="s">
        <v>753</v>
      </c>
      <c r="C50" t="s">
        <v>95</v>
      </c>
      <c r="D50" s="17" t="str">
        <f>IFERROR($D$49*(1+$D$23/'04 Operating Model'!$P$30),"introducir precio")</f>
        <v>introducir precio</v>
      </c>
    </row>
    <row r="52" spans="2:4" x14ac:dyDescent="0.3">
      <c r="B52" s="5" t="s">
        <v>754</v>
      </c>
      <c r="C52" s="5"/>
      <c r="D52" s="5"/>
    </row>
    <row r="53" spans="2:4" ht="345.6" x14ac:dyDescent="0.3">
      <c r="B53" s="37" t="s">
        <v>755</v>
      </c>
      <c r="C53" s="37" t="s">
        <v>756</v>
      </c>
    </row>
    <row r="54" spans="2:4" ht="316.8" x14ac:dyDescent="0.3">
      <c r="B54" s="37" t="s">
        <v>757</v>
      </c>
      <c r="C54" s="37" t="s">
        <v>758</v>
      </c>
    </row>
    <row r="55" spans="2:4" ht="172.8" x14ac:dyDescent="0.3">
      <c r="B55" s="37" t="s">
        <v>759</v>
      </c>
      <c r="C55" s="37" t="s">
        <v>760</v>
      </c>
    </row>
    <row r="56" spans="2:4" ht="331.2" x14ac:dyDescent="0.3">
      <c r="B56" s="37" t="s">
        <v>761</v>
      </c>
      <c r="C56" s="37" t="s">
        <v>762</v>
      </c>
    </row>
    <row r="57" spans="2:4" ht="345.6" x14ac:dyDescent="0.3">
      <c r="B57" s="37" t="s">
        <v>763</v>
      </c>
      <c r="C57" s="37" t="s">
        <v>764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0D76-2719-46FA-BEB7-46D3BDC9D412}">
  <dimension ref="A1:E43"/>
  <sheetViews>
    <sheetView workbookViewId="0"/>
  </sheetViews>
  <sheetFormatPr baseColWidth="10" defaultRowHeight="14.4" x14ac:dyDescent="0.3"/>
  <cols>
    <col min="2" max="2" width="55.5546875" customWidth="1"/>
    <col min="3" max="4" width="63" customWidth="1"/>
    <col min="5" max="5" width="32.44140625" customWidth="1"/>
  </cols>
  <sheetData>
    <row r="1" spans="1:5" ht="18" x14ac:dyDescent="0.35">
      <c r="A1" s="4" t="s">
        <v>765</v>
      </c>
    </row>
    <row r="2" spans="1:5" x14ac:dyDescent="0.3">
      <c r="A2" s="14" t="s">
        <v>766</v>
      </c>
    </row>
    <row r="4" spans="1:5" x14ac:dyDescent="0.3">
      <c r="B4" s="5" t="s">
        <v>767</v>
      </c>
      <c r="C4" s="5"/>
      <c r="D4" s="5"/>
      <c r="E4" s="5"/>
    </row>
    <row r="5" spans="1:5" x14ac:dyDescent="0.3">
      <c r="B5" t="s">
        <v>768</v>
      </c>
      <c r="C5" s="21">
        <f>'06 DCF'!$F$44</f>
        <v>608375.19047210505</v>
      </c>
    </row>
    <row r="6" spans="1:5" x14ac:dyDescent="0.3">
      <c r="B6" t="s">
        <v>769</v>
      </c>
      <c r="C6" s="21">
        <f>'06 DCF'!$F$53</f>
        <v>496514.83547210507</v>
      </c>
    </row>
    <row r="7" spans="1:5" x14ac:dyDescent="0.3">
      <c r="B7" t="s">
        <v>770</v>
      </c>
      <c r="C7" s="25">
        <f>C5/'03 Historical'!$F$11</f>
        <v>9.032100456850884</v>
      </c>
    </row>
    <row r="8" spans="1:5" x14ac:dyDescent="0.3">
      <c r="B8" t="s">
        <v>771</v>
      </c>
      <c r="C8" s="25">
        <f>C5/'03 Historical'!$F$125</f>
        <v>19.168668172919059</v>
      </c>
    </row>
    <row r="9" spans="1:5" x14ac:dyDescent="0.3">
      <c r="B9" t="s">
        <v>772</v>
      </c>
      <c r="C9" s="25">
        <f>C5/'03 Historical'!$F$127</f>
        <v>27.106362077709189</v>
      </c>
    </row>
    <row r="10" spans="1:5" x14ac:dyDescent="0.3">
      <c r="B10" t="s">
        <v>773</v>
      </c>
      <c r="C10" s="25">
        <f>C5/'04 Operating Model'!$I$11</f>
        <v>4.9032087465939451</v>
      </c>
    </row>
    <row r="11" spans="1:5" x14ac:dyDescent="0.3">
      <c r="B11" t="s">
        <v>774</v>
      </c>
      <c r="C11" s="25">
        <f>C5/'04 Operating Model'!$I$39</f>
        <v>10.279116643059822</v>
      </c>
    </row>
    <row r="12" spans="1:5" x14ac:dyDescent="0.3">
      <c r="B12" t="s">
        <v>775</v>
      </c>
      <c r="C12" s="25">
        <f>C5/'06 DCF'!$K$15</f>
        <v>14.999035269312579</v>
      </c>
    </row>
    <row r="13" spans="1:5" x14ac:dyDescent="0.3">
      <c r="B13" t="s">
        <v>776</v>
      </c>
      <c r="C13" s="25">
        <f>C6/'03 Historical'!$F$36</f>
        <v>29.234269634485695</v>
      </c>
    </row>
    <row r="14" spans="1:5" x14ac:dyDescent="0.3">
      <c r="B14" t="s">
        <v>777</v>
      </c>
      <c r="C14" s="86">
        <f>'06 DCF'!$K$15/C5</f>
        <v>6.6670954634393029E-2</v>
      </c>
    </row>
    <row r="16" spans="1:5" x14ac:dyDescent="0.3">
      <c r="B16" s="5" t="s">
        <v>778</v>
      </c>
      <c r="C16" s="5"/>
      <c r="D16" s="5"/>
      <c r="E16" s="5"/>
    </row>
    <row r="17" spans="2:5" x14ac:dyDescent="0.3">
      <c r="B17" t="s">
        <v>779</v>
      </c>
      <c r="C17" t="str">
        <f>'02 Assumptions'!$C$14</f>
        <v>OPERATIVO — coste en EBIT, pasivo fuera de la deuda neta</v>
      </c>
    </row>
    <row r="18" spans="2:5" x14ac:dyDescent="0.3">
      <c r="B18" t="s">
        <v>780</v>
      </c>
      <c r="C18" s="21">
        <f>'02 Assumptions'!$C$76</f>
        <v>30190</v>
      </c>
    </row>
    <row r="19" spans="2:5" x14ac:dyDescent="0.3">
      <c r="B19" t="s">
        <v>781</v>
      </c>
      <c r="C19" s="168">
        <f>-C18/'06 DCF'!$F$54</f>
        <v>-10.289706884798909</v>
      </c>
    </row>
    <row r="20" spans="2:5" x14ac:dyDescent="0.3">
      <c r="B20" t="s">
        <v>729</v>
      </c>
      <c r="C20" s="168">
        <f>'06 DCF'!$F$55</f>
        <v>169.22796028360773</v>
      </c>
    </row>
    <row r="21" spans="2:5" x14ac:dyDescent="0.3">
      <c r="B21" s="7" t="s">
        <v>782</v>
      </c>
      <c r="C21" s="184">
        <f>C20+C19</f>
        <v>158.93825339880883</v>
      </c>
    </row>
    <row r="22" spans="2:5" ht="409.6" x14ac:dyDescent="0.3">
      <c r="B22" s="114" t="s">
        <v>783</v>
      </c>
      <c r="C22">
        <f>'06 DCF'!$F$55</f>
        <v>169.22796028360773</v>
      </c>
    </row>
    <row r="23" spans="2:5" x14ac:dyDescent="0.3">
      <c r="B23" t="s">
        <v>782</v>
      </c>
      <c r="C23">
        <f>C22+C21</f>
        <v>328.16621368241658</v>
      </c>
    </row>
    <row r="24" spans="2:5" x14ac:dyDescent="0.3">
      <c r="B24" s="5" t="s">
        <v>784</v>
      </c>
      <c r="C24" s="5"/>
      <c r="D24" s="5"/>
      <c r="E24" s="5"/>
    </row>
    <row r="25" spans="2:5" x14ac:dyDescent="0.3">
      <c r="B25" s="2" t="s">
        <v>785</v>
      </c>
      <c r="C25" s="2" t="s">
        <v>786</v>
      </c>
      <c r="D25" s="2" t="s">
        <v>787</v>
      </c>
      <c r="E25" s="2" t="s">
        <v>788</v>
      </c>
    </row>
    <row r="26" spans="2:5" ht="72" x14ac:dyDescent="0.3">
      <c r="B26" s="37" t="s">
        <v>789</v>
      </c>
      <c r="C26" s="37" t="s">
        <v>790</v>
      </c>
      <c r="D26" s="37" t="s">
        <v>791</v>
      </c>
      <c r="E26" s="37" t="s">
        <v>792</v>
      </c>
    </row>
    <row r="27" spans="2:5" ht="216" x14ac:dyDescent="0.3">
      <c r="B27" s="37" t="s">
        <v>793</v>
      </c>
      <c r="C27" s="37" t="s">
        <v>794</v>
      </c>
      <c r="D27" s="37" t="s">
        <v>795</v>
      </c>
      <c r="E27" s="37" t="s">
        <v>796</v>
      </c>
    </row>
    <row r="28" spans="2:5" ht="129.6" x14ac:dyDescent="0.3">
      <c r="B28" s="37" t="s">
        <v>797</v>
      </c>
      <c r="C28" s="37" t="s">
        <v>798</v>
      </c>
      <c r="D28" s="37" t="s">
        <v>809</v>
      </c>
      <c r="E28" s="37" t="s">
        <v>810</v>
      </c>
    </row>
    <row r="29" spans="2:5" ht="100.8" x14ac:dyDescent="0.3">
      <c r="B29" s="37" t="s">
        <v>799</v>
      </c>
      <c r="C29" s="37" t="s">
        <v>800</v>
      </c>
      <c r="D29" s="37" t="s">
        <v>801</v>
      </c>
      <c r="E29" s="37" t="s">
        <v>792</v>
      </c>
    </row>
    <row r="30" spans="2:5" ht="201.6" x14ac:dyDescent="0.3">
      <c r="B30" s="37" t="s">
        <v>802</v>
      </c>
      <c r="C30" s="37" t="s">
        <v>811</v>
      </c>
      <c r="D30" s="37" t="s">
        <v>812</v>
      </c>
      <c r="E30" s="37" t="s">
        <v>803</v>
      </c>
    </row>
    <row r="31" spans="2:5" ht="144" x14ac:dyDescent="0.3">
      <c r="B31" s="37" t="s">
        <v>813</v>
      </c>
      <c r="C31" s="37" t="s">
        <v>814</v>
      </c>
      <c r="D31" s="37" t="s">
        <v>815</v>
      </c>
      <c r="E31" s="37" t="s">
        <v>804</v>
      </c>
    </row>
    <row r="32" spans="2:5" ht="187.2" x14ac:dyDescent="0.3">
      <c r="B32" s="37" t="s">
        <v>805</v>
      </c>
      <c r="C32" s="37" t="s">
        <v>816</v>
      </c>
      <c r="D32" s="37" t="s">
        <v>817</v>
      </c>
      <c r="E32" s="37" t="s">
        <v>806</v>
      </c>
    </row>
    <row r="34" spans="2:5" x14ac:dyDescent="0.3">
      <c r="B34" s="5" t="s">
        <v>807</v>
      </c>
      <c r="C34" s="5"/>
      <c r="D34" s="5"/>
      <c r="E34" s="5"/>
    </row>
    <row r="35" spans="2:5" ht="409.6" x14ac:dyDescent="0.3">
      <c r="B35" s="123" t="s">
        <v>818</v>
      </c>
    </row>
    <row r="37" spans="2:5" x14ac:dyDescent="0.3">
      <c r="B37" s="5" t="s">
        <v>808</v>
      </c>
      <c r="C37" s="5"/>
      <c r="D37" s="5"/>
      <c r="E37" s="5"/>
    </row>
    <row r="38" spans="2:5" ht="331.2" x14ac:dyDescent="0.3">
      <c r="B38" s="37" t="s">
        <v>819</v>
      </c>
      <c r="C38" s="37" t="s">
        <v>820</v>
      </c>
    </row>
    <row r="39" spans="2:5" ht="187.2" x14ac:dyDescent="0.3">
      <c r="B39" s="37" t="s">
        <v>821</v>
      </c>
      <c r="C39" s="37" t="s">
        <v>822</v>
      </c>
    </row>
    <row r="40" spans="2:5" ht="158.4" x14ac:dyDescent="0.3">
      <c r="B40" s="37" t="s">
        <v>823</v>
      </c>
      <c r="C40" s="37" t="s">
        <v>824</v>
      </c>
    </row>
    <row r="41" spans="2:5" ht="259.2" x14ac:dyDescent="0.3">
      <c r="B41" s="37" t="s">
        <v>825</v>
      </c>
      <c r="C41" s="37" t="s">
        <v>826</v>
      </c>
    </row>
    <row r="42" spans="2:5" ht="100.8" x14ac:dyDescent="0.3">
      <c r="B42" s="37" t="s">
        <v>827</v>
      </c>
      <c r="C42" s="37" t="s">
        <v>828</v>
      </c>
    </row>
    <row r="43" spans="2:5" ht="273.60000000000002" x14ac:dyDescent="0.3">
      <c r="B43" s="37" t="s">
        <v>829</v>
      </c>
      <c r="C43" s="37" t="s">
        <v>830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BA2C-B483-40AA-81AA-D79C9EF1EF37}">
  <dimension ref="A1:H36"/>
  <sheetViews>
    <sheetView workbookViewId="0"/>
  </sheetViews>
  <sheetFormatPr baseColWidth="10" defaultRowHeight="14.4" x14ac:dyDescent="0.3"/>
  <cols>
    <col min="2" max="2" width="72.21875" customWidth="1"/>
    <col min="3" max="3" width="140.77734375" customWidth="1"/>
    <col min="4" max="8" width="18.5546875" customWidth="1"/>
  </cols>
  <sheetData>
    <row r="1" spans="1:8" ht="18" x14ac:dyDescent="0.35">
      <c r="A1" s="4" t="s">
        <v>831</v>
      </c>
    </row>
    <row r="2" spans="1:8" x14ac:dyDescent="0.3">
      <c r="A2" s="14" t="s">
        <v>832</v>
      </c>
    </row>
    <row r="4" spans="1:8" ht="409.6" x14ac:dyDescent="0.3">
      <c r="B4" s="124" t="s">
        <v>833</v>
      </c>
      <c r="C4" s="98"/>
      <c r="D4" s="98"/>
      <c r="E4" s="98"/>
      <c r="F4" s="98"/>
      <c r="G4" s="98"/>
      <c r="H4" s="98"/>
    </row>
    <row r="5" spans="1:8" ht="57.6" x14ac:dyDescent="0.3">
      <c r="B5" s="160" t="s">
        <v>1693</v>
      </c>
    </row>
    <row r="6" spans="1:8" ht="43.2" x14ac:dyDescent="0.3">
      <c r="B6" s="125" t="s">
        <v>834</v>
      </c>
      <c r="C6" s="125" t="s">
        <v>835</v>
      </c>
      <c r="D6" s="125" t="s">
        <v>836</v>
      </c>
      <c r="E6" s="125" t="s">
        <v>837</v>
      </c>
      <c r="F6" s="125" t="s">
        <v>838</v>
      </c>
      <c r="G6" s="125" t="s">
        <v>839</v>
      </c>
      <c r="H6" s="125" t="s">
        <v>840</v>
      </c>
    </row>
    <row r="7" spans="1:8" x14ac:dyDescent="0.3">
      <c r="B7" t="s">
        <v>841</v>
      </c>
      <c r="C7" s="17">
        <f>'04 Operating Model'!$I$7</f>
        <v>90057.254399999991</v>
      </c>
      <c r="D7" s="88">
        <f ca="1">'00 Panel del Analista'!C250</f>
        <v>0</v>
      </c>
      <c r="E7" s="126">
        <f>C7*D7</f>
        <v>28818.321407999996</v>
      </c>
      <c r="F7" s="127">
        <f ca="1">'00 Panel del Analista'!D250</f>
        <v>0</v>
      </c>
      <c r="G7" s="17">
        <f>E7*F7</f>
        <v>634003.07097599993</v>
      </c>
      <c r="H7" s="86">
        <f>G7/$G$11</f>
        <v>0.80238775250570205</v>
      </c>
    </row>
    <row r="8" spans="1:8" x14ac:dyDescent="0.3">
      <c r="B8" t="s">
        <v>842</v>
      </c>
      <c r="C8" s="17">
        <f>'04 Operating Model'!$I$8</f>
        <v>24052.634099999999</v>
      </c>
      <c r="D8" s="88">
        <f ca="1">'00 Panel del Analista'!C251</f>
        <v>0</v>
      </c>
      <c r="E8" s="126">
        <f>C8*D8</f>
        <v>13228.948755000001</v>
      </c>
      <c r="F8" s="127">
        <f ca="1">'00 Panel del Analista'!D251</f>
        <v>0</v>
      </c>
      <c r="G8" s="17">
        <f>E8*F8</f>
        <v>145518.43630500001</v>
      </c>
      <c r="H8" s="86">
        <f>G8/$G$11</f>
        <v>0.18416663325489338</v>
      </c>
    </row>
    <row r="9" spans="1:8" x14ac:dyDescent="0.3">
      <c r="B9" t="s">
        <v>843</v>
      </c>
      <c r="C9" s="17">
        <f>'04 Operating Model'!$I$9</f>
        <v>2932.254864</v>
      </c>
      <c r="D9" s="88">
        <f ca="1">'00 Panel del Analista'!C252</f>
        <v>0</v>
      </c>
      <c r="E9" s="126">
        <f>C9*D9</f>
        <v>645.09607008</v>
      </c>
      <c r="F9" s="127">
        <f ca="1">'00 Panel del Analista'!D252</f>
        <v>0</v>
      </c>
      <c r="G9" s="17">
        <f>E9*F9</f>
        <v>3870.5764204799998</v>
      </c>
      <c r="H9" s="86">
        <f>G9/$G$11</f>
        <v>4.8985616270746388E-3</v>
      </c>
    </row>
    <row r="10" spans="1:8" x14ac:dyDescent="0.3">
      <c r="B10" t="s">
        <v>844</v>
      </c>
      <c r="C10" s="17">
        <f>'04 Operating Model'!$I$10</f>
        <v>7034.8074480000014</v>
      </c>
      <c r="D10" s="88">
        <f ca="1">'00 Panel del Analista'!C253</f>
        <v>0</v>
      </c>
      <c r="E10" s="126">
        <f>C10*D10</f>
        <v>844.1768937600001</v>
      </c>
      <c r="F10" s="127">
        <f ca="1">'00 Panel del Analista'!D253</f>
        <v>0</v>
      </c>
      <c r="G10" s="17">
        <f>E10*F10</f>
        <v>6753.4151500800008</v>
      </c>
      <c r="H10" s="86">
        <f>G10/$G$11</f>
        <v>8.5470526123299796E-3</v>
      </c>
    </row>
    <row r="11" spans="1:8" x14ac:dyDescent="0.3">
      <c r="B11" s="76" t="s">
        <v>845</v>
      </c>
      <c r="C11" s="106">
        <f>SUM(C7:C10)</f>
        <v>124076.950812</v>
      </c>
      <c r="D11" s="76"/>
      <c r="E11" s="106">
        <f>SUM(E7:E10)</f>
        <v>43536.543126839992</v>
      </c>
      <c r="F11" s="76"/>
      <c r="G11" s="106">
        <f>SUM(G7:G10)</f>
        <v>790145.49885155994</v>
      </c>
      <c r="H11" s="128">
        <f>G11/$G$11</f>
        <v>1</v>
      </c>
    </row>
    <row r="13" spans="1:8" x14ac:dyDescent="0.3">
      <c r="B13" t="s">
        <v>1690</v>
      </c>
      <c r="D13" t="s">
        <v>1691</v>
      </c>
      <c r="E13" s="127">
        <f ca="1">'00 Panel del Analista'!E250</f>
        <v>0</v>
      </c>
      <c r="G13" s="17">
        <f>-'04 Operating Model'!$I$23*E13</f>
        <v>-29778.468194879999</v>
      </c>
    </row>
    <row r="14" spans="1:8" x14ac:dyDescent="0.3">
      <c r="B14" s="22" t="s">
        <v>1692</v>
      </c>
      <c r="G14" s="17">
        <f>0</f>
        <v>0</v>
      </c>
    </row>
    <row r="15" spans="1:8" x14ac:dyDescent="0.3">
      <c r="B15" s="3" t="s">
        <v>846</v>
      </c>
      <c r="C15" s="3"/>
      <c r="D15" s="3"/>
      <c r="E15" s="3"/>
      <c r="F15" s="3"/>
      <c r="G15" s="18">
        <f>G11+G13+G14</f>
        <v>760367.03065668</v>
      </c>
    </row>
    <row r="16" spans="1:8" x14ac:dyDescent="0.3">
      <c r="B16" t="s">
        <v>847</v>
      </c>
      <c r="G16" s="17">
        <f>-'02 Assumptions'!$C$70</f>
        <v>-129541</v>
      </c>
    </row>
    <row r="17" spans="2:8" x14ac:dyDescent="0.3">
      <c r="B17" t="s">
        <v>848</v>
      </c>
      <c r="G17" s="17">
        <f>-'02 Assumptions'!$C$71</f>
        <v>-7701</v>
      </c>
    </row>
    <row r="18" spans="2:8" x14ac:dyDescent="0.3">
      <c r="B18" t="s">
        <v>546</v>
      </c>
      <c r="G18" s="17">
        <f>'02 Assumptions'!$C$72</f>
        <v>31289</v>
      </c>
    </row>
    <row r="19" spans="2:8" x14ac:dyDescent="0.3">
      <c r="B19" t="s">
        <v>849</v>
      </c>
      <c r="G19" s="17">
        <f>-'02 Assumptions'!$C$68*'03 Historical'!$F$11</f>
        <v>-1010.355</v>
      </c>
    </row>
    <row r="20" spans="2:8" x14ac:dyDescent="0.3">
      <c r="B20" t="s">
        <v>548</v>
      </c>
      <c r="G20" s="17">
        <f>'02 Assumptions'!$C$73</f>
        <v>605</v>
      </c>
    </row>
    <row r="21" spans="2:8" x14ac:dyDescent="0.3">
      <c r="B21" t="s">
        <v>549</v>
      </c>
      <c r="G21" s="17">
        <f>-'02 Assumptions'!$C$74</f>
        <v>-548</v>
      </c>
    </row>
    <row r="22" spans="2:8" x14ac:dyDescent="0.3">
      <c r="B22" t="s">
        <v>550</v>
      </c>
      <c r="G22" s="17">
        <f>-'02 Assumptions'!$C$75</f>
        <v>-4954</v>
      </c>
    </row>
    <row r="23" spans="2:8" x14ac:dyDescent="0.3">
      <c r="B23" s="3" t="s">
        <v>850</v>
      </c>
      <c r="C23" s="3"/>
      <c r="D23" s="3"/>
      <c r="E23" s="3"/>
      <c r="F23" s="3"/>
      <c r="G23" s="18">
        <f>G15+SUM(G16:G22)</f>
        <v>648506.67565668002</v>
      </c>
    </row>
    <row r="24" spans="2:8" x14ac:dyDescent="0.3">
      <c r="B24" t="s">
        <v>552</v>
      </c>
      <c r="G24" s="21">
        <f>'06 DCF'!$F$54</f>
        <v>2934</v>
      </c>
    </row>
    <row r="25" spans="2:8" x14ac:dyDescent="0.3">
      <c r="B25" s="100" t="s">
        <v>851</v>
      </c>
      <c r="C25" s="100"/>
      <c r="D25" s="100"/>
      <c r="E25" s="100"/>
      <c r="F25" s="100"/>
      <c r="G25" s="185">
        <f>G23/G24</f>
        <v>221.03158679505114</v>
      </c>
    </row>
    <row r="27" spans="2:8" x14ac:dyDescent="0.3">
      <c r="B27" t="s">
        <v>852</v>
      </c>
      <c r="G27" s="168">
        <f>'06 DCF'!$F$55</f>
        <v>169.22796028360773</v>
      </c>
    </row>
    <row r="28" spans="2:8" x14ac:dyDescent="0.3">
      <c r="B28" t="s">
        <v>853</v>
      </c>
      <c r="G28" s="168">
        <f>G25-G27</f>
        <v>51.803626511443412</v>
      </c>
    </row>
    <row r="29" spans="2:8" x14ac:dyDescent="0.3">
      <c r="B29" t="s">
        <v>854</v>
      </c>
      <c r="G29" s="47">
        <f>G25/G27-1</f>
        <v>0.30611741951286375</v>
      </c>
    </row>
    <row r="31" spans="2:8" x14ac:dyDescent="0.3">
      <c r="B31" s="5" t="s">
        <v>855</v>
      </c>
      <c r="C31" s="16"/>
      <c r="D31" s="16"/>
      <c r="E31" s="16"/>
      <c r="F31" s="16"/>
      <c r="G31" s="16"/>
      <c r="H31" s="16"/>
    </row>
    <row r="32" spans="2:8" ht="28.8" x14ac:dyDescent="0.3">
      <c r="B32" s="37" t="s">
        <v>856</v>
      </c>
      <c r="C32" s="37" t="s">
        <v>857</v>
      </c>
    </row>
    <row r="33" spans="2:3" ht="28.8" x14ac:dyDescent="0.3">
      <c r="B33" s="37" t="s">
        <v>858</v>
      </c>
      <c r="C33" s="37" t="s">
        <v>859</v>
      </c>
    </row>
    <row r="34" spans="2:3" ht="28.8" x14ac:dyDescent="0.3">
      <c r="B34" s="37" t="s">
        <v>860</v>
      </c>
      <c r="C34" s="37" t="s">
        <v>861</v>
      </c>
    </row>
    <row r="35" spans="2:3" ht="28.8" x14ac:dyDescent="0.3">
      <c r="B35" s="37" t="s">
        <v>862</v>
      </c>
      <c r="C35" s="37" t="s">
        <v>863</v>
      </c>
    </row>
    <row r="36" spans="2:3" ht="28.8" x14ac:dyDescent="0.3">
      <c r="B36" s="37" t="s">
        <v>864</v>
      </c>
      <c r="C36" s="37" t="s">
        <v>865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FDDB-391B-4C55-9465-300AD264F0F5}">
  <dimension ref="A1:I87"/>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RowHeight="14.4" x14ac:dyDescent="0.3"/>
  <cols>
    <col min="2" max="2" width="6.44140625" customWidth="1"/>
    <col min="3" max="3" width="72.21875" customWidth="1"/>
    <col min="4" max="4" width="17.5546875" customWidth="1"/>
    <col min="5" max="5" width="20.33203125" customWidth="1"/>
    <col min="6" max="6" width="13.88671875" customWidth="1"/>
    <col min="7" max="8" width="50" customWidth="1"/>
    <col min="9" max="9" width="57.44140625" customWidth="1"/>
  </cols>
  <sheetData>
    <row r="1" spans="1:9" ht="18" x14ac:dyDescent="0.35">
      <c r="A1" s="4" t="s">
        <v>2007</v>
      </c>
    </row>
    <row r="2" spans="1:9" x14ac:dyDescent="0.3">
      <c r="A2" s="90" t="s">
        <v>866</v>
      </c>
    </row>
    <row r="4" spans="1:9" x14ac:dyDescent="0.3">
      <c r="B4" s="5" t="s">
        <v>867</v>
      </c>
      <c r="C4" s="16"/>
      <c r="D4" s="16"/>
      <c r="E4" s="16"/>
      <c r="F4" s="16"/>
      <c r="G4" s="16"/>
      <c r="H4" s="16"/>
      <c r="I4" s="16"/>
    </row>
    <row r="5" spans="1:9" x14ac:dyDescent="0.3">
      <c r="B5" s="3" t="s">
        <v>868</v>
      </c>
      <c r="C5" s="3"/>
      <c r="D5" s="3">
        <f ca="1">COUNTIF($F$10:$F$87,"*FALLO*")</f>
        <v>0</v>
      </c>
    </row>
    <row r="6" spans="1:9" x14ac:dyDescent="0.3">
      <c r="B6" s="3" t="s">
        <v>869</v>
      </c>
      <c r="C6" s="3"/>
      <c r="D6" s="3">
        <f ca="1">COUNTIF($F$10:$F$87,"*AVISO*")</f>
        <v>0</v>
      </c>
    </row>
    <row r="7" spans="1:9" x14ac:dyDescent="0.3">
      <c r="B7" s="3" t="s">
        <v>870</v>
      </c>
      <c r="C7" s="3"/>
      <c r="D7" s="3">
        <f ca="1">COUNTIF($F$10:$F$87,"OK")</f>
        <v>0</v>
      </c>
    </row>
    <row r="8" spans="1:9" x14ac:dyDescent="0.3">
      <c r="B8" s="3" t="s">
        <v>871</v>
      </c>
      <c r="C8" s="3"/>
      <c r="D8" s="40" t="str">
        <f>IF(D5&gt;0,"MODELO NO UTILIZABLE — corregir los FALLOS",IF(D6&gt;0,"UTILIZABLE CON RESERVAS — revisar los AVISOS","AUDITORÍA SUPERADA"))</f>
        <v>UTILIZABLE CON RESERVAS — revisar los AVISOS</v>
      </c>
    </row>
    <row r="9" spans="1:9" x14ac:dyDescent="0.3">
      <c r="B9" s="2" t="s">
        <v>3</v>
      </c>
      <c r="C9" s="2" t="s">
        <v>872</v>
      </c>
      <c r="D9" s="2" t="s">
        <v>874</v>
      </c>
      <c r="E9" s="2" t="s">
        <v>873</v>
      </c>
      <c r="F9" s="2" t="s">
        <v>875</v>
      </c>
      <c r="G9" s="2" t="s">
        <v>876</v>
      </c>
      <c r="H9" s="2" t="s">
        <v>877</v>
      </c>
      <c r="I9" s="2" t="s">
        <v>878</v>
      </c>
    </row>
    <row r="10" spans="1:9" x14ac:dyDescent="0.3">
      <c r="B10" s="130">
        <v>1</v>
      </c>
      <c r="C10" s="131" t="s">
        <v>879</v>
      </c>
      <c r="D10" s="131">
        <f>'03 Historical'!E75</f>
        <v>0</v>
      </c>
      <c r="E10" s="131">
        <v>0</v>
      </c>
      <c r="F10" s="132" t="str">
        <f t="shared" ref="F10:F17" si="0">IF(ABS(D10)&lt;1,"OK","FALLO")</f>
        <v>OK</v>
      </c>
      <c r="G10" s="131" t="s">
        <v>880</v>
      </c>
      <c r="H10" s="131" t="s">
        <v>881</v>
      </c>
      <c r="I10" s="131" t="s">
        <v>882</v>
      </c>
    </row>
    <row r="11" spans="1:9" x14ac:dyDescent="0.3">
      <c r="B11" s="133">
        <v>2</v>
      </c>
      <c r="C11" s="134" t="s">
        <v>883</v>
      </c>
      <c r="D11" s="134">
        <f>'03 Historical'!F75</f>
        <v>0</v>
      </c>
      <c r="E11" s="134">
        <v>0</v>
      </c>
      <c r="F11" s="135" t="str">
        <f t="shared" si="0"/>
        <v>OK</v>
      </c>
      <c r="G11" s="134" t="s">
        <v>880</v>
      </c>
      <c r="H11" s="134" t="s">
        <v>881</v>
      </c>
      <c r="I11" s="134" t="s">
        <v>882</v>
      </c>
    </row>
    <row r="12" spans="1:9" x14ac:dyDescent="0.3">
      <c r="B12" s="133">
        <v>3</v>
      </c>
      <c r="C12" s="134" t="s">
        <v>884</v>
      </c>
      <c r="D12" s="134">
        <f>'03 Historical'!F11-67357</f>
        <v>0</v>
      </c>
      <c r="E12" s="134">
        <v>0</v>
      </c>
      <c r="F12" s="135" t="str">
        <f t="shared" si="0"/>
        <v>OK</v>
      </c>
      <c r="G12" s="134" t="s">
        <v>885</v>
      </c>
      <c r="H12" s="134" t="s">
        <v>886</v>
      </c>
      <c r="I12" s="134" t="s">
        <v>887</v>
      </c>
    </row>
    <row r="13" spans="1:9" x14ac:dyDescent="0.3">
      <c r="B13" s="133">
        <v>4</v>
      </c>
      <c r="C13" s="134" t="s">
        <v>888</v>
      </c>
      <c r="D13" s="134">
        <f>'03 Historical'!F105</f>
        <v>0</v>
      </c>
      <c r="E13" s="134">
        <v>0</v>
      </c>
      <c r="F13" s="135" t="str">
        <f t="shared" si="0"/>
        <v>OK</v>
      </c>
      <c r="G13" s="134" t="s">
        <v>889</v>
      </c>
      <c r="H13" s="134" t="s">
        <v>890</v>
      </c>
      <c r="I13" s="134" t="s">
        <v>891</v>
      </c>
    </row>
    <row r="14" spans="1:9" x14ac:dyDescent="0.3">
      <c r="B14" s="133">
        <v>5</v>
      </c>
      <c r="C14" s="134" t="s">
        <v>892</v>
      </c>
      <c r="D14" s="134">
        <f>'03 Historical'!E105</f>
        <v>0</v>
      </c>
      <c r="E14" s="134">
        <v>0</v>
      </c>
      <c r="F14" s="135" t="str">
        <f t="shared" si="0"/>
        <v>OK</v>
      </c>
      <c r="G14" s="134" t="s">
        <v>893</v>
      </c>
      <c r="H14" s="134" t="s">
        <v>894</v>
      </c>
      <c r="I14" s="134" t="s">
        <v>891</v>
      </c>
    </row>
    <row r="15" spans="1:9" x14ac:dyDescent="0.3">
      <c r="B15" s="133">
        <v>6</v>
      </c>
      <c r="C15" s="134" t="s">
        <v>895</v>
      </c>
      <c r="D15" s="134">
        <f>'03 Historical'!F111</f>
        <v>0</v>
      </c>
      <c r="E15" s="134">
        <v>0</v>
      </c>
      <c r="F15" s="135" t="str">
        <f t="shared" si="0"/>
        <v>OK</v>
      </c>
      <c r="G15" s="134" t="s">
        <v>896</v>
      </c>
      <c r="H15" s="134" t="s">
        <v>897</v>
      </c>
      <c r="I15" s="134" t="s">
        <v>898</v>
      </c>
    </row>
    <row r="16" spans="1:9" x14ac:dyDescent="0.3">
      <c r="B16" s="133">
        <v>7</v>
      </c>
      <c r="C16" s="134" t="s">
        <v>899</v>
      </c>
      <c r="D16" s="134">
        <f>'03 Historical'!E111</f>
        <v>0</v>
      </c>
      <c r="E16" s="134">
        <v>0</v>
      </c>
      <c r="F16" s="135" t="str">
        <f t="shared" si="0"/>
        <v>OK</v>
      </c>
      <c r="G16" s="134" t="s">
        <v>900</v>
      </c>
      <c r="H16" s="134" t="s">
        <v>901</v>
      </c>
      <c r="I16" s="134" t="s">
        <v>902</v>
      </c>
    </row>
    <row r="17" spans="2:9" x14ac:dyDescent="0.3">
      <c r="B17" s="133">
        <v>8</v>
      </c>
      <c r="C17" s="134" t="s">
        <v>903</v>
      </c>
      <c r="D17" s="134">
        <f>'03 Historical'!F71-42508</f>
        <v>0</v>
      </c>
      <c r="E17" s="134">
        <v>0</v>
      </c>
      <c r="F17" s="135" t="str">
        <f t="shared" si="0"/>
        <v>OK</v>
      </c>
      <c r="G17" s="134" t="s">
        <v>904</v>
      </c>
      <c r="H17" s="134" t="s">
        <v>905</v>
      </c>
      <c r="I17" s="134" t="s">
        <v>906</v>
      </c>
    </row>
    <row r="18" spans="2:9" x14ac:dyDescent="0.3">
      <c r="B18" s="133">
        <v>9</v>
      </c>
      <c r="C18" s="134" t="s">
        <v>907</v>
      </c>
      <c r="D18" s="134">
        <f>'02 Assumptions'!P57</f>
        <v>0.19</v>
      </c>
      <c r="E18" s="134" t="s">
        <v>908</v>
      </c>
      <c r="F18" s="135" t="str">
        <f>IF(D18&gt;'03 Historical'!F33,"OK","FALLO")</f>
        <v>OK</v>
      </c>
      <c r="G18" s="134" t="s">
        <v>909</v>
      </c>
      <c r="H18" s="134" t="s">
        <v>910</v>
      </c>
      <c r="I18" s="134" t="s">
        <v>911</v>
      </c>
    </row>
    <row r="19" spans="2:9" x14ac:dyDescent="0.3">
      <c r="B19" s="133">
        <v>10</v>
      </c>
      <c r="C19" s="134" t="s">
        <v>912</v>
      </c>
      <c r="D19" s="134">
        <f>'06 DCF'!G14</f>
        <v>-600</v>
      </c>
      <c r="E19" s="134" t="s">
        <v>908</v>
      </c>
      <c r="F19" s="135" t="str">
        <f>IF(D19&lt;0,"OK","FALLO")</f>
        <v>OK</v>
      </c>
      <c r="G19" s="134" t="s">
        <v>913</v>
      </c>
      <c r="H19" s="134" t="s">
        <v>914</v>
      </c>
      <c r="I19" s="134" t="s">
        <v>915</v>
      </c>
    </row>
    <row r="20" spans="2:9" ht="28.8" x14ac:dyDescent="0.3">
      <c r="B20" s="133">
        <v>11</v>
      </c>
      <c r="C20" s="134" t="s">
        <v>916</v>
      </c>
      <c r="D20" s="134">
        <f>SUM('05 Three Statement'!G61:P61)</f>
        <v>0</v>
      </c>
      <c r="E20" s="134">
        <v>0</v>
      </c>
      <c r="F20" s="135" t="str">
        <f>IF(ABS(D20)&lt;1,"OK","FALLO")</f>
        <v>OK</v>
      </c>
      <c r="G20" s="134" t="s">
        <v>917</v>
      </c>
      <c r="H20" s="134" t="s">
        <v>918</v>
      </c>
      <c r="I20" s="134" t="s">
        <v>919</v>
      </c>
    </row>
    <row r="21" spans="2:9" x14ac:dyDescent="0.3">
      <c r="B21" s="133">
        <v>12</v>
      </c>
      <c r="C21" s="134" t="s">
        <v>920</v>
      </c>
      <c r="D21" s="134">
        <f>SUM('05 Three Statement'!G89:P89)</f>
        <v>0</v>
      </c>
      <c r="E21" s="134">
        <v>0</v>
      </c>
      <c r="F21" s="135" t="str">
        <f>IF(ABS(D21)&lt;1,"OK","FALLO")</f>
        <v>OK</v>
      </c>
      <c r="G21" s="134" t="s">
        <v>921</v>
      </c>
      <c r="H21" s="134" t="s">
        <v>922</v>
      </c>
      <c r="I21" s="134" t="s">
        <v>923</v>
      </c>
    </row>
    <row r="22" spans="2:9" x14ac:dyDescent="0.3">
      <c r="B22" s="133">
        <v>13</v>
      </c>
      <c r="C22" s="134" t="s">
        <v>924</v>
      </c>
      <c r="D22" s="134" cm="1">
        <f t="array" ref="D22">MIN('05 Three Statement'!G35:P35-'05 Three Statement'!G31:P31)</f>
        <v>4645.5119733997844</v>
      </c>
      <c r="E22" s="134" t="s">
        <v>925</v>
      </c>
      <c r="F22" s="135" t="str">
        <f>IF(D22&gt;=-1,"OK","FALLO")</f>
        <v>OK</v>
      </c>
      <c r="G22" s="134" t="s">
        <v>926</v>
      </c>
      <c r="H22" s="134" t="s">
        <v>927</v>
      </c>
      <c r="I22" s="134" t="s">
        <v>928</v>
      </c>
    </row>
    <row r="23" spans="2:9" x14ac:dyDescent="0.3">
      <c r="B23" s="133">
        <v>14</v>
      </c>
      <c r="C23" s="134" t="s">
        <v>929</v>
      </c>
      <c r="D23" s="134">
        <f>MIN('05 Three Statement'!G24:P24)</f>
        <v>0</v>
      </c>
      <c r="E23" s="134" t="s">
        <v>925</v>
      </c>
      <c r="F23" s="135" t="str">
        <f>IF(D23&gt;=-1,"OK","FALLO")</f>
        <v>OK</v>
      </c>
      <c r="G23" s="134" t="s">
        <v>930</v>
      </c>
      <c r="H23" s="134" t="s">
        <v>931</v>
      </c>
      <c r="I23" s="134" t="s">
        <v>932</v>
      </c>
    </row>
    <row r="24" spans="2:9" x14ac:dyDescent="0.3">
      <c r="B24" s="133">
        <v>15</v>
      </c>
      <c r="C24" s="134" t="s">
        <v>933</v>
      </c>
      <c r="D24" s="134">
        <f>SUM('05 Three Statement'!G42:P42)-SUM('04 Operating Model'!G37:P37)</f>
        <v>0</v>
      </c>
      <c r="E24" s="134">
        <v>0</v>
      </c>
      <c r="F24" s="135" t="str">
        <f>IF(ABS(D24)&lt;1,"OK","FALLO")</f>
        <v>OK</v>
      </c>
      <c r="G24" s="134" t="s">
        <v>934</v>
      </c>
      <c r="H24" s="134" t="s">
        <v>935</v>
      </c>
      <c r="I24" s="134" t="s">
        <v>936</v>
      </c>
    </row>
    <row r="25" spans="2:9" x14ac:dyDescent="0.3">
      <c r="B25" s="133">
        <v>16</v>
      </c>
      <c r="C25" s="134" t="s">
        <v>937</v>
      </c>
      <c r="D25" s="134">
        <f>'05 Three Statement'!P45</f>
        <v>0</v>
      </c>
      <c r="E25" s="134" t="s">
        <v>938</v>
      </c>
      <c r="F25" s="135" t="str">
        <f>IF(ABS(D25)&lt;50,"OK","AVISO")</f>
        <v>OK</v>
      </c>
      <c r="G25" s="134" t="s">
        <v>939</v>
      </c>
      <c r="H25" s="134" t="s">
        <v>940</v>
      </c>
      <c r="I25" s="134" t="s">
        <v>941</v>
      </c>
    </row>
    <row r="26" spans="2:9" x14ac:dyDescent="0.3">
      <c r="B26" s="133">
        <v>17</v>
      </c>
      <c r="C26" s="134" t="s">
        <v>942</v>
      </c>
      <c r="D26" s="134">
        <f>'06 DCF'!P15</f>
        <v>59102.504437324606</v>
      </c>
      <c r="E26" s="134" t="s">
        <v>943</v>
      </c>
      <c r="F26" s="135" t="str">
        <f>IF(D26&gt;0,"OK","FALLO")</f>
        <v>OK</v>
      </c>
      <c r="G26" s="134" t="s">
        <v>944</v>
      </c>
      <c r="H26" s="134" t="s">
        <v>945</v>
      </c>
      <c r="I26" s="134" t="s">
        <v>946</v>
      </c>
    </row>
    <row r="27" spans="2:9" x14ac:dyDescent="0.3">
      <c r="B27" s="133">
        <v>18</v>
      </c>
      <c r="C27" s="134" t="s">
        <v>947</v>
      </c>
      <c r="D27" s="134">
        <f>'06 DCF'!F74</f>
        <v>1</v>
      </c>
      <c r="E27" s="134" t="s">
        <v>948</v>
      </c>
      <c r="F27" s="135" t="str">
        <f>IF(D27&lt;=3,"OK","AVISO")</f>
        <v>OK</v>
      </c>
      <c r="G27" s="134" t="s">
        <v>949</v>
      </c>
      <c r="H27" s="134" t="s">
        <v>950</v>
      </c>
      <c r="I27" s="134" t="s">
        <v>951</v>
      </c>
    </row>
    <row r="28" spans="2:9" x14ac:dyDescent="0.3">
      <c r="B28" s="133">
        <v>19</v>
      </c>
      <c r="C28" s="134" t="s">
        <v>952</v>
      </c>
      <c r="D28" s="134">
        <f>'06 DCF'!G15</f>
        <v>-9779.7746599808233</v>
      </c>
      <c r="E28" s="134" t="s">
        <v>953</v>
      </c>
      <c r="F28" s="135" t="str">
        <f>IF(D28&lt;0,"OK","AVISO")</f>
        <v>OK</v>
      </c>
      <c r="G28" s="134" t="s">
        <v>954</v>
      </c>
      <c r="H28" s="134" t="s">
        <v>955</v>
      </c>
      <c r="I28" s="134" t="s">
        <v>956</v>
      </c>
    </row>
    <row r="29" spans="2:9" x14ac:dyDescent="0.3">
      <c r="B29" s="133">
        <v>20</v>
      </c>
      <c r="C29" s="134" t="s">
        <v>957</v>
      </c>
      <c r="D29" s="134">
        <f>'03 Historical'!F137-('02 Assumptions'!C70+'02 Assumptions'!C71-'02 Assumptions'!C72-'02 Assumptions'!C73)</f>
        <v>0</v>
      </c>
      <c r="E29" s="134">
        <v>0</v>
      </c>
      <c r="F29" s="135" t="str">
        <f>IF(ABS(D29)&lt;1,"OK","FALLO")</f>
        <v>OK</v>
      </c>
      <c r="G29" s="134" t="s">
        <v>958</v>
      </c>
      <c r="H29" s="134" t="s">
        <v>959</v>
      </c>
      <c r="I29" s="134" t="s">
        <v>960</v>
      </c>
    </row>
    <row r="30" spans="2:9" x14ac:dyDescent="0.3">
      <c r="B30" s="133">
        <v>21</v>
      </c>
      <c r="C30" s="134" t="s">
        <v>961</v>
      </c>
      <c r="D30" s="134">
        <f>'07 WACC'!C43</f>
        <v>5.7495000000000004E-2</v>
      </c>
      <c r="E30" s="134" t="s">
        <v>943</v>
      </c>
      <c r="F30" s="135" t="str">
        <f>IF(D30&gt;0,"OK","FALLO")</f>
        <v>OK</v>
      </c>
      <c r="G30" s="134" t="s">
        <v>962</v>
      </c>
      <c r="H30" s="134" t="s">
        <v>963</v>
      </c>
      <c r="I30" s="134" t="s">
        <v>964</v>
      </c>
    </row>
    <row r="31" spans="2:9" x14ac:dyDescent="0.3">
      <c r="B31" s="133">
        <v>22</v>
      </c>
      <c r="C31" s="134" t="s">
        <v>965</v>
      </c>
      <c r="D31" s="134">
        <f>'07 WACC'!C43</f>
        <v>5.7495000000000004E-2</v>
      </c>
      <c r="E31" s="134" t="s">
        <v>966</v>
      </c>
      <c r="F31" s="135" t="str">
        <f>IF(D31&gt;0.02,"OK","AVISO")</f>
        <v>OK</v>
      </c>
      <c r="G31" s="134" t="s">
        <v>967</v>
      </c>
      <c r="H31" s="134" t="s">
        <v>968</v>
      </c>
      <c r="I31" s="134" t="s">
        <v>969</v>
      </c>
    </row>
    <row r="32" spans="2:9" x14ac:dyDescent="0.3">
      <c r="B32" s="133">
        <v>23</v>
      </c>
      <c r="C32" s="134" t="s">
        <v>970</v>
      </c>
      <c r="D32" s="134">
        <f>'07 WACC'!C9-'07 WACC'!C25</f>
        <v>4.6500000000000007E-2</v>
      </c>
      <c r="E32" s="134" t="s">
        <v>943</v>
      </c>
      <c r="F32" s="135" t="str">
        <f>IF(D32&gt;0,"OK","FALLO")</f>
        <v>OK</v>
      </c>
      <c r="G32" s="134" t="s">
        <v>971</v>
      </c>
      <c r="H32" s="134" t="s">
        <v>972</v>
      </c>
      <c r="I32" s="134" t="s">
        <v>973</v>
      </c>
    </row>
    <row r="33" spans="2:9" x14ac:dyDescent="0.3">
      <c r="B33" s="133">
        <v>24</v>
      </c>
      <c r="C33" s="134" t="s">
        <v>974</v>
      </c>
      <c r="D33" s="134">
        <f>'07 WACC'!C25-'07 WACC'!C24</f>
        <v>1.298018423675798E-2</v>
      </c>
      <c r="E33" s="134" t="s">
        <v>925</v>
      </c>
      <c r="F33" s="135" t="str">
        <f>IF(D33&gt;=0,"OK","AVISO")</f>
        <v>OK</v>
      </c>
      <c r="G33" s="134" t="s">
        <v>975</v>
      </c>
      <c r="H33" s="134" t="s">
        <v>976</v>
      </c>
      <c r="I33" s="134" t="s">
        <v>977</v>
      </c>
    </row>
    <row r="34" spans="2:9" x14ac:dyDescent="0.3">
      <c r="B34" s="133">
        <v>25</v>
      </c>
      <c r="C34" s="134" t="s">
        <v>978</v>
      </c>
      <c r="D34" s="134">
        <f>'07 WACC'!C19-'07 WACC'!C15</f>
        <v>0.19791231732776615</v>
      </c>
      <c r="E34" s="134" t="s">
        <v>943</v>
      </c>
      <c r="F34" s="135" t="str">
        <f>IF(D34&gt;0,"OK","FALLO")</f>
        <v>OK</v>
      </c>
      <c r="G34" s="134" t="s">
        <v>979</v>
      </c>
      <c r="H34" s="134" t="s">
        <v>980</v>
      </c>
      <c r="I34" s="134" t="s">
        <v>981</v>
      </c>
    </row>
    <row r="35" spans="2:9" x14ac:dyDescent="0.3">
      <c r="B35" s="133">
        <v>26</v>
      </c>
      <c r="C35" s="134" t="s">
        <v>982</v>
      </c>
      <c r="D35" s="134">
        <f>'07 WACC'!C31</f>
        <v>0.2</v>
      </c>
      <c r="E35" s="134" t="s">
        <v>983</v>
      </c>
      <c r="F35" s="135" t="str">
        <f>IF(AND(D35&gt;=0.05,D35&lt;=0.45),"OK","AVISO")</f>
        <v>OK</v>
      </c>
      <c r="G35" s="134" t="s">
        <v>984</v>
      </c>
      <c r="H35" s="134" t="s">
        <v>985</v>
      </c>
      <c r="I35" s="134" t="s">
        <v>986</v>
      </c>
    </row>
    <row r="36" spans="2:9" ht="28.8" x14ac:dyDescent="0.3">
      <c r="B36" s="133">
        <v>27</v>
      </c>
      <c r="C36" s="134" t="s">
        <v>987</v>
      </c>
      <c r="D36" s="134" t="s">
        <v>988</v>
      </c>
      <c r="E36" s="134" t="s">
        <v>989</v>
      </c>
      <c r="F36" s="135" t="str">
        <f>"OK"</f>
        <v>OK</v>
      </c>
      <c r="G36" s="134" t="s">
        <v>990</v>
      </c>
      <c r="H36" s="134" t="s">
        <v>991</v>
      </c>
      <c r="I36" s="134" t="s">
        <v>992</v>
      </c>
    </row>
    <row r="37" spans="2:9" x14ac:dyDescent="0.3">
      <c r="B37" s="133">
        <v>28</v>
      </c>
      <c r="C37" s="134" t="s">
        <v>993</v>
      </c>
      <c r="D37" s="134">
        <f>'02 Assumptions'!C65-'06 DCF'!F26</f>
        <v>1.0000000000000002E-2</v>
      </c>
      <c r="E37" s="134" t="s">
        <v>925</v>
      </c>
      <c r="F37" s="135" t="str">
        <f>IF(D37&gt;=0,"OK","FALLO")</f>
        <v>OK</v>
      </c>
      <c r="G37" s="134" t="s">
        <v>994</v>
      </c>
      <c r="H37" s="134" t="s">
        <v>995</v>
      </c>
      <c r="I37" s="134" t="s">
        <v>996</v>
      </c>
    </row>
    <row r="38" spans="2:9" ht="28.8" x14ac:dyDescent="0.3">
      <c r="B38" s="133">
        <v>29</v>
      </c>
      <c r="C38" s="134" t="s">
        <v>997</v>
      </c>
      <c r="D38" s="134" t="s">
        <v>998</v>
      </c>
      <c r="E38" s="134" t="s">
        <v>999</v>
      </c>
      <c r="F38" s="135" t="str">
        <f>"OK"</f>
        <v>OK</v>
      </c>
      <c r="G38" s="134" t="s">
        <v>1000</v>
      </c>
      <c r="H38" s="134" t="s">
        <v>1001</v>
      </c>
      <c r="I38" s="134" t="s">
        <v>1002</v>
      </c>
    </row>
    <row r="39" spans="2:9" x14ac:dyDescent="0.3">
      <c r="B39" s="133">
        <v>30</v>
      </c>
      <c r="C39" s="134" t="s">
        <v>1003</v>
      </c>
      <c r="D39" s="134">
        <f>'06 DCF'!F28-'06 DCF'!F26/'06 DCF'!F27</f>
        <v>0</v>
      </c>
      <c r="E39" s="134">
        <v>0</v>
      </c>
      <c r="F39" s="135" t="str">
        <f>IF(ABS(D39)&lt;0.0001,"OK","FALLO")</f>
        <v>OK</v>
      </c>
      <c r="G39" s="134" t="s">
        <v>1004</v>
      </c>
      <c r="H39" s="134" t="s">
        <v>1005</v>
      </c>
      <c r="I39" s="134" t="s">
        <v>1006</v>
      </c>
    </row>
    <row r="40" spans="2:9" x14ac:dyDescent="0.3">
      <c r="B40" s="133">
        <v>31</v>
      </c>
      <c r="C40" s="134" t="s">
        <v>1007</v>
      </c>
      <c r="D40" s="134">
        <f>'04 Operating Model'!P64-'06 DCF'!F27</f>
        <v>8.7274807612855165E-3</v>
      </c>
      <c r="E40" s="134" t="s">
        <v>925</v>
      </c>
      <c r="F40" s="135" t="str">
        <f>IF(D40&gt;=0,"OK","AVISO")</f>
        <v>OK</v>
      </c>
      <c r="G40" s="134" t="s">
        <v>1008</v>
      </c>
      <c r="H40" s="134" t="s">
        <v>1009</v>
      </c>
      <c r="I40" s="134" t="s">
        <v>1010</v>
      </c>
    </row>
    <row r="41" spans="2:9" x14ac:dyDescent="0.3">
      <c r="B41" s="133">
        <v>32</v>
      </c>
      <c r="C41" s="134" t="s">
        <v>1011</v>
      </c>
      <c r="D41" s="134">
        <f>'06 DCF'!F62</f>
        <v>9.5110381206135504</v>
      </c>
      <c r="E41" s="134" t="s">
        <v>1012</v>
      </c>
      <c r="F41" s="135" t="str">
        <f>IF(AND(D41&gt;=8,D41&lt;=25),"OK","AVISO")</f>
        <v>OK</v>
      </c>
      <c r="G41" s="134" t="s">
        <v>1013</v>
      </c>
      <c r="H41" s="134" t="s">
        <v>1014</v>
      </c>
      <c r="I41" s="134" t="s">
        <v>1015</v>
      </c>
    </row>
    <row r="42" spans="2:9" x14ac:dyDescent="0.3">
      <c r="B42" s="133">
        <v>33</v>
      </c>
      <c r="C42" s="134" t="s">
        <v>1016</v>
      </c>
      <c r="D42" s="134">
        <f>'06 DCF'!F45</f>
        <v>0.66008836605271526</v>
      </c>
      <c r="E42" s="134" t="s">
        <v>1017</v>
      </c>
      <c r="F42" s="135" t="str">
        <f>IF(D42&lt;0.75,"OK","AVISO")</f>
        <v>OK</v>
      </c>
      <c r="G42" s="134" t="s">
        <v>1018</v>
      </c>
      <c r="H42" s="134" t="s">
        <v>1019</v>
      </c>
      <c r="I42" s="134" t="s">
        <v>1020</v>
      </c>
    </row>
    <row r="43" spans="2:9" x14ac:dyDescent="0.3">
      <c r="B43" s="133">
        <v>34</v>
      </c>
      <c r="C43" s="134" t="s">
        <v>1021</v>
      </c>
      <c r="D43" s="134">
        <f>MAX('03 Historical'!D128:F128)-'04 Operating Model'!P30</f>
        <v>-3.3763930103266615E-3</v>
      </c>
      <c r="E43" s="134" t="s">
        <v>925</v>
      </c>
      <c r="F43" s="135" t="str">
        <f>IF(D43&gt;=0,"OK","AVISO")</f>
        <v>AVISO</v>
      </c>
      <c r="G43" s="134" t="s">
        <v>1022</v>
      </c>
      <c r="H43" s="134" t="s">
        <v>1023</v>
      </c>
      <c r="I43" s="134" t="s">
        <v>1024</v>
      </c>
    </row>
    <row r="44" spans="2:9" x14ac:dyDescent="0.3">
      <c r="B44" s="133">
        <v>35</v>
      </c>
      <c r="C44" s="134" t="s">
        <v>1025</v>
      </c>
      <c r="D44" s="134">
        <f>'04 Operating Model'!P41</f>
        <v>1.0465907426221055</v>
      </c>
      <c r="E44" s="134" t="s">
        <v>1026</v>
      </c>
      <c r="F44" s="135" t="str">
        <f>IF(AND(D44&gt;=0.8,D44&lt;=1.3),"OK","AVISO")</f>
        <v>OK</v>
      </c>
      <c r="G44" s="134" t="s">
        <v>1027</v>
      </c>
      <c r="H44" s="134" t="s">
        <v>1028</v>
      </c>
      <c r="I44" s="134" t="s">
        <v>1029</v>
      </c>
    </row>
    <row r="45" spans="2:9" x14ac:dyDescent="0.3">
      <c r="B45" s="133">
        <v>36</v>
      </c>
      <c r="C45" s="134" t="s">
        <v>1030</v>
      </c>
      <c r="D45" s="134">
        <f>'04 Operating Model'!G41</f>
        <v>2.9959575871808077</v>
      </c>
      <c r="E45" s="134" t="s">
        <v>1031</v>
      </c>
      <c r="F45" s="135" t="str">
        <f>IF(ABS(D45-1)&gt;0.05,"OK","AVISO")</f>
        <v>OK</v>
      </c>
      <c r="G45" s="134" t="s">
        <v>1032</v>
      </c>
      <c r="H45" s="134" t="s">
        <v>1033</v>
      </c>
      <c r="I45" s="134" t="s">
        <v>1034</v>
      </c>
    </row>
    <row r="46" spans="2:9" ht="28.8" x14ac:dyDescent="0.3">
      <c r="B46" s="133">
        <v>37</v>
      </c>
      <c r="C46" s="134" t="s">
        <v>1035</v>
      </c>
      <c r="D46" s="134">
        <f>'02 Assumptions'!P30-'03 Historical'!F18</f>
        <v>-7.8224089552682008E-2</v>
      </c>
      <c r="E46" s="134" t="s">
        <v>1036</v>
      </c>
      <c r="F46" s="135" t="str">
        <f>IF(D46&lt;0,"OK","FALLO")</f>
        <v>OK</v>
      </c>
      <c r="G46" s="134" t="s">
        <v>1037</v>
      </c>
      <c r="H46" s="134" t="s">
        <v>1038</v>
      </c>
      <c r="I46" s="134" t="s">
        <v>1039</v>
      </c>
    </row>
    <row r="47" spans="2:9" ht="28.8" x14ac:dyDescent="0.3">
      <c r="B47" s="133">
        <v>38</v>
      </c>
      <c r="C47" s="134" t="s">
        <v>1040</v>
      </c>
      <c r="D47" s="134" t="s">
        <v>1041</v>
      </c>
      <c r="E47" s="134" t="s">
        <v>1042</v>
      </c>
      <c r="F47" s="135" t="str">
        <f>"OK"</f>
        <v>OK</v>
      </c>
      <c r="G47" s="134" t="s">
        <v>1043</v>
      </c>
      <c r="H47" s="134" t="s">
        <v>1044</v>
      </c>
      <c r="I47" s="134" t="s">
        <v>1045</v>
      </c>
    </row>
    <row r="48" spans="2:9" x14ac:dyDescent="0.3">
      <c r="B48" s="133">
        <v>39</v>
      </c>
      <c r="C48" s="134" t="s">
        <v>1046</v>
      </c>
      <c r="D48" s="134">
        <f>'04 Operating Model'!P52</f>
        <v>-0.17216424657534243</v>
      </c>
      <c r="E48" s="134" t="s">
        <v>1036</v>
      </c>
      <c r="F48" s="135" t="str">
        <f>IF(D48&lt;0,"OK","AVISO")</f>
        <v>OK</v>
      </c>
      <c r="G48" s="134" t="s">
        <v>1047</v>
      </c>
      <c r="H48" s="134" t="s">
        <v>1048</v>
      </c>
      <c r="I48" s="134" t="s">
        <v>1049</v>
      </c>
    </row>
    <row r="49" spans="2:9" x14ac:dyDescent="0.3">
      <c r="B49" s="133">
        <v>40</v>
      </c>
      <c r="C49" s="134" t="s">
        <v>1050</v>
      </c>
      <c r="D49" s="134">
        <f>'02 Assumptions'!G48-'03 Historical'!F134</f>
        <v>-0.27514586457235168</v>
      </c>
      <c r="E49" s="134" t="s">
        <v>1051</v>
      </c>
      <c r="F49" s="135" t="str">
        <f>IF(ABS(D49)&lt;=10,"OK","AVISO")</f>
        <v>OK</v>
      </c>
      <c r="G49" s="134" t="s">
        <v>1052</v>
      </c>
      <c r="H49" s="134" t="s">
        <v>1053</v>
      </c>
      <c r="I49" s="134" t="s">
        <v>1054</v>
      </c>
    </row>
    <row r="50" spans="2:9" x14ac:dyDescent="0.3">
      <c r="B50" s="133">
        <v>41</v>
      </c>
      <c r="C50" s="134" t="s">
        <v>1055</v>
      </c>
      <c r="D50" s="134">
        <f>'06 DCF'!F53-('06 DCF'!F44+SUM('06 DCF'!F46:F52))</f>
        <v>0</v>
      </c>
      <c r="E50" s="134">
        <v>0</v>
      </c>
      <c r="F50" s="135" t="str">
        <f>IF(ABS(D50)&lt;1,"OK","FALLO")</f>
        <v>OK</v>
      </c>
      <c r="G50" s="134" t="s">
        <v>1056</v>
      </c>
      <c r="H50" s="134" t="s">
        <v>1057</v>
      </c>
      <c r="I50" s="134" t="s">
        <v>1058</v>
      </c>
    </row>
    <row r="51" spans="2:9" x14ac:dyDescent="0.3">
      <c r="B51" s="133">
        <v>42</v>
      </c>
      <c r="C51" s="134" t="s">
        <v>1059</v>
      </c>
      <c r="D51" s="134">
        <f>COUNTIF('06 DCF'!F46:F52,-'02 Assumptions'!C70)</f>
        <v>1</v>
      </c>
      <c r="E51" s="134">
        <v>1</v>
      </c>
      <c r="F51" s="135" t="str">
        <f>IF(D51=1,"OK","FALLO")</f>
        <v>OK</v>
      </c>
      <c r="G51" s="134" t="s">
        <v>1060</v>
      </c>
      <c r="H51" s="134" t="s">
        <v>1061</v>
      </c>
      <c r="I51" s="134" t="s">
        <v>1062</v>
      </c>
    </row>
    <row r="52" spans="2:9" x14ac:dyDescent="0.3">
      <c r="B52" s="133">
        <v>43</v>
      </c>
      <c r="C52" s="134" t="s">
        <v>1063</v>
      </c>
      <c r="D52" s="134">
        <f>'06 DCF'!F47</f>
        <v>-7701</v>
      </c>
      <c r="E52" s="134" t="s">
        <v>1036</v>
      </c>
      <c r="F52" s="135" t="str">
        <f>IF(D52&lt;0,"OK","FALLO")</f>
        <v>OK</v>
      </c>
      <c r="G52" s="134" t="s">
        <v>1064</v>
      </c>
      <c r="H52" s="134" t="s">
        <v>1065</v>
      </c>
      <c r="I52" s="134" t="s">
        <v>1066</v>
      </c>
    </row>
    <row r="53" spans="2:9" ht="28.8" x14ac:dyDescent="0.3">
      <c r="B53" s="133">
        <v>44</v>
      </c>
      <c r="C53" s="134" t="s">
        <v>1667</v>
      </c>
      <c r="D53" s="134">
        <f>COUNTIF('06 DCF'!$F$46:$F$52,-'02 Assumptions'!$C$76)</f>
        <v>0</v>
      </c>
      <c r="E53" s="134" t="s">
        <v>1668</v>
      </c>
      <c r="F53" s="135" t="str">
        <f>IF(D53=0,"OK","FALLO")</f>
        <v>OK</v>
      </c>
      <c r="G53" s="134" t="s">
        <v>1669</v>
      </c>
      <c r="H53" s="134" t="s">
        <v>1067</v>
      </c>
      <c r="I53" s="134" t="s">
        <v>1068</v>
      </c>
    </row>
    <row r="54" spans="2:9" x14ac:dyDescent="0.3">
      <c r="B54" s="133">
        <v>45</v>
      </c>
      <c r="C54" s="134" t="s">
        <v>1069</v>
      </c>
      <c r="D54" s="134">
        <f>'06 DCF'!F51</f>
        <v>-548</v>
      </c>
      <c r="E54" s="134" t="s">
        <v>1036</v>
      </c>
      <c r="F54" s="135" t="str">
        <f>IF(D54&lt;0,"OK","FALLO")</f>
        <v>OK</v>
      </c>
      <c r="G54" s="134" t="s">
        <v>1070</v>
      </c>
      <c r="H54" s="134" t="s">
        <v>1071</v>
      </c>
      <c r="I54" s="134" t="s">
        <v>1072</v>
      </c>
    </row>
    <row r="55" spans="2:9" x14ac:dyDescent="0.3">
      <c r="B55" s="133">
        <v>46</v>
      </c>
      <c r="C55" s="134" t="s">
        <v>1073</v>
      </c>
      <c r="D55" s="134">
        <f>'06 DCF'!F52</f>
        <v>-4954</v>
      </c>
      <c r="E55" s="134" t="s">
        <v>1036</v>
      </c>
      <c r="F55" s="135" t="str">
        <f>IF(D55&lt;0,"OK","FALLO")</f>
        <v>OK</v>
      </c>
      <c r="G55" s="134" t="s">
        <v>1074</v>
      </c>
      <c r="H55" s="134" t="s">
        <v>1075</v>
      </c>
      <c r="I55" s="134" t="s">
        <v>1076</v>
      </c>
    </row>
    <row r="56" spans="2:9" x14ac:dyDescent="0.3">
      <c r="B56" s="133">
        <v>47</v>
      </c>
      <c r="C56" s="134" t="s">
        <v>1077</v>
      </c>
      <c r="D56" s="134">
        <f>'06 DCF'!F49</f>
        <v>-1010.355</v>
      </c>
      <c r="E56" s="134" t="s">
        <v>1036</v>
      </c>
      <c r="F56" s="135" t="str">
        <f>IF(D56&lt;0,"OK","FALLO")</f>
        <v>OK</v>
      </c>
      <c r="G56" s="134" t="s">
        <v>1078</v>
      </c>
      <c r="H56" s="134" t="s">
        <v>1065</v>
      </c>
      <c r="I56" s="134" t="s">
        <v>1079</v>
      </c>
    </row>
    <row r="57" spans="2:9" x14ac:dyDescent="0.3">
      <c r="B57" s="133">
        <v>48</v>
      </c>
      <c r="C57" s="134" t="s">
        <v>1080</v>
      </c>
      <c r="D57" s="136">
        <f>'06 DCF'!F54-'03 Historical'!F39</f>
        <v>74</v>
      </c>
      <c r="E57" s="134" t="s">
        <v>943</v>
      </c>
      <c r="F57" s="135" t="str">
        <f>IF(D57&gt;0,"OK","FALLO")</f>
        <v>OK</v>
      </c>
      <c r="G57" s="134" t="s">
        <v>1081</v>
      </c>
      <c r="H57" s="134" t="s">
        <v>1082</v>
      </c>
      <c r="I57" s="134" t="s">
        <v>1083</v>
      </c>
    </row>
    <row r="58" spans="2:9" ht="28.8" x14ac:dyDescent="0.3">
      <c r="B58" s="133">
        <v>49</v>
      </c>
      <c r="C58" s="134" t="s">
        <v>1084</v>
      </c>
      <c r="D58" s="134" t="s">
        <v>1085</v>
      </c>
      <c r="E58" s="134" t="s">
        <v>1086</v>
      </c>
      <c r="F58" s="135" t="str">
        <f>"OK"</f>
        <v>OK</v>
      </c>
      <c r="G58" s="134" t="s">
        <v>1087</v>
      </c>
      <c r="H58" s="134" t="s">
        <v>1088</v>
      </c>
      <c r="I58" s="134" t="s">
        <v>1089</v>
      </c>
    </row>
    <row r="59" spans="2:9" x14ac:dyDescent="0.3">
      <c r="B59" s="133">
        <v>50</v>
      </c>
      <c r="C59" s="134" t="s">
        <v>1090</v>
      </c>
      <c r="D59" s="134">
        <f>'06 DCF'!F55</f>
        <v>169.22796028360773</v>
      </c>
      <c r="E59" s="134" t="s">
        <v>1091</v>
      </c>
      <c r="F59" s="135" t="str">
        <f>IF(_xlfn.ISFORMULA('06 DCF'!F55),"OK","FALLO")</f>
        <v>OK</v>
      </c>
      <c r="G59" s="134" t="s">
        <v>1092</v>
      </c>
      <c r="H59" s="134" t="s">
        <v>1093</v>
      </c>
      <c r="I59" s="134" t="s">
        <v>1094</v>
      </c>
    </row>
    <row r="60" spans="2:9" ht="28.8" x14ac:dyDescent="0.3">
      <c r="B60" s="133">
        <v>51</v>
      </c>
      <c r="C60" s="134" t="s">
        <v>1095</v>
      </c>
      <c r="D60" s="134">
        <f>'04 Operating Model'!P62</f>
        <v>1.977201978849924</v>
      </c>
      <c r="E60" s="134" t="s">
        <v>1096</v>
      </c>
      <c r="F60" s="135" t="str">
        <f>IF(D60&lt;2.5,"OK","AVISO")</f>
        <v>OK</v>
      </c>
      <c r="G60" s="134" t="s">
        <v>1097</v>
      </c>
      <c r="H60" s="134" t="s">
        <v>1098</v>
      </c>
      <c r="I60" s="134" t="s">
        <v>1099</v>
      </c>
    </row>
    <row r="61" spans="2:9" x14ac:dyDescent="0.3">
      <c r="B61" s="133">
        <v>52</v>
      </c>
      <c r="C61" s="134" t="s">
        <v>1100</v>
      </c>
      <c r="D61" s="134">
        <f>'04 Operating Model'!P69</f>
        <v>-3.580710867969901E-2</v>
      </c>
      <c r="E61" s="134" t="s">
        <v>1101</v>
      </c>
      <c r="F61" s="135" t="str">
        <f>IF(ABS(D61)&lt;=0.05,"OK","AVISO")</f>
        <v>OK</v>
      </c>
      <c r="G61" s="134" t="s">
        <v>1102</v>
      </c>
      <c r="H61" s="134" t="s">
        <v>1103</v>
      </c>
      <c r="I61" s="134" t="s">
        <v>1104</v>
      </c>
    </row>
    <row r="62" spans="2:9" x14ac:dyDescent="0.3">
      <c r="B62" s="133">
        <v>53</v>
      </c>
      <c r="C62" s="134" t="s">
        <v>1105</v>
      </c>
      <c r="D62" s="134">
        <f>'04 Operating Model'!P64-'07 WACC'!C38</f>
        <v>0.16123248076128549</v>
      </c>
      <c r="E62" s="134" t="s">
        <v>943</v>
      </c>
      <c r="F62" s="135" t="str">
        <f>IF(D62&gt;0,"OK","AVISO")</f>
        <v>OK</v>
      </c>
      <c r="G62" s="134" t="s">
        <v>1106</v>
      </c>
      <c r="H62" s="134" t="s">
        <v>1107</v>
      </c>
      <c r="I62" s="134" t="s">
        <v>1108</v>
      </c>
    </row>
    <row r="63" spans="2:9" ht="28.8" x14ac:dyDescent="0.3">
      <c r="B63" s="133">
        <v>54</v>
      </c>
      <c r="C63" s="134" t="s">
        <v>1109</v>
      </c>
      <c r="D63" s="134" t="s">
        <v>1110</v>
      </c>
      <c r="E63" s="134" t="s">
        <v>1111</v>
      </c>
      <c r="F63" s="135" t="str">
        <f>IF(AND('09 Escenarios'!F9&gt;0,'09 Escenarios'!F13&lt;1),"OK","FALLO")</f>
        <v>OK</v>
      </c>
      <c r="G63" s="134" t="s">
        <v>1112</v>
      </c>
      <c r="H63" s="134" t="s">
        <v>1113</v>
      </c>
      <c r="I63" s="134" t="s">
        <v>1114</v>
      </c>
    </row>
    <row r="64" spans="2:9" x14ac:dyDescent="0.3">
      <c r="B64" s="133">
        <v>55</v>
      </c>
      <c r="C64" s="134" t="s">
        <v>1115</v>
      </c>
      <c r="D64" s="134" t="s">
        <v>1116</v>
      </c>
      <c r="E64" s="134" t="s">
        <v>1117</v>
      </c>
      <c r="F64" s="135" t="str">
        <f>IF(AND('09 Escenarios'!D9&lt;'09 Escenarios'!E9,'09 Escenarios'!E9&lt;'09 Escenarios'!F9),"OK","FALLO")</f>
        <v>OK</v>
      </c>
      <c r="G64" s="134" t="s">
        <v>1118</v>
      </c>
      <c r="H64" s="134" t="s">
        <v>1119</v>
      </c>
      <c r="I64" s="134" t="s">
        <v>1120</v>
      </c>
    </row>
    <row r="65" spans="2:9" x14ac:dyDescent="0.3">
      <c r="B65" s="133">
        <v>56</v>
      </c>
      <c r="C65" s="134" t="s">
        <v>1121</v>
      </c>
      <c r="D65" s="134">
        <f>'02 Assumptions'!C104</f>
        <v>0</v>
      </c>
      <c r="E65" s="134">
        <v>0</v>
      </c>
      <c r="F65" s="135" t="str">
        <f>IF(D65=0,"OK","FALLO: el libro está desplazado")</f>
        <v>OK</v>
      </c>
      <c r="G65" s="134" t="s">
        <v>1122</v>
      </c>
      <c r="H65" s="134" t="s">
        <v>1123</v>
      </c>
      <c r="I65" s="134" t="s">
        <v>1124</v>
      </c>
    </row>
    <row r="66" spans="2:9" x14ac:dyDescent="0.3">
      <c r="B66" s="133">
        <v>57</v>
      </c>
      <c r="C66" s="134" t="s">
        <v>1125</v>
      </c>
      <c r="D66" s="134" t="s">
        <v>1126</v>
      </c>
      <c r="E66" s="134" t="s">
        <v>1086</v>
      </c>
      <c r="F66" s="135" t="str">
        <f>"OK"</f>
        <v>OK</v>
      </c>
      <c r="G66" s="134" t="s">
        <v>1127</v>
      </c>
      <c r="H66" s="134" t="s">
        <v>1128</v>
      </c>
      <c r="I66" s="134" t="s">
        <v>1129</v>
      </c>
    </row>
    <row r="67" spans="2:9" x14ac:dyDescent="0.3">
      <c r="B67" s="133">
        <v>58</v>
      </c>
      <c r="C67" s="134" t="s">
        <v>1130</v>
      </c>
      <c r="D67" s="134" t="s">
        <v>1131</v>
      </c>
      <c r="E67" s="134" t="s">
        <v>1086</v>
      </c>
      <c r="F67" s="135" t="str">
        <f>"OK"</f>
        <v>OK</v>
      </c>
      <c r="G67" s="134" t="s">
        <v>1132</v>
      </c>
      <c r="H67" s="134" t="s">
        <v>1133</v>
      </c>
      <c r="I67" s="134" t="s">
        <v>1134</v>
      </c>
    </row>
    <row r="68" spans="2:9" ht="28.8" x14ac:dyDescent="0.3">
      <c r="B68" s="133">
        <v>59</v>
      </c>
      <c r="C68" s="134" t="s">
        <v>1135</v>
      </c>
      <c r="D68" s="134" t="s">
        <v>1136</v>
      </c>
      <c r="E68" s="134" t="s">
        <v>1137</v>
      </c>
      <c r="F68" s="135" t="str">
        <f>"OK"</f>
        <v>OK</v>
      </c>
      <c r="G68" s="134" t="s">
        <v>1138</v>
      </c>
      <c r="H68" s="134" t="s">
        <v>1139</v>
      </c>
      <c r="I68" s="134" t="s">
        <v>1140</v>
      </c>
    </row>
    <row r="69" spans="2:9" x14ac:dyDescent="0.3">
      <c r="B69" s="133">
        <v>60</v>
      </c>
      <c r="C69" s="134" t="s">
        <v>1141</v>
      </c>
      <c r="D69" s="134">
        <f>Sensibilidad!F8-'06 DCF'!F55</f>
        <v>0</v>
      </c>
      <c r="E69" s="134">
        <v>0</v>
      </c>
      <c r="F69" s="135" t="str">
        <f>IF(ABS(D69)&lt;0.01,"OK","FALLO")</f>
        <v>OK</v>
      </c>
      <c r="G69" s="134" t="s">
        <v>1142</v>
      </c>
      <c r="H69" s="134" t="s">
        <v>1143</v>
      </c>
      <c r="I69" s="134" t="s">
        <v>1144</v>
      </c>
    </row>
    <row r="70" spans="2:9" x14ac:dyDescent="0.3">
      <c r="B70" s="133">
        <v>61</v>
      </c>
      <c r="C70" s="134" t="s">
        <v>1145</v>
      </c>
      <c r="D70" s="134" cm="1">
        <f t="array" ref="D70">SUMPRODUCT(--ISERROR('04 Operating Model'!D7:P70))</f>
        <v>0</v>
      </c>
      <c r="E70" s="134">
        <v>0</v>
      </c>
      <c r="F70" s="135" t="str">
        <f>IF(D70=0,"OK","FALLO")</f>
        <v>OK</v>
      </c>
      <c r="G70" s="134" t="s">
        <v>1652</v>
      </c>
      <c r="H70" s="134" t="s">
        <v>1146</v>
      </c>
      <c r="I70" s="134" t="s">
        <v>1147</v>
      </c>
    </row>
    <row r="71" spans="2:9" ht="28.8" x14ac:dyDescent="0.3">
      <c r="B71" s="133">
        <v>62</v>
      </c>
      <c r="C71" s="134" t="s">
        <v>1148</v>
      </c>
      <c r="D71" s="134" cm="1">
        <f t="array" aca="1" ref="D71" ca="1">SUMPRODUCT(--ISERROR('05 Three Statement'!D6:P94))</f>
        <v>0</v>
      </c>
      <c r="E71" s="134">
        <v>0</v>
      </c>
      <c r="F71" s="135">
        <f ca="1">IF(D71=0,"OK","FALLO")</f>
        <v>0</v>
      </c>
      <c r="G71" s="134" t="s">
        <v>1878</v>
      </c>
      <c r="H71" s="134" t="s">
        <v>1879</v>
      </c>
      <c r="I71" s="134" t="s">
        <v>1147</v>
      </c>
    </row>
    <row r="72" spans="2:9" x14ac:dyDescent="0.3">
      <c r="B72" s="133">
        <v>63</v>
      </c>
      <c r="C72" s="134" t="s">
        <v>1151</v>
      </c>
      <c r="D72" s="134" cm="1">
        <f t="array" ref="D72">SUMPRODUCT(--ISERROR('06 DCF'!D6:P75))</f>
        <v>0</v>
      </c>
      <c r="E72" s="134">
        <v>0</v>
      </c>
      <c r="F72" s="135" t="str">
        <f>IF(D72=0,"OK","FALLO")</f>
        <v>OK</v>
      </c>
      <c r="G72" s="134" t="s">
        <v>1149</v>
      </c>
      <c r="H72" s="134" t="s">
        <v>1152</v>
      </c>
      <c r="I72" s="134" t="s">
        <v>1150</v>
      </c>
    </row>
    <row r="73" spans="2:9" x14ac:dyDescent="0.3">
      <c r="B73" s="133">
        <v>64</v>
      </c>
      <c r="C73" s="134" t="s">
        <v>1153</v>
      </c>
      <c r="D73" s="134" cm="1">
        <f t="array" ref="D73">SUMPRODUCT(--ISERROR(Sensibilidad!D6:H46))</f>
        <v>0</v>
      </c>
      <c r="E73" s="134">
        <v>0</v>
      </c>
      <c r="F73" s="135" t="str">
        <f>IF(D73=0,"OK","FALLO")</f>
        <v>OK</v>
      </c>
      <c r="G73" s="134" t="s">
        <v>1149</v>
      </c>
      <c r="H73" s="134" t="s">
        <v>1154</v>
      </c>
      <c r="I73" s="134" t="s">
        <v>1155</v>
      </c>
    </row>
    <row r="74" spans="2:9" x14ac:dyDescent="0.3">
      <c r="B74" s="133">
        <v>65</v>
      </c>
      <c r="C74" s="134" t="s">
        <v>1156</v>
      </c>
      <c r="D74" s="134">
        <f>'01 Summary'!C10</f>
        <v>0</v>
      </c>
      <c r="E74" s="134" t="s">
        <v>943</v>
      </c>
      <c r="F74" s="135" t="str">
        <f>IF(D74&gt;0,"OK","AVISO: sin precio no hay upside ni Reverse DCF")</f>
        <v>AVISO: sin precio no hay upside ni Reverse DCF</v>
      </c>
      <c r="G74" s="134" t="s">
        <v>1157</v>
      </c>
      <c r="H74" s="134" t="s">
        <v>1158</v>
      </c>
      <c r="I74" s="134" t="s">
        <v>1159</v>
      </c>
    </row>
    <row r="75" spans="2:9" ht="28.8" x14ac:dyDescent="0.3">
      <c r="B75" s="96">
        <v>66</v>
      </c>
      <c r="C75" s="137" t="s">
        <v>1670</v>
      </c>
      <c r="D75" s="137">
        <f ca="1">'07 WACC'!C56</f>
        <v>0</v>
      </c>
      <c r="E75" s="137" t="s">
        <v>1671</v>
      </c>
      <c r="F75" s="138">
        <f ca="1">IF(LEN(TRIM('07 WACC'!C56))&gt;0,"OK","AVISO")</f>
        <v>0</v>
      </c>
      <c r="G75" s="137" t="s">
        <v>1880</v>
      </c>
      <c r="H75" s="137" t="s">
        <v>1881</v>
      </c>
      <c r="I75" s="137" t="s">
        <v>1882</v>
      </c>
    </row>
    <row r="76" spans="2:9" ht="28.8" x14ac:dyDescent="0.3">
      <c r="B76" s="156">
        <v>67</v>
      </c>
      <c r="C76" s="157" t="s">
        <v>1672</v>
      </c>
      <c r="D76" s="37">
        <f>'02 Assumptions'!C11-COLUMNS('06 DCF'!$G$15:$P$15)</f>
        <v>0</v>
      </c>
      <c r="E76" s="37">
        <v>0</v>
      </c>
      <c r="F76" s="129" t="str">
        <f>IF(D76=0,"OK","FALLO: C11 no coincide con las columnas")</f>
        <v>OK</v>
      </c>
      <c r="G76" s="37" t="s">
        <v>1673</v>
      </c>
      <c r="H76" s="37" t="s">
        <v>1674</v>
      </c>
      <c r="I76" s="37" t="s">
        <v>1675</v>
      </c>
    </row>
    <row r="77" spans="2:9" ht="57.6" x14ac:dyDescent="0.3">
      <c r="B77" s="156">
        <v>68</v>
      </c>
      <c r="C77" s="157" t="s">
        <v>1676</v>
      </c>
      <c r="D77" s="158" cm="1">
        <f t="array" ref="D77">MAX(ABS('04 Operating Model'!G71:P71))/MAX(ABS('06 DCF'!G15:P15))</f>
        <v>2.0897923601694169E-2</v>
      </c>
      <c r="E77" s="37" t="s">
        <v>1677</v>
      </c>
      <c r="F77" s="129" t="str">
        <f>IF(D77&lt;0.05,"OK","AVISO")</f>
        <v>OK</v>
      </c>
      <c r="G77" s="37" t="s">
        <v>1678</v>
      </c>
      <c r="H77" s="37" t="s">
        <v>1679</v>
      </c>
      <c r="I77" s="37" t="s">
        <v>1680</v>
      </c>
    </row>
    <row r="78" spans="2:9" ht="28.8" x14ac:dyDescent="0.3">
      <c r="B78" s="156">
        <v>69</v>
      </c>
      <c r="C78" s="157" t="s">
        <v>1686</v>
      </c>
      <c r="D78" s="159">
        <f>'04 Operating Model'!P12-'06 DCF'!F26</f>
        <v>5.458661267817827E-3</v>
      </c>
      <c r="E78" s="37" t="s">
        <v>925</v>
      </c>
      <c r="F78" s="129" t="str">
        <f>IF(D78&gt;=0,"OK","FALLO: el último año explícito crece menos que la perpetuidad")</f>
        <v>OK</v>
      </c>
      <c r="G78" s="37" t="s">
        <v>1687</v>
      </c>
      <c r="H78" s="37" t="s">
        <v>1688</v>
      </c>
      <c r="I78" s="37" t="s">
        <v>1689</v>
      </c>
    </row>
    <row r="79" spans="2:9" x14ac:dyDescent="0.3">
      <c r="B79" s="220">
        <v>70</v>
      </c>
      <c r="C79" s="221" t="s">
        <v>1968</v>
      </c>
      <c r="D79" s="131">
        <f ca="1">'Escenario Pesimista'!F81</f>
        <v>0</v>
      </c>
      <c r="E79" s="131" t="s">
        <v>1969</v>
      </c>
      <c r="F79" s="132">
        <f ca="1">IF($D$79="OK","OK","FALLO")</f>
        <v>0</v>
      </c>
      <c r="G79" s="131" t="s">
        <v>1970</v>
      </c>
      <c r="H79" s="131" t="s">
        <v>1971</v>
      </c>
      <c r="I79" s="131" t="s">
        <v>1972</v>
      </c>
    </row>
    <row r="80" spans="2:9" x14ac:dyDescent="0.3">
      <c r="B80" s="222">
        <v>71</v>
      </c>
      <c r="C80" s="223" t="s">
        <v>1973</v>
      </c>
      <c r="D80" s="134">
        <f ca="1">'Escenario Base'!F81</f>
        <v>0</v>
      </c>
      <c r="E80" s="134" t="s">
        <v>1969</v>
      </c>
      <c r="F80" s="135">
        <f ca="1">IF($D$80="OK","OK","FALLO")</f>
        <v>0</v>
      </c>
      <c r="G80" s="134" t="s">
        <v>1974</v>
      </c>
      <c r="H80" s="134" t="s">
        <v>1975</v>
      </c>
      <c r="I80" s="134" t="s">
        <v>1976</v>
      </c>
    </row>
    <row r="81" spans="2:9" x14ac:dyDescent="0.3">
      <c r="B81" s="222">
        <v>72</v>
      </c>
      <c r="C81" s="223" t="s">
        <v>1977</v>
      </c>
      <c r="D81" s="134">
        <f ca="1">'Escenario Optimista'!F81</f>
        <v>0</v>
      </c>
      <c r="E81" s="134" t="s">
        <v>1969</v>
      </c>
      <c r="F81" s="135">
        <f ca="1">IF($D$81="OK","OK","FALLO")</f>
        <v>0</v>
      </c>
      <c r="G81" s="134" t="s">
        <v>1978</v>
      </c>
      <c r="H81" s="134" t="s">
        <v>1979</v>
      </c>
      <c r="I81" s="134" t="s">
        <v>1980</v>
      </c>
    </row>
    <row r="82" spans="2:9" ht="28.8" x14ac:dyDescent="0.3">
      <c r="B82" s="222">
        <v>73</v>
      </c>
      <c r="C82" s="223" t="s">
        <v>1981</v>
      </c>
      <c r="D82" s="134">
        <f ca="1">'Escenario Base'!F72-'06 DCF'!F55</f>
        <v>0</v>
      </c>
      <c r="E82" s="134">
        <v>0</v>
      </c>
      <c r="F82" s="135">
        <f ca="1">IF(ABS($D$82)&lt;0.01,"OK","FALLO: la réplica del escenario Base no coincide con el DCF")</f>
        <v>0</v>
      </c>
      <c r="G82" s="134" t="s">
        <v>1982</v>
      </c>
      <c r="H82" s="134" t="s">
        <v>1983</v>
      </c>
      <c r="I82" s="134" t="s">
        <v>1984</v>
      </c>
    </row>
    <row r="83" spans="2:9" x14ac:dyDescent="0.3">
      <c r="B83" s="222">
        <v>74</v>
      </c>
      <c r="C83" s="223" t="s">
        <v>1985</v>
      </c>
      <c r="D83" s="134">
        <f ca="1">'01 Summary'!G26</f>
        <v>0</v>
      </c>
      <c r="E83" s="134" t="s">
        <v>1969</v>
      </c>
      <c r="F83" s="135">
        <f ca="1">IF($D$83="OK","OK","FALLO")</f>
        <v>0</v>
      </c>
      <c r="G83" s="134" t="s">
        <v>1986</v>
      </c>
      <c r="H83" s="134" t="s">
        <v>1987</v>
      </c>
      <c r="I83" s="134" t="s">
        <v>1988</v>
      </c>
    </row>
    <row r="84" spans="2:9" ht="28.8" x14ac:dyDescent="0.3">
      <c r="B84" s="222">
        <v>75</v>
      </c>
      <c r="C84" s="223" t="s">
        <v>1989</v>
      </c>
      <c r="D84" s="134">
        <f ca="1">'Escenario Pesimista'!P52-'Escenario Optimista'!P52</f>
        <v>0</v>
      </c>
      <c r="E84" s="134" t="s">
        <v>943</v>
      </c>
      <c r="F84" s="135">
        <f ca="1">IF($D$84&gt;0,"OK","FALLO")</f>
        <v>0</v>
      </c>
      <c r="G84" s="134" t="s">
        <v>1990</v>
      </c>
      <c r="H84" s="134" t="s">
        <v>1991</v>
      </c>
      <c r="I84" s="134" t="s">
        <v>1992</v>
      </c>
    </row>
    <row r="85" spans="2:9" x14ac:dyDescent="0.3">
      <c r="B85" s="222">
        <v>76</v>
      </c>
      <c r="C85" s="223" t="s">
        <v>1993</v>
      </c>
      <c r="D85" s="134">
        <f ca="1">'01 Summary'!D79</f>
        <v>0</v>
      </c>
      <c r="E85" s="134">
        <v>1</v>
      </c>
      <c r="F85" s="135">
        <f ca="1">IF(ABS($D$85-1)&lt;0.0001,"OK","FALLO")</f>
        <v>0</v>
      </c>
      <c r="G85" s="134" t="s">
        <v>1994</v>
      </c>
      <c r="H85" s="134" t="s">
        <v>1995</v>
      </c>
      <c r="I85" s="134" t="s">
        <v>1996</v>
      </c>
    </row>
    <row r="86" spans="2:9" ht="28.8" x14ac:dyDescent="0.3">
      <c r="B86" s="222">
        <v>77</v>
      </c>
      <c r="C86" s="223" t="s">
        <v>1997</v>
      </c>
      <c r="D86" s="134">
        <f ca="1">'01 Summary'!C85</f>
        <v>0</v>
      </c>
      <c r="E86" s="134" t="s">
        <v>1998</v>
      </c>
      <c r="F86" s="135">
        <f ca="1">IF(NOT(ISNUMBER($D$86)),"AVISO",IF($D$86&lt;2.5,"OK","AVISO"))</f>
        <v>0</v>
      </c>
      <c r="G86" s="134" t="s">
        <v>1999</v>
      </c>
      <c r="H86" s="134" t="s">
        <v>2000</v>
      </c>
      <c r="I86" s="134" t="s">
        <v>2001</v>
      </c>
    </row>
    <row r="87" spans="2:9" ht="28.8" x14ac:dyDescent="0.3">
      <c r="B87" s="224">
        <v>78</v>
      </c>
      <c r="C87" s="225" t="s">
        <v>2002</v>
      </c>
      <c r="D87" s="137">
        <f ca="1">'01 Summary'!E60</f>
        <v>0</v>
      </c>
      <c r="E87" s="137" t="s">
        <v>2003</v>
      </c>
      <c r="F87" s="138">
        <f ca="1">"AVISO: los múltiplos de '01 Summary'!E59:E64 son inputs del analista, NO peers observados"</f>
        <v>0</v>
      </c>
      <c r="G87" s="137" t="s">
        <v>2004</v>
      </c>
      <c r="H87" s="137" t="s">
        <v>2005</v>
      </c>
      <c r="I87" s="137" t="s">
        <v>2006</v>
      </c>
    </row>
  </sheetData>
  <conditionalFormatting sqref="F10:F75">
    <cfRule type="containsText" dxfId="11" priority="1" operator="containsText" text="FALLO">
      <formula>NOT(ISERROR(SEARCH("FALLO",F10)))</formula>
    </cfRule>
  </conditionalFormatting>
  <conditionalFormatting sqref="F10:F75">
    <cfRule type="containsText" dxfId="10" priority="2" operator="containsText" text="AVISO">
      <formula>NOT(ISERROR(SEARCH("AVISO",F10)))</formula>
    </cfRule>
  </conditionalFormatting>
  <conditionalFormatting sqref="F10:F75">
    <cfRule type="containsText" dxfId="9" priority="3" operator="containsText" text="OK">
      <formula>NOT(ISERROR(SEARCH("OK",F10)))</formula>
    </cfRule>
  </conditionalFormatting>
  <conditionalFormatting sqref="F10:F77">
    <cfRule type="containsText" dxfId="8" priority="4" operator="containsText" text="FALLO">
      <formula>NOT(ISERROR(SEARCH("FALLO",F10)))</formula>
    </cfRule>
  </conditionalFormatting>
  <conditionalFormatting sqref="F10:F77">
    <cfRule type="containsText" dxfId="7" priority="5" operator="containsText" text="AVISO">
      <formula>NOT(ISERROR(SEARCH("AVISO",F10)))</formula>
    </cfRule>
  </conditionalFormatting>
  <conditionalFormatting sqref="F10:F77">
    <cfRule type="containsText" dxfId="6" priority="6" operator="containsText" text="OK">
      <formula>NOT(ISERROR(SEARCH("OK",F10)))</formula>
    </cfRule>
  </conditionalFormatting>
  <conditionalFormatting sqref="F10:F78">
    <cfRule type="containsText" dxfId="5" priority="7" operator="containsText" text="FALLO">
      <formula>NOT(ISERROR(SEARCH("FALLO",F10)))</formula>
    </cfRule>
  </conditionalFormatting>
  <conditionalFormatting sqref="F10:F78">
    <cfRule type="containsText" dxfId="4" priority="8" operator="containsText" text="AVISO">
      <formula>NOT(ISERROR(SEARCH("AVISO",F10)))</formula>
    </cfRule>
  </conditionalFormatting>
  <conditionalFormatting sqref="F10:F78">
    <cfRule type="containsText" dxfId="3" priority="9" operator="containsText" text="OK">
      <formula>NOT(ISERROR(SEARCH("OK",F10)))</formula>
    </cfRule>
  </conditionalFormatting>
  <conditionalFormatting sqref="F10:F87">
    <cfRule type="containsText" dxfId="2" priority="10" operator="containsText" text="FALLO">
      <formula>NOT(ISERROR(SEARCH("FALLO",F10)))</formula>
    </cfRule>
  </conditionalFormatting>
  <conditionalFormatting sqref="F10:F87">
    <cfRule type="containsText" dxfId="1" priority="11" operator="containsText" text="AVISO">
      <formula>NOT(ISERROR(SEARCH("AVISO",F10)))</formula>
    </cfRule>
  </conditionalFormatting>
  <conditionalFormatting sqref="F10:F87">
    <cfRule type="containsText" dxfId="0" priority="12" operator="containsText" text="OK">
      <formula>NOT(ISERROR(SEARCH("OK",F10)))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4D3E-0C97-4B8D-956C-875941D2618C}">
  <dimension ref="A1:L25"/>
  <sheetViews>
    <sheetView workbookViewId="0">
      <pane ySplit="5" topLeftCell="A6" activePane="bottomLeft" state="frozen"/>
      <selection pane="bottomLeft"/>
    </sheetView>
  </sheetViews>
  <sheetFormatPr baseColWidth="10" defaultRowHeight="14.4" x14ac:dyDescent="0.3"/>
  <cols>
    <col min="1" max="1" width="5.5546875" customWidth="1"/>
    <col min="2" max="2" width="35.21875" customWidth="1"/>
    <col min="3" max="3" width="48.109375" customWidth="1"/>
    <col min="4" max="12" width="17.5546875" customWidth="1"/>
  </cols>
  <sheetData>
    <row r="1" spans="1:12" ht="18" x14ac:dyDescent="0.35">
      <c r="A1" s="4" t="s">
        <v>0</v>
      </c>
    </row>
    <row r="2" spans="1:12" x14ac:dyDescent="0.3">
      <c r="A2" t="s">
        <v>1</v>
      </c>
    </row>
    <row r="3" spans="1:12" x14ac:dyDescent="0.3">
      <c r="A3" t="s">
        <v>2</v>
      </c>
    </row>
    <row r="5" spans="1:12" ht="28.8" x14ac:dyDescent="0.3">
      <c r="A5" s="9" t="s">
        <v>3</v>
      </c>
      <c r="B5" s="9" t="s">
        <v>4</v>
      </c>
      <c r="C5" s="9" t="s">
        <v>5</v>
      </c>
      <c r="D5" s="9" t="s">
        <v>6</v>
      </c>
      <c r="E5" s="9" t="s">
        <v>7</v>
      </c>
      <c r="F5" s="9" t="s">
        <v>8</v>
      </c>
      <c r="G5" s="9" t="s">
        <v>9</v>
      </c>
      <c r="H5" s="9" t="s">
        <v>10</v>
      </c>
      <c r="I5" s="9" t="s">
        <v>11</v>
      </c>
      <c r="J5" s="9" t="s">
        <v>12</v>
      </c>
      <c r="K5" s="9" t="s">
        <v>13</v>
      </c>
      <c r="L5" s="9" t="s">
        <v>14</v>
      </c>
    </row>
    <row r="6" spans="1:12" ht="72" x14ac:dyDescent="0.3">
      <c r="A6" s="10">
        <v>1</v>
      </c>
      <c r="B6" s="10" t="s">
        <v>15</v>
      </c>
      <c r="C6" s="10" t="s">
        <v>16</v>
      </c>
      <c r="D6" s="10" t="s">
        <v>17</v>
      </c>
      <c r="E6" s="10" t="s">
        <v>18</v>
      </c>
      <c r="F6" s="10" t="s">
        <v>19</v>
      </c>
      <c r="G6" s="10" t="s">
        <v>20</v>
      </c>
      <c r="H6" s="10" t="s">
        <v>21</v>
      </c>
      <c r="I6" s="10" t="s">
        <v>22</v>
      </c>
      <c r="J6" s="10" t="s">
        <v>23</v>
      </c>
      <c r="K6" s="10" t="s">
        <v>24</v>
      </c>
      <c r="L6" s="10" t="s">
        <v>25</v>
      </c>
    </row>
    <row r="7" spans="1:12" ht="72" x14ac:dyDescent="0.3">
      <c r="A7" s="10">
        <v>2</v>
      </c>
      <c r="B7" s="10" t="s">
        <v>26</v>
      </c>
      <c r="C7" s="10" t="s">
        <v>27</v>
      </c>
      <c r="D7" s="10" t="s">
        <v>17</v>
      </c>
      <c r="E7" s="10" t="s">
        <v>28</v>
      </c>
      <c r="F7" s="10" t="s">
        <v>19</v>
      </c>
      <c r="G7" s="10" t="s">
        <v>20</v>
      </c>
      <c r="H7" s="10" t="s">
        <v>29</v>
      </c>
      <c r="I7" s="10" t="s">
        <v>22</v>
      </c>
      <c r="J7" s="10" t="s">
        <v>23</v>
      </c>
      <c r="K7" s="10" t="s">
        <v>24</v>
      </c>
      <c r="L7" s="10" t="s">
        <v>25</v>
      </c>
    </row>
    <row r="8" spans="1:12" ht="72" x14ac:dyDescent="0.3">
      <c r="A8" s="10">
        <v>3</v>
      </c>
      <c r="B8" s="10" t="s">
        <v>30</v>
      </c>
      <c r="C8" s="10" t="s">
        <v>31</v>
      </c>
      <c r="D8" s="10" t="s">
        <v>17</v>
      </c>
      <c r="E8" s="10" t="s">
        <v>32</v>
      </c>
      <c r="F8" s="10" t="s">
        <v>19</v>
      </c>
      <c r="G8" s="10" t="s">
        <v>20</v>
      </c>
      <c r="H8" s="10" t="s">
        <v>21</v>
      </c>
      <c r="I8" s="10" t="s">
        <v>22</v>
      </c>
      <c r="J8" s="10" t="s">
        <v>23</v>
      </c>
      <c r="K8" s="10" t="s">
        <v>24</v>
      </c>
      <c r="L8" s="10" t="s">
        <v>25</v>
      </c>
    </row>
    <row r="9" spans="1:12" ht="72" x14ac:dyDescent="0.3">
      <c r="A9" s="10">
        <v>4</v>
      </c>
      <c r="B9" s="10" t="s">
        <v>33</v>
      </c>
      <c r="C9" s="10" t="s">
        <v>34</v>
      </c>
      <c r="D9" s="10" t="s">
        <v>17</v>
      </c>
      <c r="E9" s="10" t="s">
        <v>35</v>
      </c>
      <c r="F9" s="10" t="s">
        <v>19</v>
      </c>
      <c r="G9" s="10" t="s">
        <v>20</v>
      </c>
      <c r="H9" s="10" t="s">
        <v>29</v>
      </c>
      <c r="I9" s="10" t="s">
        <v>22</v>
      </c>
      <c r="J9" s="10" t="s">
        <v>23</v>
      </c>
      <c r="K9" s="10" t="s">
        <v>24</v>
      </c>
      <c r="L9" s="10" t="s">
        <v>25</v>
      </c>
    </row>
    <row r="10" spans="1:12" ht="72" x14ac:dyDescent="0.3">
      <c r="A10" s="10">
        <v>5</v>
      </c>
      <c r="B10" s="10" t="s">
        <v>36</v>
      </c>
      <c r="C10" s="10" t="s">
        <v>37</v>
      </c>
      <c r="D10" s="10" t="s">
        <v>17</v>
      </c>
      <c r="E10" s="10" t="s">
        <v>38</v>
      </c>
      <c r="F10" s="10" t="s">
        <v>19</v>
      </c>
      <c r="G10" s="10" t="s">
        <v>20</v>
      </c>
      <c r="H10" s="10" t="s">
        <v>29</v>
      </c>
      <c r="I10" s="10" t="s">
        <v>22</v>
      </c>
      <c r="J10" s="10" t="s">
        <v>23</v>
      </c>
      <c r="K10" s="10" t="s">
        <v>24</v>
      </c>
      <c r="L10" s="10" t="s">
        <v>25</v>
      </c>
    </row>
    <row r="11" spans="1:12" ht="72" x14ac:dyDescent="0.3">
      <c r="A11" s="10">
        <v>6</v>
      </c>
      <c r="B11" s="10" t="s">
        <v>39</v>
      </c>
      <c r="C11" s="10" t="s">
        <v>40</v>
      </c>
      <c r="D11" s="10" t="s">
        <v>17</v>
      </c>
      <c r="E11" s="10" t="s">
        <v>41</v>
      </c>
      <c r="F11" s="10" t="s">
        <v>19</v>
      </c>
      <c r="G11" s="10" t="s">
        <v>20</v>
      </c>
      <c r="H11" s="10" t="s">
        <v>21</v>
      </c>
      <c r="I11" s="10" t="s">
        <v>22</v>
      </c>
      <c r="J11" s="10" t="s">
        <v>42</v>
      </c>
      <c r="K11" s="10" t="s">
        <v>24</v>
      </c>
      <c r="L11" s="10" t="s">
        <v>25</v>
      </c>
    </row>
    <row r="12" spans="1:12" ht="72" x14ac:dyDescent="0.3">
      <c r="A12" s="10">
        <v>7</v>
      </c>
      <c r="B12" s="10" t="s">
        <v>43</v>
      </c>
      <c r="C12" s="10" t="s">
        <v>44</v>
      </c>
      <c r="D12" s="10" t="s">
        <v>17</v>
      </c>
      <c r="E12" s="10" t="s">
        <v>45</v>
      </c>
      <c r="F12" s="10" t="s">
        <v>19</v>
      </c>
      <c r="G12" s="10" t="s">
        <v>20</v>
      </c>
      <c r="H12" s="10" t="s">
        <v>29</v>
      </c>
      <c r="I12" s="10" t="s">
        <v>22</v>
      </c>
      <c r="J12" s="10" t="s">
        <v>23</v>
      </c>
      <c r="K12" s="10" t="s">
        <v>24</v>
      </c>
      <c r="L12" s="10" t="s">
        <v>25</v>
      </c>
    </row>
    <row r="13" spans="1:12" ht="72" x14ac:dyDescent="0.3">
      <c r="A13" s="10">
        <v>8</v>
      </c>
      <c r="B13" s="10" t="s">
        <v>46</v>
      </c>
      <c r="C13" s="10" t="s">
        <v>47</v>
      </c>
      <c r="D13" s="10" t="s">
        <v>17</v>
      </c>
      <c r="E13" s="10" t="s">
        <v>48</v>
      </c>
      <c r="F13" s="10" t="s">
        <v>19</v>
      </c>
      <c r="G13" s="10" t="s">
        <v>20</v>
      </c>
      <c r="H13" s="11">
        <v>46362</v>
      </c>
      <c r="I13" s="10" t="s">
        <v>49</v>
      </c>
      <c r="J13" s="10" t="s">
        <v>50</v>
      </c>
      <c r="K13" s="10" t="s">
        <v>24</v>
      </c>
      <c r="L13" s="10" t="s">
        <v>25</v>
      </c>
    </row>
    <row r="14" spans="1:12" ht="72" x14ac:dyDescent="0.3">
      <c r="A14" s="10">
        <v>9</v>
      </c>
      <c r="B14" s="10" t="s">
        <v>51</v>
      </c>
      <c r="C14" s="10" t="s">
        <v>52</v>
      </c>
      <c r="D14" s="10" t="s">
        <v>17</v>
      </c>
      <c r="E14" s="10" t="s">
        <v>53</v>
      </c>
      <c r="F14" s="10" t="s">
        <v>19</v>
      </c>
      <c r="G14" s="10" t="s">
        <v>20</v>
      </c>
      <c r="H14" s="10" t="s">
        <v>54</v>
      </c>
      <c r="I14" s="10" t="s">
        <v>22</v>
      </c>
      <c r="J14" s="10" t="s">
        <v>23</v>
      </c>
      <c r="K14" s="10" t="s">
        <v>24</v>
      </c>
      <c r="L14" s="10" t="s">
        <v>25</v>
      </c>
    </row>
    <row r="15" spans="1:12" ht="43.2" x14ac:dyDescent="0.3">
      <c r="A15" s="10">
        <v>10</v>
      </c>
      <c r="B15" s="10" t="s">
        <v>55</v>
      </c>
      <c r="C15" s="10" t="s">
        <v>56</v>
      </c>
      <c r="D15" s="10" t="s">
        <v>57</v>
      </c>
      <c r="E15" s="10" t="s">
        <v>58</v>
      </c>
      <c r="F15" s="10" t="s">
        <v>49</v>
      </c>
      <c r="G15" s="10" t="s">
        <v>49</v>
      </c>
      <c r="H15" s="10" t="s">
        <v>59</v>
      </c>
      <c r="I15" s="10" t="s">
        <v>22</v>
      </c>
      <c r="J15" s="10" t="s">
        <v>60</v>
      </c>
      <c r="K15" s="10" t="s">
        <v>61</v>
      </c>
      <c r="L15" s="10" t="s">
        <v>62</v>
      </c>
    </row>
    <row r="16" spans="1:12" ht="43.2" x14ac:dyDescent="0.3">
      <c r="A16" s="10">
        <v>11</v>
      </c>
      <c r="B16" s="10" t="s">
        <v>63</v>
      </c>
      <c r="C16" s="10" t="s">
        <v>64</v>
      </c>
      <c r="D16" s="10" t="s">
        <v>57</v>
      </c>
      <c r="E16" s="10" t="s">
        <v>65</v>
      </c>
      <c r="F16" s="10" t="s">
        <v>49</v>
      </c>
      <c r="G16" s="10" t="s">
        <v>49</v>
      </c>
      <c r="H16" s="10" t="s">
        <v>59</v>
      </c>
      <c r="I16" s="10" t="s">
        <v>49</v>
      </c>
      <c r="J16" s="10" t="s">
        <v>42</v>
      </c>
      <c r="K16" s="10" t="s">
        <v>61</v>
      </c>
      <c r="L16" s="10" t="s">
        <v>62</v>
      </c>
    </row>
    <row r="17" spans="1:12" ht="57.6" x14ac:dyDescent="0.3">
      <c r="A17" s="10">
        <v>12</v>
      </c>
      <c r="B17" s="10" t="s">
        <v>66</v>
      </c>
      <c r="C17" s="10" t="s">
        <v>67</v>
      </c>
      <c r="D17" s="10" t="s">
        <v>68</v>
      </c>
      <c r="E17" s="10" t="s">
        <v>69</v>
      </c>
      <c r="F17" s="10" t="s">
        <v>49</v>
      </c>
      <c r="G17" s="10" t="s">
        <v>49</v>
      </c>
      <c r="H17" s="10" t="s">
        <v>70</v>
      </c>
      <c r="I17" s="10" t="s">
        <v>22</v>
      </c>
      <c r="J17" s="10" t="s">
        <v>23</v>
      </c>
      <c r="K17" s="10" t="s">
        <v>71</v>
      </c>
      <c r="L17" s="10" t="s">
        <v>72</v>
      </c>
    </row>
    <row r="19" spans="1:12" x14ac:dyDescent="0.3">
      <c r="A19" s="5" t="s">
        <v>73</v>
      </c>
    </row>
    <row r="20" spans="1:12" ht="72" x14ac:dyDescent="0.3">
      <c r="A20" s="12" t="s">
        <v>74</v>
      </c>
      <c r="B20" s="12" t="s">
        <v>75</v>
      </c>
    </row>
    <row r="21" spans="1:12" ht="57.6" x14ac:dyDescent="0.3">
      <c r="A21" s="12" t="s">
        <v>76</v>
      </c>
      <c r="B21" s="12" t="s">
        <v>77</v>
      </c>
    </row>
    <row r="22" spans="1:12" ht="72" x14ac:dyDescent="0.3">
      <c r="A22" s="12" t="s">
        <v>78</v>
      </c>
      <c r="B22" s="12" t="s">
        <v>79</v>
      </c>
    </row>
    <row r="23" spans="1:12" ht="86.4" x14ac:dyDescent="0.3">
      <c r="A23" s="12" t="s">
        <v>80</v>
      </c>
      <c r="B23" s="12" t="s">
        <v>81</v>
      </c>
    </row>
    <row r="24" spans="1:12" ht="57.6" x14ac:dyDescent="0.3">
      <c r="A24" s="12" t="s">
        <v>82</v>
      </c>
      <c r="B24" s="12" t="s">
        <v>83</v>
      </c>
    </row>
    <row r="25" spans="1:12" ht="72" x14ac:dyDescent="0.3">
      <c r="A25" s="12" t="s">
        <v>84</v>
      </c>
      <c r="B25" s="12" t="s">
        <v>85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043FD-29EC-4F2E-90B4-D67A70B7A0B3}">
  <dimension ref="A1:H70"/>
  <sheetViews>
    <sheetView workbookViewId="0"/>
  </sheetViews>
  <sheetFormatPr baseColWidth="10" defaultRowHeight="14.4" x14ac:dyDescent="0.3"/>
  <cols>
    <col min="2" max="2" width="50" customWidth="1"/>
    <col min="3" max="3" width="79.6640625" customWidth="1"/>
    <col min="4" max="4" width="61.109375" customWidth="1"/>
    <col min="5" max="5" width="79.6640625" customWidth="1"/>
    <col min="6" max="6" width="55.5546875" customWidth="1"/>
    <col min="7" max="7" width="61.109375" customWidth="1"/>
    <col min="8" max="8" width="70.33203125" customWidth="1"/>
  </cols>
  <sheetData>
    <row r="1" spans="1:3" ht="19.8" x14ac:dyDescent="0.4">
      <c r="A1" s="139" t="s">
        <v>1160</v>
      </c>
    </row>
    <row r="3" spans="1:3" ht="15.6" x14ac:dyDescent="0.3">
      <c r="B3" s="140" t="s">
        <v>1161</v>
      </c>
      <c r="C3" s="140"/>
    </row>
    <row r="4" spans="1:3" ht="28.8" x14ac:dyDescent="0.3">
      <c r="B4" s="141" t="s">
        <v>755</v>
      </c>
      <c r="C4" s="37" t="s">
        <v>1162</v>
      </c>
    </row>
    <row r="5" spans="1:3" ht="28.8" x14ac:dyDescent="0.3">
      <c r="B5" s="141" t="s">
        <v>1163</v>
      </c>
      <c r="C5" s="37" t="s">
        <v>1164</v>
      </c>
    </row>
    <row r="6" spans="1:3" x14ac:dyDescent="0.3">
      <c r="B6" s="141" t="s">
        <v>1165</v>
      </c>
      <c r="C6" s="37" t="s">
        <v>1166</v>
      </c>
    </row>
    <row r="7" spans="1:3" ht="15.6" x14ac:dyDescent="0.3">
      <c r="B7" s="140" t="s">
        <v>1167</v>
      </c>
      <c r="C7" s="140"/>
    </row>
    <row r="8" spans="1:3" ht="28.8" x14ac:dyDescent="0.3">
      <c r="B8" s="141" t="s">
        <v>1168</v>
      </c>
      <c r="C8" s="37" t="s">
        <v>1169</v>
      </c>
    </row>
    <row r="9" spans="1:3" x14ac:dyDescent="0.3">
      <c r="B9" s="141" t="s">
        <v>1170</v>
      </c>
      <c r="C9" s="37" t="s">
        <v>1171</v>
      </c>
    </row>
    <row r="10" spans="1:3" ht="28.8" x14ac:dyDescent="0.3">
      <c r="B10" s="141" t="s">
        <v>1172</v>
      </c>
      <c r="C10" s="37" t="s">
        <v>1173</v>
      </c>
    </row>
    <row r="11" spans="1:3" x14ac:dyDescent="0.3">
      <c r="B11" s="141" t="s">
        <v>1174</v>
      </c>
      <c r="C11" s="37" t="s">
        <v>1175</v>
      </c>
    </row>
    <row r="12" spans="1:3" ht="31.2" x14ac:dyDescent="0.3">
      <c r="B12" s="140" t="s">
        <v>1176</v>
      </c>
      <c r="C12" s="140"/>
    </row>
    <row r="13" spans="1:3" ht="28.8" x14ac:dyDescent="0.3">
      <c r="B13" s="141" t="s">
        <v>1177</v>
      </c>
      <c r="C13" s="37" t="s">
        <v>1178</v>
      </c>
    </row>
    <row r="14" spans="1:3" ht="28.8" x14ac:dyDescent="0.3">
      <c r="B14" s="141" t="s">
        <v>1179</v>
      </c>
      <c r="C14" s="37" t="s">
        <v>1180</v>
      </c>
    </row>
    <row r="15" spans="1:3" ht="28.8" x14ac:dyDescent="0.3">
      <c r="B15" s="141" t="s">
        <v>1181</v>
      </c>
      <c r="C15" s="37" t="s">
        <v>1182</v>
      </c>
    </row>
    <row r="16" spans="1:3" ht="28.8" x14ac:dyDescent="0.3">
      <c r="B16" s="141" t="s">
        <v>1183</v>
      </c>
      <c r="C16" s="37" t="s">
        <v>1184</v>
      </c>
    </row>
    <row r="17" spans="2:3" ht="31.2" x14ac:dyDescent="0.3">
      <c r="B17" s="140" t="s">
        <v>1185</v>
      </c>
      <c r="C17" s="140"/>
    </row>
    <row r="18" spans="2:3" ht="28.8" x14ac:dyDescent="0.3">
      <c r="B18" s="141" t="s">
        <v>1186</v>
      </c>
      <c r="C18" s="37" t="s">
        <v>1187</v>
      </c>
    </row>
    <row r="19" spans="2:3" ht="28.8" x14ac:dyDescent="0.3">
      <c r="B19" s="141" t="s">
        <v>1188</v>
      </c>
      <c r="C19" s="37" t="s">
        <v>1189</v>
      </c>
    </row>
    <row r="20" spans="2:3" ht="28.8" x14ac:dyDescent="0.3">
      <c r="B20" s="141" t="s">
        <v>1190</v>
      </c>
      <c r="C20" s="37" t="s">
        <v>1191</v>
      </c>
    </row>
    <row r="21" spans="2:3" x14ac:dyDescent="0.3">
      <c r="B21" s="141" t="s">
        <v>1192</v>
      </c>
      <c r="C21" s="37" t="s">
        <v>1193</v>
      </c>
    </row>
    <row r="22" spans="2:3" x14ac:dyDescent="0.3">
      <c r="B22" s="141" t="s">
        <v>1194</v>
      </c>
      <c r="C22" s="37" t="s">
        <v>1195</v>
      </c>
    </row>
    <row r="23" spans="2:3" ht="15.6" x14ac:dyDescent="0.3">
      <c r="B23" s="140" t="s">
        <v>1196</v>
      </c>
      <c r="C23" s="140"/>
    </row>
    <row r="24" spans="2:3" ht="28.8" x14ac:dyDescent="0.3">
      <c r="B24" s="141" t="s">
        <v>1197</v>
      </c>
      <c r="C24" s="37" t="s">
        <v>1198</v>
      </c>
    </row>
    <row r="25" spans="2:3" ht="28.8" x14ac:dyDescent="0.3">
      <c r="B25" s="141" t="s">
        <v>1199</v>
      </c>
      <c r="C25" s="37" t="s">
        <v>1200</v>
      </c>
    </row>
    <row r="26" spans="2:3" ht="28.8" x14ac:dyDescent="0.3">
      <c r="B26" s="141" t="s">
        <v>1201</v>
      </c>
      <c r="C26" s="37" t="s">
        <v>1202</v>
      </c>
    </row>
    <row r="27" spans="2:3" ht="28.8" x14ac:dyDescent="0.3">
      <c r="B27" s="141" t="s">
        <v>1203</v>
      </c>
      <c r="C27" s="37" t="s">
        <v>1204</v>
      </c>
    </row>
    <row r="28" spans="2:3" ht="28.8" x14ac:dyDescent="0.3">
      <c r="B28" s="141" t="s">
        <v>1205</v>
      </c>
      <c r="C28" s="37" t="s">
        <v>1206</v>
      </c>
    </row>
    <row r="29" spans="2:3" ht="28.8" x14ac:dyDescent="0.3">
      <c r="B29" s="141" t="s">
        <v>39</v>
      </c>
      <c r="C29" s="37" t="s">
        <v>1207</v>
      </c>
    </row>
    <row r="30" spans="2:3" ht="28.8" x14ac:dyDescent="0.3">
      <c r="B30" s="141" t="s">
        <v>1208</v>
      </c>
      <c r="C30" s="37" t="s">
        <v>1209</v>
      </c>
    </row>
    <row r="31" spans="2:3" ht="28.8" x14ac:dyDescent="0.3">
      <c r="B31" s="141" t="s">
        <v>1210</v>
      </c>
      <c r="C31" s="37" t="s">
        <v>1211</v>
      </c>
    </row>
    <row r="32" spans="2:3" ht="28.8" x14ac:dyDescent="0.3">
      <c r="B32" s="141" t="s">
        <v>1212</v>
      </c>
      <c r="C32" s="37" t="s">
        <v>1213</v>
      </c>
    </row>
    <row r="33" spans="2:8" ht="15.6" x14ac:dyDescent="0.3">
      <c r="B33" s="140" t="s">
        <v>1214</v>
      </c>
      <c r="C33" s="140"/>
    </row>
    <row r="34" spans="2:8" ht="28.8" x14ac:dyDescent="0.3">
      <c r="B34" s="141" t="s">
        <v>518</v>
      </c>
      <c r="C34" s="37" t="s">
        <v>1215</v>
      </c>
    </row>
    <row r="35" spans="2:8" ht="28.8" x14ac:dyDescent="0.3">
      <c r="B35" s="141" t="s">
        <v>476</v>
      </c>
      <c r="C35" s="37" t="s">
        <v>1216</v>
      </c>
    </row>
    <row r="36" spans="2:8" ht="28.8" x14ac:dyDescent="0.3">
      <c r="B36" s="141" t="s">
        <v>1217</v>
      </c>
      <c r="C36" s="37" t="s">
        <v>1218</v>
      </c>
    </row>
    <row r="37" spans="2:8" ht="28.8" x14ac:dyDescent="0.3">
      <c r="B37" s="141" t="s">
        <v>1219</v>
      </c>
      <c r="C37" s="37" t="s">
        <v>1220</v>
      </c>
    </row>
    <row r="38" spans="2:8" ht="28.8" x14ac:dyDescent="0.3">
      <c r="B38" s="141" t="s">
        <v>1221</v>
      </c>
      <c r="C38" s="37" t="s">
        <v>1222</v>
      </c>
    </row>
    <row r="39" spans="2:8" ht="43.2" x14ac:dyDescent="0.3">
      <c r="B39" s="141" t="s">
        <v>1223</v>
      </c>
      <c r="C39" s="37" t="s">
        <v>1224</v>
      </c>
    </row>
    <row r="41" spans="2:8" ht="31.2" x14ac:dyDescent="0.3">
      <c r="B41" s="140" t="s">
        <v>1702</v>
      </c>
      <c r="C41" s="1"/>
      <c r="D41" s="1"/>
      <c r="E41" s="1"/>
      <c r="F41" s="1"/>
      <c r="G41" s="1"/>
      <c r="H41" s="1"/>
    </row>
    <row r="42" spans="2:8" x14ac:dyDescent="0.3">
      <c r="B42" s="161" t="s">
        <v>1703</v>
      </c>
      <c r="C42" s="161" t="s">
        <v>1704</v>
      </c>
      <c r="D42" s="161" t="s">
        <v>1705</v>
      </c>
      <c r="E42" s="161" t="s">
        <v>1706</v>
      </c>
      <c r="F42" s="161" t="s">
        <v>1707</v>
      </c>
      <c r="G42" s="161" t="s">
        <v>1708</v>
      </c>
      <c r="H42" s="161" t="s">
        <v>1709</v>
      </c>
    </row>
    <row r="43" spans="2:8" ht="244.8" x14ac:dyDescent="0.3">
      <c r="B43" s="143" t="s">
        <v>1710</v>
      </c>
      <c r="C43" s="131" t="s">
        <v>1711</v>
      </c>
      <c r="D43" s="131" t="s">
        <v>1713</v>
      </c>
      <c r="E43" s="187" t="s">
        <v>1714</v>
      </c>
      <c r="F43" s="131" t="s">
        <v>1715</v>
      </c>
      <c r="G43" s="131" t="s">
        <v>1716</v>
      </c>
      <c r="H43" s="131" t="s">
        <v>1717</v>
      </c>
    </row>
    <row r="44" spans="2:8" ht="201.6" x14ac:dyDescent="0.3">
      <c r="B44" s="144" t="s">
        <v>623</v>
      </c>
      <c r="C44" s="134" t="s">
        <v>1718</v>
      </c>
      <c r="D44" s="134" t="s">
        <v>1719</v>
      </c>
      <c r="E44" s="188" t="s">
        <v>1720</v>
      </c>
      <c r="F44" s="134" t="s">
        <v>1721</v>
      </c>
      <c r="G44" s="134" t="s">
        <v>1722</v>
      </c>
      <c r="H44" s="134" t="s">
        <v>1723</v>
      </c>
    </row>
    <row r="45" spans="2:8" ht="216" x14ac:dyDescent="0.3">
      <c r="B45" s="144" t="s">
        <v>1724</v>
      </c>
      <c r="C45" s="134" t="s">
        <v>1725</v>
      </c>
      <c r="D45" s="134" t="s">
        <v>1726</v>
      </c>
      <c r="E45" s="188" t="s">
        <v>1727</v>
      </c>
      <c r="F45" s="134" t="s">
        <v>1728</v>
      </c>
      <c r="G45" s="134" t="s">
        <v>1729</v>
      </c>
      <c r="H45" s="134" t="s">
        <v>1730</v>
      </c>
    </row>
    <row r="46" spans="2:8" ht="201.6" x14ac:dyDescent="0.3">
      <c r="B46" s="144" t="s">
        <v>1731</v>
      </c>
      <c r="C46" s="134" t="s">
        <v>1732</v>
      </c>
      <c r="D46" s="134" t="s">
        <v>1733</v>
      </c>
      <c r="E46" s="188" t="s">
        <v>1734</v>
      </c>
      <c r="F46" s="134" t="s">
        <v>1735</v>
      </c>
      <c r="G46" s="134" t="s">
        <v>1736</v>
      </c>
      <c r="H46" s="134" t="s">
        <v>1737</v>
      </c>
    </row>
    <row r="47" spans="2:8" ht="216" x14ac:dyDescent="0.3">
      <c r="B47" s="144" t="s">
        <v>1738</v>
      </c>
      <c r="C47" s="134" t="s">
        <v>1739</v>
      </c>
      <c r="D47" s="134" t="s">
        <v>1740</v>
      </c>
      <c r="E47" s="188" t="s">
        <v>1741</v>
      </c>
      <c r="F47" s="134" t="s">
        <v>1742</v>
      </c>
      <c r="G47" s="134" t="s">
        <v>1743</v>
      </c>
      <c r="H47" s="134" t="s">
        <v>1744</v>
      </c>
    </row>
    <row r="48" spans="2:8" ht="259.2" x14ac:dyDescent="0.3">
      <c r="B48" s="144" t="s">
        <v>1745</v>
      </c>
      <c r="C48" s="134" t="s">
        <v>1746</v>
      </c>
      <c r="D48" s="134" t="s">
        <v>1747</v>
      </c>
      <c r="E48" s="188" t="s">
        <v>1748</v>
      </c>
      <c r="F48" s="134" t="s">
        <v>1749</v>
      </c>
      <c r="G48" s="134" t="s">
        <v>1750</v>
      </c>
      <c r="H48" s="134" t="s">
        <v>1751</v>
      </c>
    </row>
    <row r="49" spans="2:8" ht="216" x14ac:dyDescent="0.3">
      <c r="B49" s="144" t="s">
        <v>1210</v>
      </c>
      <c r="C49" s="134" t="s">
        <v>1752</v>
      </c>
      <c r="D49" s="134" t="s">
        <v>1753</v>
      </c>
      <c r="E49" s="188" t="s">
        <v>1754</v>
      </c>
      <c r="F49" s="134" t="s">
        <v>1755</v>
      </c>
      <c r="G49" s="134" t="s">
        <v>1756</v>
      </c>
      <c r="H49" s="134" t="s">
        <v>1757</v>
      </c>
    </row>
    <row r="50" spans="2:8" ht="216" x14ac:dyDescent="0.3">
      <c r="B50" s="144" t="s">
        <v>1758</v>
      </c>
      <c r="C50" s="134" t="s">
        <v>1759</v>
      </c>
      <c r="D50" s="134" t="s">
        <v>1760</v>
      </c>
      <c r="E50" s="188" t="s">
        <v>1761</v>
      </c>
      <c r="F50" s="134" t="s">
        <v>1762</v>
      </c>
      <c r="G50" s="134" t="s">
        <v>1763</v>
      </c>
      <c r="H50" s="134" t="s">
        <v>1764</v>
      </c>
    </row>
    <row r="51" spans="2:8" ht="201.6" x14ac:dyDescent="0.3">
      <c r="B51" s="144" t="s">
        <v>1765</v>
      </c>
      <c r="C51" s="134" t="s">
        <v>1766</v>
      </c>
      <c r="D51" s="134" t="s">
        <v>1767</v>
      </c>
      <c r="E51" s="188" t="s">
        <v>1768</v>
      </c>
      <c r="F51" s="134" t="s">
        <v>1769</v>
      </c>
      <c r="G51" s="134" t="s">
        <v>1770</v>
      </c>
      <c r="H51" s="134" t="s">
        <v>1771</v>
      </c>
    </row>
    <row r="52" spans="2:8" ht="216" x14ac:dyDescent="0.3">
      <c r="B52" s="144" t="s">
        <v>518</v>
      </c>
      <c r="C52" s="134" t="s">
        <v>1772</v>
      </c>
      <c r="D52" s="134" t="s">
        <v>1773</v>
      </c>
      <c r="E52" s="188" t="s">
        <v>1774</v>
      </c>
      <c r="F52" s="134" t="s">
        <v>1775</v>
      </c>
      <c r="G52" s="134" t="s">
        <v>1776</v>
      </c>
      <c r="H52" s="134" t="s">
        <v>1777</v>
      </c>
    </row>
    <row r="53" spans="2:8" ht="201.6" x14ac:dyDescent="0.3">
      <c r="B53" s="144" t="s">
        <v>1778</v>
      </c>
      <c r="C53" s="134" t="s">
        <v>1779</v>
      </c>
      <c r="D53" s="134" t="s">
        <v>1780</v>
      </c>
      <c r="E53" s="188" t="s">
        <v>1781</v>
      </c>
      <c r="F53" s="134" t="s">
        <v>1782</v>
      </c>
      <c r="G53" s="134" t="s">
        <v>1783</v>
      </c>
      <c r="H53" s="134" t="s">
        <v>1784</v>
      </c>
    </row>
    <row r="54" spans="2:8" ht="216" x14ac:dyDescent="0.3">
      <c r="B54" s="144" t="s">
        <v>1785</v>
      </c>
      <c r="C54" s="134" t="s">
        <v>1786</v>
      </c>
      <c r="D54" s="134" t="s">
        <v>1787</v>
      </c>
      <c r="E54" s="188" t="s">
        <v>1788</v>
      </c>
      <c r="F54" s="134" t="s">
        <v>1789</v>
      </c>
      <c r="G54" s="134" t="s">
        <v>1790</v>
      </c>
      <c r="H54" s="134" t="s">
        <v>1791</v>
      </c>
    </row>
    <row r="55" spans="2:8" ht="244.8" x14ac:dyDescent="0.3">
      <c r="B55" s="144" t="s">
        <v>1792</v>
      </c>
      <c r="C55" s="134" t="s">
        <v>1793</v>
      </c>
      <c r="D55" s="134" t="s">
        <v>1794</v>
      </c>
      <c r="E55" s="188" t="s">
        <v>1795</v>
      </c>
      <c r="F55" s="134" t="s">
        <v>1796</v>
      </c>
      <c r="G55" s="134" t="s">
        <v>1797</v>
      </c>
      <c r="H55" s="134" t="s">
        <v>1798</v>
      </c>
    </row>
    <row r="56" spans="2:8" ht="230.4" x14ac:dyDescent="0.3">
      <c r="B56" s="144" t="s">
        <v>476</v>
      </c>
      <c r="C56" s="134" t="s">
        <v>1799</v>
      </c>
      <c r="D56" s="134" t="s">
        <v>1800</v>
      </c>
      <c r="E56" s="188" t="s">
        <v>1801</v>
      </c>
      <c r="F56" s="134" t="s">
        <v>1802</v>
      </c>
      <c r="G56" s="134" t="s">
        <v>1803</v>
      </c>
      <c r="H56" s="134" t="s">
        <v>1804</v>
      </c>
    </row>
    <row r="57" spans="2:8" ht="244.8" x14ac:dyDescent="0.3">
      <c r="B57" s="144" t="s">
        <v>1805</v>
      </c>
      <c r="C57" s="134" t="s">
        <v>1806</v>
      </c>
      <c r="D57" s="134" t="s">
        <v>1807</v>
      </c>
      <c r="E57" s="188" t="s">
        <v>1808</v>
      </c>
      <c r="F57" s="134" t="s">
        <v>1809</v>
      </c>
      <c r="G57" s="134" t="s">
        <v>1810</v>
      </c>
      <c r="H57" s="134" t="s">
        <v>1811</v>
      </c>
    </row>
    <row r="58" spans="2:8" ht="201.6" x14ac:dyDescent="0.3">
      <c r="B58" s="144" t="s">
        <v>1812</v>
      </c>
      <c r="C58" s="134" t="s">
        <v>1813</v>
      </c>
      <c r="D58" s="134" t="s">
        <v>1814</v>
      </c>
      <c r="E58" s="188" t="s">
        <v>1815</v>
      </c>
      <c r="F58" s="134" t="s">
        <v>1816</v>
      </c>
      <c r="G58" s="134" t="s">
        <v>1817</v>
      </c>
      <c r="H58" s="134" t="s">
        <v>1818</v>
      </c>
    </row>
    <row r="59" spans="2:8" ht="144" x14ac:dyDescent="0.3">
      <c r="B59" s="144" t="s">
        <v>839</v>
      </c>
      <c r="C59" s="134" t="s">
        <v>1819</v>
      </c>
      <c r="D59" s="134" t="s">
        <v>1820</v>
      </c>
      <c r="E59" s="188" t="s">
        <v>1821</v>
      </c>
      <c r="F59" s="134" t="s">
        <v>1822</v>
      </c>
      <c r="G59" s="134" t="s">
        <v>1823</v>
      </c>
      <c r="H59" s="134" t="s">
        <v>1824</v>
      </c>
    </row>
    <row r="60" spans="2:8" ht="201.6" x14ac:dyDescent="0.3">
      <c r="B60" s="144" t="s">
        <v>1825</v>
      </c>
      <c r="C60" s="134" t="s">
        <v>1826</v>
      </c>
      <c r="D60" s="134" t="s">
        <v>1827</v>
      </c>
      <c r="E60" s="188" t="s">
        <v>1828</v>
      </c>
      <c r="F60" s="134" t="s">
        <v>1829</v>
      </c>
      <c r="G60" s="134" t="s">
        <v>1830</v>
      </c>
      <c r="H60" s="134" t="s">
        <v>1831</v>
      </c>
    </row>
    <row r="61" spans="2:8" ht="201.6" x14ac:dyDescent="0.3">
      <c r="B61" s="144" t="s">
        <v>1697</v>
      </c>
      <c r="C61" s="134" t="s">
        <v>1832</v>
      </c>
      <c r="D61" s="134" t="s">
        <v>1833</v>
      </c>
      <c r="E61" s="188" t="s">
        <v>1834</v>
      </c>
      <c r="F61" s="134" t="s">
        <v>1835</v>
      </c>
      <c r="G61" s="134" t="s">
        <v>1836</v>
      </c>
      <c r="H61" s="134" t="s">
        <v>1837</v>
      </c>
    </row>
    <row r="62" spans="2:8" ht="244.8" x14ac:dyDescent="0.3">
      <c r="B62" s="144" t="s">
        <v>1838</v>
      </c>
      <c r="C62" s="134" t="s">
        <v>1839</v>
      </c>
      <c r="D62" s="134" t="s">
        <v>1840</v>
      </c>
      <c r="E62" s="188" t="s">
        <v>1841</v>
      </c>
      <c r="F62" s="134" t="s">
        <v>1842</v>
      </c>
      <c r="G62" s="134" t="s">
        <v>1843</v>
      </c>
      <c r="H62" s="134" t="s">
        <v>1844</v>
      </c>
    </row>
    <row r="63" spans="2:8" ht="230.4" x14ac:dyDescent="0.3">
      <c r="B63" s="144" t="s">
        <v>1845</v>
      </c>
      <c r="C63" s="134" t="s">
        <v>1846</v>
      </c>
      <c r="D63" s="134" t="s">
        <v>1847</v>
      </c>
      <c r="E63" s="188" t="s">
        <v>1848</v>
      </c>
      <c r="F63" s="134" t="s">
        <v>1849</v>
      </c>
      <c r="G63" s="134" t="s">
        <v>1850</v>
      </c>
      <c r="H63" s="134" t="s">
        <v>1851</v>
      </c>
    </row>
    <row r="64" spans="2:8" ht="187.2" x14ac:dyDescent="0.3">
      <c r="B64" s="144" t="s">
        <v>1852</v>
      </c>
      <c r="C64" s="134" t="s">
        <v>1853</v>
      </c>
      <c r="D64" s="134" t="s">
        <v>1854</v>
      </c>
      <c r="E64" s="188" t="s">
        <v>1855</v>
      </c>
      <c r="F64" s="134" t="s">
        <v>1856</v>
      </c>
      <c r="G64" s="134" t="s">
        <v>1857</v>
      </c>
      <c r="H64" s="134" t="s">
        <v>1858</v>
      </c>
    </row>
    <row r="65" spans="2:8" ht="187.2" x14ac:dyDescent="0.3">
      <c r="B65" s="144" t="s">
        <v>1859</v>
      </c>
      <c r="C65" s="134" t="s">
        <v>1860</v>
      </c>
      <c r="D65" s="134" t="s">
        <v>1861</v>
      </c>
      <c r="E65" s="188" t="s">
        <v>1862</v>
      </c>
      <c r="F65" s="134" t="s">
        <v>1863</v>
      </c>
      <c r="G65" s="134" t="s">
        <v>1864</v>
      </c>
      <c r="H65" s="134" t="s">
        <v>1865</v>
      </c>
    </row>
    <row r="66" spans="2:8" ht="240" x14ac:dyDescent="0.3">
      <c r="B66" s="145" t="s">
        <v>1866</v>
      </c>
      <c r="C66" s="137" t="s">
        <v>1867</v>
      </c>
      <c r="D66" s="137" t="s">
        <v>1868</v>
      </c>
      <c r="E66" s="189" t="s">
        <v>1869</v>
      </c>
      <c r="F66" s="137" t="s">
        <v>1870</v>
      </c>
      <c r="G66" s="137" t="s">
        <v>1871</v>
      </c>
      <c r="H66" s="137" t="s">
        <v>1872</v>
      </c>
    </row>
    <row r="67" spans="2:8" x14ac:dyDescent="0.3">
      <c r="E67" s="186"/>
    </row>
    <row r="68" spans="2:8" x14ac:dyDescent="0.3">
      <c r="E68" s="186"/>
    </row>
    <row r="69" spans="2:8" x14ac:dyDescent="0.3">
      <c r="E69" s="186"/>
    </row>
    <row r="70" spans="2:8" x14ac:dyDescent="0.3">
      <c r="E70" s="18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4D1-A5B5-4BFD-8DE1-26A30D42F1E8}">
  <dimension ref="A1:G54"/>
  <sheetViews>
    <sheetView workbookViewId="0"/>
  </sheetViews>
  <sheetFormatPr baseColWidth="10" defaultRowHeight="14.4" x14ac:dyDescent="0.3"/>
  <cols>
    <col min="2" max="2" width="61.109375" customWidth="1"/>
    <col min="3" max="3" width="77.77734375" customWidth="1"/>
    <col min="4" max="6" width="59.21875" customWidth="1"/>
    <col min="7" max="7" width="55.5546875" customWidth="1"/>
  </cols>
  <sheetData>
    <row r="1" spans="1:7" ht="19.8" x14ac:dyDescent="0.4">
      <c r="A1" s="139" t="s">
        <v>1225</v>
      </c>
    </row>
    <row r="2" spans="1:7" x14ac:dyDescent="0.3">
      <c r="A2" s="14" t="s">
        <v>1226</v>
      </c>
    </row>
    <row r="4" spans="1:7" x14ac:dyDescent="0.3">
      <c r="B4" s="15" t="s">
        <v>1227</v>
      </c>
      <c r="C4" s="15" t="s">
        <v>1228</v>
      </c>
      <c r="D4" s="15" t="s">
        <v>1229</v>
      </c>
      <c r="E4" s="15" t="s">
        <v>1230</v>
      </c>
      <c r="F4" s="15" t="s">
        <v>1231</v>
      </c>
      <c r="G4" s="15" t="s">
        <v>1232</v>
      </c>
    </row>
    <row r="5" spans="1:7" ht="43.2" x14ac:dyDescent="0.3">
      <c r="B5" s="143" t="s">
        <v>1233</v>
      </c>
      <c r="C5" s="131" t="s">
        <v>1234</v>
      </c>
      <c r="D5" s="131" t="s">
        <v>1235</v>
      </c>
      <c r="E5" s="131" t="s">
        <v>1236</v>
      </c>
      <c r="F5" s="131" t="s">
        <v>1237</v>
      </c>
      <c r="G5" s="131" t="s">
        <v>1238</v>
      </c>
    </row>
    <row r="6" spans="1:7" ht="28.8" x14ac:dyDescent="0.3">
      <c r="B6" s="144" t="s">
        <v>1239</v>
      </c>
      <c r="C6" s="134" t="s">
        <v>1240</v>
      </c>
      <c r="D6" s="134" t="s">
        <v>1241</v>
      </c>
      <c r="E6" s="134" t="s">
        <v>1242</v>
      </c>
      <c r="F6" s="134" t="s">
        <v>1243</v>
      </c>
      <c r="G6" s="134" t="s">
        <v>1244</v>
      </c>
    </row>
    <row r="7" spans="1:7" ht="43.2" x14ac:dyDescent="0.3">
      <c r="B7" s="144" t="s">
        <v>1245</v>
      </c>
      <c r="C7" s="134" t="s">
        <v>1246</v>
      </c>
      <c r="D7" s="134" t="s">
        <v>1247</v>
      </c>
      <c r="E7" s="134" t="s">
        <v>1248</v>
      </c>
      <c r="F7" s="134" t="s">
        <v>1249</v>
      </c>
      <c r="G7" s="134" t="s">
        <v>1250</v>
      </c>
    </row>
    <row r="8" spans="1:7" ht="43.2" x14ac:dyDescent="0.3">
      <c r="B8" s="144" t="s">
        <v>1251</v>
      </c>
      <c r="C8" s="134" t="s">
        <v>1252</v>
      </c>
      <c r="D8" s="134" t="s">
        <v>1253</v>
      </c>
      <c r="E8" s="134" t="s">
        <v>1254</v>
      </c>
      <c r="F8" s="134" t="s">
        <v>1255</v>
      </c>
      <c r="G8" s="134" t="s">
        <v>1256</v>
      </c>
    </row>
    <row r="9" spans="1:7" ht="28.8" x14ac:dyDescent="0.3">
      <c r="B9" s="144" t="s">
        <v>1257</v>
      </c>
      <c r="C9" s="134" t="s">
        <v>1258</v>
      </c>
      <c r="D9" s="134" t="s">
        <v>1259</v>
      </c>
      <c r="E9" s="134" t="s">
        <v>1260</v>
      </c>
      <c r="F9" s="134" t="s">
        <v>1261</v>
      </c>
      <c r="G9" s="134" t="s">
        <v>1262</v>
      </c>
    </row>
    <row r="10" spans="1:7" ht="43.2" x14ac:dyDescent="0.3">
      <c r="B10" s="144" t="s">
        <v>1263</v>
      </c>
      <c r="C10" s="134" t="s">
        <v>1264</v>
      </c>
      <c r="D10" s="134" t="s">
        <v>1265</v>
      </c>
      <c r="E10" s="134" t="s">
        <v>1266</v>
      </c>
      <c r="F10" s="134" t="s">
        <v>1267</v>
      </c>
      <c r="G10" s="134" t="s">
        <v>1268</v>
      </c>
    </row>
    <row r="11" spans="1:7" ht="28.8" x14ac:dyDescent="0.3">
      <c r="B11" s="144" t="s">
        <v>1269</v>
      </c>
      <c r="C11" s="134" t="s">
        <v>1270</v>
      </c>
      <c r="D11" s="134" t="s">
        <v>1271</v>
      </c>
      <c r="E11" s="134" t="s">
        <v>1272</v>
      </c>
      <c r="F11" s="134" t="s">
        <v>1273</v>
      </c>
      <c r="G11" s="134" t="s">
        <v>1274</v>
      </c>
    </row>
    <row r="12" spans="1:7" ht="28.8" x14ac:dyDescent="0.3">
      <c r="B12" s="144" t="s">
        <v>1275</v>
      </c>
      <c r="C12" s="134" t="s">
        <v>1276</v>
      </c>
      <c r="D12" s="134" t="s">
        <v>1277</v>
      </c>
      <c r="E12" s="134" t="s">
        <v>1278</v>
      </c>
      <c r="F12" s="134" t="s">
        <v>1279</v>
      </c>
      <c r="G12" s="134" t="s">
        <v>1280</v>
      </c>
    </row>
    <row r="13" spans="1:7" ht="43.2" x14ac:dyDescent="0.3">
      <c r="B13" s="144" t="s">
        <v>1281</v>
      </c>
      <c r="C13" s="134" t="s">
        <v>1282</v>
      </c>
      <c r="D13" s="134" t="s">
        <v>1283</v>
      </c>
      <c r="E13" s="134" t="s">
        <v>1284</v>
      </c>
      <c r="F13" s="134" t="s">
        <v>1285</v>
      </c>
      <c r="G13" s="134" t="s">
        <v>1286</v>
      </c>
    </row>
    <row r="14" spans="1:7" ht="28.8" x14ac:dyDescent="0.3">
      <c r="B14" s="144" t="s">
        <v>1287</v>
      </c>
      <c r="C14" s="134" t="s">
        <v>1288</v>
      </c>
      <c r="D14" s="134" t="s">
        <v>1289</v>
      </c>
      <c r="E14" s="134" t="s">
        <v>1290</v>
      </c>
      <c r="F14" s="134" t="s">
        <v>1291</v>
      </c>
      <c r="G14" s="134" t="s">
        <v>1292</v>
      </c>
    </row>
    <row r="15" spans="1:7" ht="28.8" x14ac:dyDescent="0.3">
      <c r="B15" s="144" t="s">
        <v>1293</v>
      </c>
      <c r="C15" s="134" t="s">
        <v>1294</v>
      </c>
      <c r="D15" s="134" t="s">
        <v>1295</v>
      </c>
      <c r="E15" s="134" t="s">
        <v>1296</v>
      </c>
      <c r="F15" s="134" t="s">
        <v>1297</v>
      </c>
      <c r="G15" s="134" t="s">
        <v>1298</v>
      </c>
    </row>
    <row r="16" spans="1:7" ht="28.8" x14ac:dyDescent="0.3">
      <c r="B16" s="144" t="s">
        <v>1299</v>
      </c>
      <c r="C16" s="134" t="s">
        <v>1300</v>
      </c>
      <c r="D16" s="134" t="s">
        <v>1301</v>
      </c>
      <c r="E16" s="134" t="s">
        <v>1302</v>
      </c>
      <c r="F16" s="134" t="s">
        <v>1303</v>
      </c>
      <c r="G16" s="134" t="s">
        <v>1304</v>
      </c>
    </row>
    <row r="17" spans="2:7" ht="43.2" x14ac:dyDescent="0.3">
      <c r="B17" s="144" t="s">
        <v>1305</v>
      </c>
      <c r="C17" s="134" t="s">
        <v>1306</v>
      </c>
      <c r="D17" s="134" t="s">
        <v>1307</v>
      </c>
      <c r="E17" s="134" t="s">
        <v>1308</v>
      </c>
      <c r="F17" s="134" t="s">
        <v>1309</v>
      </c>
      <c r="G17" s="134" t="s">
        <v>1310</v>
      </c>
    </row>
    <row r="18" spans="2:7" ht="43.2" x14ac:dyDescent="0.3">
      <c r="B18" s="144" t="s">
        <v>1311</v>
      </c>
      <c r="C18" s="134" t="s">
        <v>1312</v>
      </c>
      <c r="D18" s="134" t="s">
        <v>1313</v>
      </c>
      <c r="E18" s="134" t="s">
        <v>1314</v>
      </c>
      <c r="F18" s="134" t="s">
        <v>1315</v>
      </c>
      <c r="G18" s="134" t="s">
        <v>1316</v>
      </c>
    </row>
    <row r="19" spans="2:7" ht="43.2" x14ac:dyDescent="0.3">
      <c r="B19" s="144" t="s">
        <v>1317</v>
      </c>
      <c r="C19" s="134" t="s">
        <v>1318</v>
      </c>
      <c r="D19" s="134" t="s">
        <v>1319</v>
      </c>
      <c r="E19" s="134" t="s">
        <v>1320</v>
      </c>
      <c r="F19" s="134" t="s">
        <v>1321</v>
      </c>
      <c r="G19" s="134" t="s">
        <v>1322</v>
      </c>
    </row>
    <row r="20" spans="2:7" ht="28.8" x14ac:dyDescent="0.3">
      <c r="B20" s="144" t="s">
        <v>1323</v>
      </c>
      <c r="C20" s="134" t="s">
        <v>1324</v>
      </c>
      <c r="D20" s="134" t="s">
        <v>1325</v>
      </c>
      <c r="E20" s="134" t="s">
        <v>1320</v>
      </c>
      <c r="F20" s="134" t="s">
        <v>1326</v>
      </c>
      <c r="G20" s="134" t="s">
        <v>1327</v>
      </c>
    </row>
    <row r="21" spans="2:7" ht="28.8" x14ac:dyDescent="0.3">
      <c r="B21" s="144" t="s">
        <v>1328</v>
      </c>
      <c r="C21" s="134" t="s">
        <v>1329</v>
      </c>
      <c r="D21" s="134" t="s">
        <v>1330</v>
      </c>
      <c r="E21" s="134" t="s">
        <v>1320</v>
      </c>
      <c r="F21" s="134" t="s">
        <v>1331</v>
      </c>
      <c r="G21" s="134" t="s">
        <v>1332</v>
      </c>
    </row>
    <row r="22" spans="2:7" ht="43.2" x14ac:dyDescent="0.3">
      <c r="B22" s="145" t="s">
        <v>1333</v>
      </c>
      <c r="C22" s="137" t="s">
        <v>1334</v>
      </c>
      <c r="D22" s="137" t="s">
        <v>1335</v>
      </c>
      <c r="E22" s="137" t="s">
        <v>1320</v>
      </c>
      <c r="F22" s="137" t="s">
        <v>1336</v>
      </c>
      <c r="G22" s="137" t="s">
        <v>1337</v>
      </c>
    </row>
    <row r="24" spans="2:7" ht="15.6" x14ac:dyDescent="0.3">
      <c r="B24" s="142" t="s">
        <v>1338</v>
      </c>
      <c r="C24" s="1"/>
      <c r="D24" s="1"/>
      <c r="E24" s="1"/>
      <c r="F24" s="1"/>
      <c r="G24" s="1"/>
    </row>
    <row r="25" spans="2:7" x14ac:dyDescent="0.3">
      <c r="B25" s="3" t="s">
        <v>1339</v>
      </c>
    </row>
    <row r="26" spans="2:7" x14ac:dyDescent="0.3">
      <c r="B26" s="3" t="s">
        <v>1340</v>
      </c>
    </row>
    <row r="27" spans="2:7" x14ac:dyDescent="0.3">
      <c r="B27" s="3" t="s">
        <v>1341</v>
      </c>
    </row>
    <row r="28" spans="2:7" x14ac:dyDescent="0.3">
      <c r="B28" s="3" t="s">
        <v>1342</v>
      </c>
    </row>
    <row r="29" spans="2:7" x14ac:dyDescent="0.3">
      <c r="B29" s="3" t="s">
        <v>1343</v>
      </c>
    </row>
    <row r="30" spans="2:7" x14ac:dyDescent="0.3">
      <c r="B30" s="3" t="s">
        <v>1344</v>
      </c>
    </row>
    <row r="31" spans="2:7" x14ac:dyDescent="0.3">
      <c r="B31" s="3" t="s">
        <v>1345</v>
      </c>
    </row>
    <row r="32" spans="2:7" x14ac:dyDescent="0.3">
      <c r="B32" s="3" t="s">
        <v>1346</v>
      </c>
    </row>
    <row r="33" spans="2:2" x14ac:dyDescent="0.3">
      <c r="B33" s="3" t="s">
        <v>1347</v>
      </c>
    </row>
    <row r="34" spans="2:2" x14ac:dyDescent="0.3">
      <c r="B34" s="3" t="s">
        <v>1348</v>
      </c>
    </row>
    <row r="35" spans="2:2" x14ac:dyDescent="0.3">
      <c r="B35" s="3" t="s">
        <v>1349</v>
      </c>
    </row>
    <row r="36" spans="2:2" x14ac:dyDescent="0.3">
      <c r="B36" s="3" t="s">
        <v>1350</v>
      </c>
    </row>
    <row r="37" spans="2:2" x14ac:dyDescent="0.3">
      <c r="B37" s="3" t="s">
        <v>1351</v>
      </c>
    </row>
    <row r="38" spans="2:2" x14ac:dyDescent="0.3">
      <c r="B38" s="3" t="s">
        <v>1352</v>
      </c>
    </row>
    <row r="39" spans="2:2" x14ac:dyDescent="0.3">
      <c r="B39" s="3" t="s">
        <v>1353</v>
      </c>
    </row>
    <row r="40" spans="2:2" x14ac:dyDescent="0.3">
      <c r="B40" s="3" t="s">
        <v>1354</v>
      </c>
    </row>
    <row r="41" spans="2:2" x14ac:dyDescent="0.3">
      <c r="B41" s="3" t="s">
        <v>1355</v>
      </c>
    </row>
    <row r="42" spans="2:2" x14ac:dyDescent="0.3">
      <c r="B42" s="3" t="s">
        <v>1356</v>
      </c>
    </row>
    <row r="43" spans="2:2" x14ac:dyDescent="0.3">
      <c r="B43" s="3" t="s">
        <v>1357</v>
      </c>
    </row>
    <row r="44" spans="2:2" x14ac:dyDescent="0.3">
      <c r="B44" s="3" t="s">
        <v>1358</v>
      </c>
    </row>
    <row r="45" spans="2:2" x14ac:dyDescent="0.3">
      <c r="B45" s="3" t="s">
        <v>1359</v>
      </c>
    </row>
    <row r="46" spans="2:2" x14ac:dyDescent="0.3">
      <c r="B46" s="3" t="s">
        <v>1360</v>
      </c>
    </row>
    <row r="47" spans="2:2" x14ac:dyDescent="0.3">
      <c r="B47" s="3" t="s">
        <v>1361</v>
      </c>
    </row>
    <row r="48" spans="2:2" x14ac:dyDescent="0.3">
      <c r="B48" s="3" t="s">
        <v>1362</v>
      </c>
    </row>
    <row r="49" spans="2:2" x14ac:dyDescent="0.3">
      <c r="B49" s="3" t="s">
        <v>1363</v>
      </c>
    </row>
    <row r="50" spans="2:2" x14ac:dyDescent="0.3">
      <c r="B50" s="3" t="s">
        <v>1364</v>
      </c>
    </row>
    <row r="51" spans="2:2" x14ac:dyDescent="0.3">
      <c r="B51" s="3" t="s">
        <v>1365</v>
      </c>
    </row>
    <row r="52" spans="2:2" x14ac:dyDescent="0.3">
      <c r="B52" s="3" t="s">
        <v>1366</v>
      </c>
    </row>
    <row r="53" spans="2:2" x14ac:dyDescent="0.3">
      <c r="B53" s="3" t="s">
        <v>1367</v>
      </c>
    </row>
    <row r="54" spans="2:2" x14ac:dyDescent="0.3">
      <c r="B54" s="3" t="s">
        <v>1368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AE8E-AE0C-4117-ADE4-F14E63B2C920}">
  <dimension ref="A1:F47"/>
  <sheetViews>
    <sheetView tabSelected="1" workbookViewId="0"/>
  </sheetViews>
  <sheetFormatPr baseColWidth="10" defaultRowHeight="14.4" x14ac:dyDescent="0.3"/>
  <cols>
    <col min="2" max="2" width="46.33203125" customWidth="1"/>
    <col min="3" max="3" width="72.21875" customWidth="1"/>
    <col min="4" max="4" width="85.21875" customWidth="1"/>
    <col min="5" max="5" width="61.109375" customWidth="1"/>
    <col min="6" max="6" width="51.88671875" customWidth="1"/>
  </cols>
  <sheetData>
    <row r="1" spans="1:6" ht="19.8" x14ac:dyDescent="0.4">
      <c r="A1" s="139" t="s">
        <v>1369</v>
      </c>
    </row>
    <row r="2" spans="1:6" x14ac:dyDescent="0.3">
      <c r="A2" s="90" t="s">
        <v>1370</v>
      </c>
    </row>
    <row r="4" spans="1:6" x14ac:dyDescent="0.3">
      <c r="B4" s="15" t="s">
        <v>1371</v>
      </c>
      <c r="C4" s="15" t="s">
        <v>1372</v>
      </c>
      <c r="D4" s="15" t="s">
        <v>1373</v>
      </c>
      <c r="E4" s="15" t="s">
        <v>1374</v>
      </c>
      <c r="F4" s="15" t="s">
        <v>1375</v>
      </c>
    </row>
    <row r="5" spans="1:6" ht="43.2" x14ac:dyDescent="0.3">
      <c r="B5" s="143" t="s">
        <v>1376</v>
      </c>
      <c r="C5" s="131" t="s">
        <v>1377</v>
      </c>
      <c r="D5" s="131" t="s">
        <v>1378</v>
      </c>
      <c r="E5" s="131" t="s">
        <v>1379</v>
      </c>
      <c r="F5" s="131" t="s">
        <v>1380</v>
      </c>
    </row>
    <row r="6" spans="1:6" ht="28.8" x14ac:dyDescent="0.3">
      <c r="B6" s="144" t="s">
        <v>1381</v>
      </c>
      <c r="C6" s="134" t="s">
        <v>1382</v>
      </c>
      <c r="D6" s="134" t="s">
        <v>1383</v>
      </c>
      <c r="E6" s="134" t="s">
        <v>1384</v>
      </c>
      <c r="F6" s="134" t="s">
        <v>1385</v>
      </c>
    </row>
    <row r="7" spans="1:6" ht="28.8" x14ac:dyDescent="0.3">
      <c r="B7" s="144" t="s">
        <v>1386</v>
      </c>
      <c r="C7" s="134" t="s">
        <v>1387</v>
      </c>
      <c r="D7" s="134" t="s">
        <v>1388</v>
      </c>
      <c r="E7" s="134" t="s">
        <v>1389</v>
      </c>
      <c r="F7" s="134" t="s">
        <v>1390</v>
      </c>
    </row>
    <row r="8" spans="1:6" ht="28.8" x14ac:dyDescent="0.3">
      <c r="B8" s="144" t="s">
        <v>1391</v>
      </c>
      <c r="C8" s="134" t="s">
        <v>1392</v>
      </c>
      <c r="D8" s="134" t="s">
        <v>1393</v>
      </c>
      <c r="E8" s="134" t="s">
        <v>1394</v>
      </c>
      <c r="F8" s="134" t="s">
        <v>1395</v>
      </c>
    </row>
    <row r="9" spans="1:6" ht="28.8" x14ac:dyDescent="0.3">
      <c r="B9" s="144" t="s">
        <v>1396</v>
      </c>
      <c r="C9" s="134" t="s">
        <v>1397</v>
      </c>
      <c r="D9" s="134" t="s">
        <v>1398</v>
      </c>
      <c r="E9" s="134" t="s">
        <v>1399</v>
      </c>
      <c r="F9" s="134" t="s">
        <v>1400</v>
      </c>
    </row>
    <row r="10" spans="1:6" ht="28.8" x14ac:dyDescent="0.3">
      <c r="B10" s="144" t="s">
        <v>1401</v>
      </c>
      <c r="C10" s="134" t="s">
        <v>1402</v>
      </c>
      <c r="D10" s="134" t="s">
        <v>1403</v>
      </c>
      <c r="E10" s="134" t="s">
        <v>1404</v>
      </c>
      <c r="F10" s="134" t="s">
        <v>1405</v>
      </c>
    </row>
    <row r="11" spans="1:6" ht="28.8" x14ac:dyDescent="0.3">
      <c r="B11" s="144" t="s">
        <v>1406</v>
      </c>
      <c r="C11" s="134" t="s">
        <v>1407</v>
      </c>
      <c r="D11" s="134" t="s">
        <v>1408</v>
      </c>
      <c r="E11" s="134" t="s">
        <v>1409</v>
      </c>
      <c r="F11" s="134" t="s">
        <v>1410</v>
      </c>
    </row>
    <row r="12" spans="1:6" ht="28.8" x14ac:dyDescent="0.3">
      <c r="B12" s="144" t="s">
        <v>1411</v>
      </c>
      <c r="C12" s="134" t="s">
        <v>1412</v>
      </c>
      <c r="D12" s="134" t="s">
        <v>1413</v>
      </c>
      <c r="E12" s="134" t="s">
        <v>1414</v>
      </c>
      <c r="F12" s="134" t="s">
        <v>1415</v>
      </c>
    </row>
    <row r="13" spans="1:6" ht="28.8" x14ac:dyDescent="0.3">
      <c r="B13" s="144" t="s">
        <v>1416</v>
      </c>
      <c r="C13" s="134" t="s">
        <v>1417</v>
      </c>
      <c r="D13" s="134" t="s">
        <v>1418</v>
      </c>
      <c r="E13" s="134" t="s">
        <v>1419</v>
      </c>
      <c r="F13" s="134" t="s">
        <v>1420</v>
      </c>
    </row>
    <row r="14" spans="1:6" ht="28.8" x14ac:dyDescent="0.3">
      <c r="B14" s="144" t="s">
        <v>1421</v>
      </c>
      <c r="C14" s="134" t="s">
        <v>1422</v>
      </c>
      <c r="D14" s="134" t="s">
        <v>1423</v>
      </c>
      <c r="E14" s="134" t="s">
        <v>1424</v>
      </c>
      <c r="F14" s="134" t="s">
        <v>1425</v>
      </c>
    </row>
    <row r="15" spans="1:6" ht="28.8" x14ac:dyDescent="0.3">
      <c r="B15" s="144" t="s">
        <v>1426</v>
      </c>
      <c r="C15" s="134" t="s">
        <v>1427</v>
      </c>
      <c r="D15" s="134" t="s">
        <v>1428</v>
      </c>
      <c r="E15" s="134" t="s">
        <v>1429</v>
      </c>
      <c r="F15" s="134" t="s">
        <v>1430</v>
      </c>
    </row>
    <row r="16" spans="1:6" ht="28.8" x14ac:dyDescent="0.3">
      <c r="B16" s="144" t="s">
        <v>1431</v>
      </c>
      <c r="C16" s="134" t="s">
        <v>1432</v>
      </c>
      <c r="D16" s="134" t="s">
        <v>1433</v>
      </c>
      <c r="E16" s="134" t="s">
        <v>1389</v>
      </c>
      <c r="F16" s="134" t="s">
        <v>1434</v>
      </c>
    </row>
    <row r="17" spans="2:6" ht="28.8" x14ac:dyDescent="0.3">
      <c r="B17" s="144" t="s">
        <v>1435</v>
      </c>
      <c r="C17" s="134" t="s">
        <v>1436</v>
      </c>
      <c r="D17" s="134" t="s">
        <v>1437</v>
      </c>
      <c r="E17" s="134" t="s">
        <v>1438</v>
      </c>
      <c r="F17" s="134" t="s">
        <v>1439</v>
      </c>
    </row>
    <row r="18" spans="2:6" ht="28.8" x14ac:dyDescent="0.3">
      <c r="B18" s="144" t="s">
        <v>1440</v>
      </c>
      <c r="C18" s="134" t="s">
        <v>1441</v>
      </c>
      <c r="D18" s="134" t="s">
        <v>1442</v>
      </c>
      <c r="E18" s="134" t="s">
        <v>1443</v>
      </c>
      <c r="F18" s="134" t="s">
        <v>1444</v>
      </c>
    </row>
    <row r="19" spans="2:6" ht="28.8" x14ac:dyDescent="0.3">
      <c r="B19" s="144" t="s">
        <v>1445</v>
      </c>
      <c r="C19" s="134" t="s">
        <v>1446</v>
      </c>
      <c r="D19" s="134" t="s">
        <v>1447</v>
      </c>
      <c r="E19" s="134" t="s">
        <v>1448</v>
      </c>
      <c r="F19" s="134" t="s">
        <v>1449</v>
      </c>
    </row>
    <row r="20" spans="2:6" ht="28.8" x14ac:dyDescent="0.3">
      <c r="B20" s="144" t="s">
        <v>1450</v>
      </c>
      <c r="C20" s="134" t="s">
        <v>1451</v>
      </c>
      <c r="D20" s="134" t="s">
        <v>1452</v>
      </c>
      <c r="E20" s="134" t="s">
        <v>1453</v>
      </c>
      <c r="F20" s="134" t="s">
        <v>1454</v>
      </c>
    </row>
    <row r="21" spans="2:6" ht="28.8" x14ac:dyDescent="0.3">
      <c r="B21" s="144" t="s">
        <v>1455</v>
      </c>
      <c r="C21" s="134" t="s">
        <v>1456</v>
      </c>
      <c r="D21" s="134" t="s">
        <v>1457</v>
      </c>
      <c r="E21" s="134" t="s">
        <v>1458</v>
      </c>
      <c r="F21" s="134" t="s">
        <v>1459</v>
      </c>
    </row>
    <row r="22" spans="2:6" ht="28.8" x14ac:dyDescent="0.3">
      <c r="B22" s="147" t="s">
        <v>1460</v>
      </c>
      <c r="C22" s="148" t="s">
        <v>1461</v>
      </c>
      <c r="D22" s="148" t="s">
        <v>1462</v>
      </c>
      <c r="E22" s="148" t="s">
        <v>1463</v>
      </c>
      <c r="F22" s="148" t="s">
        <v>1464</v>
      </c>
    </row>
    <row r="23" spans="2:6" ht="28.8" x14ac:dyDescent="0.3">
      <c r="B23" s="144" t="s">
        <v>1465</v>
      </c>
      <c r="C23" s="134" t="s">
        <v>1466</v>
      </c>
      <c r="D23" s="134" t="s">
        <v>1467</v>
      </c>
      <c r="E23" s="134" t="s">
        <v>1468</v>
      </c>
      <c r="F23" s="134" t="s">
        <v>1469</v>
      </c>
    </row>
    <row r="24" spans="2:6" ht="28.8" x14ac:dyDescent="0.3">
      <c r="B24" s="144" t="s">
        <v>1470</v>
      </c>
      <c r="C24" s="134" t="s">
        <v>1471</v>
      </c>
      <c r="D24" s="134" t="s">
        <v>1472</v>
      </c>
      <c r="E24" s="134" t="s">
        <v>1473</v>
      </c>
      <c r="F24" s="134" t="s">
        <v>1385</v>
      </c>
    </row>
    <row r="25" spans="2:6" ht="28.8" x14ac:dyDescent="0.3">
      <c r="B25" s="144" t="s">
        <v>1474</v>
      </c>
      <c r="C25" s="134" t="s">
        <v>1475</v>
      </c>
      <c r="D25" s="134" t="s">
        <v>1476</v>
      </c>
      <c r="E25" s="134" t="s">
        <v>1477</v>
      </c>
      <c r="F25" s="134" t="s">
        <v>1478</v>
      </c>
    </row>
    <row r="26" spans="2:6" ht="28.8" x14ac:dyDescent="0.3">
      <c r="B26" s="147" t="s">
        <v>1479</v>
      </c>
      <c r="C26" s="148" t="s">
        <v>1480</v>
      </c>
      <c r="D26" s="148" t="s">
        <v>1481</v>
      </c>
      <c r="E26" s="148" t="s">
        <v>1482</v>
      </c>
      <c r="F26" s="148" t="s">
        <v>1483</v>
      </c>
    </row>
    <row r="27" spans="2:6" x14ac:dyDescent="0.3">
      <c r="B27" s="144" t="s">
        <v>1484</v>
      </c>
      <c r="C27" s="134" t="s">
        <v>1485</v>
      </c>
      <c r="D27" s="134" t="s">
        <v>1486</v>
      </c>
      <c r="E27" s="134" t="s">
        <v>1487</v>
      </c>
      <c r="F27" s="134" t="s">
        <v>1488</v>
      </c>
    </row>
    <row r="28" spans="2:6" ht="28.8" x14ac:dyDescent="0.3">
      <c r="B28" s="145" t="s">
        <v>1489</v>
      </c>
      <c r="C28" s="137" t="s">
        <v>1490</v>
      </c>
      <c r="D28" s="137" t="s">
        <v>1491</v>
      </c>
      <c r="E28" s="137" t="s">
        <v>1492</v>
      </c>
      <c r="F28" s="137" t="s">
        <v>1493</v>
      </c>
    </row>
    <row r="30" spans="2:6" x14ac:dyDescent="0.3">
      <c r="B30" s="5" t="s">
        <v>1494</v>
      </c>
      <c r="C30" s="16"/>
      <c r="D30" s="16"/>
      <c r="E30" s="16"/>
      <c r="F30" s="16"/>
    </row>
    <row r="31" spans="2:6" x14ac:dyDescent="0.3">
      <c r="B31" s="2" t="s">
        <v>1495</v>
      </c>
      <c r="C31" s="2" t="s">
        <v>1496</v>
      </c>
      <c r="D31" s="2" t="s">
        <v>1497</v>
      </c>
      <c r="E31" s="2" t="s">
        <v>1375</v>
      </c>
    </row>
    <row r="32" spans="2:6" x14ac:dyDescent="0.3">
      <c r="B32" s="37" t="s">
        <v>1498</v>
      </c>
      <c r="C32" s="37" t="s">
        <v>1499</v>
      </c>
      <c r="D32" s="37" t="s">
        <v>1500</v>
      </c>
      <c r="E32" s="37" t="s">
        <v>1501</v>
      </c>
    </row>
    <row r="33" spans="2:6" x14ac:dyDescent="0.3">
      <c r="B33" s="37" t="s">
        <v>1376</v>
      </c>
      <c r="C33" s="37" t="s">
        <v>1502</v>
      </c>
      <c r="D33" s="37" t="s">
        <v>1503</v>
      </c>
      <c r="E33" s="37" t="s">
        <v>1504</v>
      </c>
    </row>
    <row r="34" spans="2:6" x14ac:dyDescent="0.3">
      <c r="B34" s="37" t="s">
        <v>1505</v>
      </c>
      <c r="C34" s="37" t="s">
        <v>1506</v>
      </c>
      <c r="D34" s="37" t="s">
        <v>1507</v>
      </c>
      <c r="E34" s="37" t="s">
        <v>1405</v>
      </c>
    </row>
    <row r="35" spans="2:6" x14ac:dyDescent="0.3">
      <c r="B35" s="37" t="s">
        <v>1406</v>
      </c>
      <c r="C35" s="37" t="s">
        <v>1508</v>
      </c>
      <c r="D35" s="37" t="s">
        <v>1509</v>
      </c>
      <c r="E35" s="37" t="s">
        <v>1510</v>
      </c>
    </row>
    <row r="36" spans="2:6" x14ac:dyDescent="0.3">
      <c r="B36" s="37" t="s">
        <v>1511</v>
      </c>
      <c r="C36" s="37" t="s">
        <v>1512</v>
      </c>
      <c r="D36" s="37" t="s">
        <v>1513</v>
      </c>
      <c r="E36" s="37" t="s">
        <v>1464</v>
      </c>
    </row>
    <row r="37" spans="2:6" x14ac:dyDescent="0.3">
      <c r="B37" s="37" t="s">
        <v>1421</v>
      </c>
      <c r="C37" s="37" t="s">
        <v>1514</v>
      </c>
      <c r="D37" s="37" t="s">
        <v>1515</v>
      </c>
      <c r="E37" s="37" t="s">
        <v>1516</v>
      </c>
    </row>
    <row r="38" spans="2:6" x14ac:dyDescent="0.3">
      <c r="B38" s="37" t="s">
        <v>1416</v>
      </c>
      <c r="C38" s="37" t="s">
        <v>1517</v>
      </c>
      <c r="D38" s="37" t="s">
        <v>1500</v>
      </c>
      <c r="E38" s="37" t="s">
        <v>1420</v>
      </c>
    </row>
    <row r="39" spans="2:6" x14ac:dyDescent="0.3">
      <c r="B39" s="37" t="s">
        <v>1450</v>
      </c>
      <c r="C39" s="37" t="s">
        <v>1518</v>
      </c>
      <c r="D39" s="37" t="s">
        <v>1519</v>
      </c>
      <c r="E39" s="37" t="s">
        <v>1454</v>
      </c>
    </row>
    <row r="40" spans="2:6" x14ac:dyDescent="0.3">
      <c r="B40" s="37" t="s">
        <v>1520</v>
      </c>
      <c r="C40" s="37" t="s">
        <v>1521</v>
      </c>
      <c r="D40" s="37" t="s">
        <v>1522</v>
      </c>
      <c r="E40" s="37" t="s">
        <v>1523</v>
      </c>
    </row>
    <row r="41" spans="2:6" x14ac:dyDescent="0.3">
      <c r="B41" s="37" t="s">
        <v>1524</v>
      </c>
      <c r="C41" s="37" t="s">
        <v>1525</v>
      </c>
      <c r="D41" s="37" t="s">
        <v>1526</v>
      </c>
      <c r="E41" s="37" t="s">
        <v>1385</v>
      </c>
    </row>
    <row r="42" spans="2:6" x14ac:dyDescent="0.3">
      <c r="B42" s="37" t="s">
        <v>1527</v>
      </c>
      <c r="C42" s="37" t="s">
        <v>1528</v>
      </c>
      <c r="D42" s="37" t="s">
        <v>1503</v>
      </c>
      <c r="E42" s="37" t="s">
        <v>1529</v>
      </c>
    </row>
    <row r="43" spans="2:6" x14ac:dyDescent="0.3">
      <c r="B43" s="37" t="s">
        <v>1530</v>
      </c>
      <c r="C43" s="37" t="s">
        <v>1531</v>
      </c>
      <c r="D43" s="37" t="s">
        <v>1532</v>
      </c>
      <c r="E43" s="37" t="s">
        <v>1430</v>
      </c>
    </row>
    <row r="44" spans="2:6" x14ac:dyDescent="0.3">
      <c r="B44" s="146" t="s">
        <v>1533</v>
      </c>
      <c r="C44" s="146" t="s">
        <v>1534</v>
      </c>
      <c r="D44" s="146" t="s">
        <v>1535</v>
      </c>
      <c r="E44" s="146" t="s">
        <v>1536</v>
      </c>
    </row>
    <row r="46" spans="2:6" x14ac:dyDescent="0.3">
      <c r="B46" s="5" t="s">
        <v>1537</v>
      </c>
      <c r="C46" s="16"/>
      <c r="D46" s="16"/>
      <c r="E46" s="16"/>
      <c r="F46" s="16"/>
    </row>
    <row r="47" spans="2:6" ht="187.2" x14ac:dyDescent="0.3">
      <c r="B47" s="36" t="s">
        <v>1538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2D08-8A6D-45D2-A420-7931070ABF68}">
  <dimension ref="A1:F60"/>
  <sheetViews>
    <sheetView workbookViewId="0">
      <selection activeCell="F25" sqref="F25"/>
    </sheetView>
  </sheetViews>
  <sheetFormatPr baseColWidth="10" defaultRowHeight="14.4" x14ac:dyDescent="0.3"/>
  <cols>
    <col min="2" max="2" width="48.109375" customWidth="1"/>
    <col min="3" max="3" width="96.33203125" customWidth="1"/>
    <col min="4" max="4" width="74.109375" customWidth="1"/>
    <col min="5" max="5" width="61.109375" customWidth="1"/>
    <col min="6" max="6" width="74.109375" customWidth="1"/>
  </cols>
  <sheetData>
    <row r="1" spans="1:6" ht="19.8" x14ac:dyDescent="0.4">
      <c r="A1" s="139" t="s">
        <v>1539</v>
      </c>
    </row>
    <row r="3" spans="1:6" ht="15.6" x14ac:dyDescent="0.3">
      <c r="B3" s="142" t="s">
        <v>1540</v>
      </c>
      <c r="C3" s="142"/>
      <c r="D3" s="142"/>
      <c r="E3" s="142"/>
      <c r="F3" s="142"/>
    </row>
    <row r="4" spans="1:6" x14ac:dyDescent="0.3">
      <c r="B4" s="5" t="s">
        <v>1541</v>
      </c>
      <c r="C4" s="5" t="s">
        <v>1542</v>
      </c>
      <c r="D4" s="5" t="s">
        <v>1543</v>
      </c>
      <c r="E4" s="5" t="s">
        <v>1544</v>
      </c>
      <c r="F4" s="5" t="s">
        <v>878</v>
      </c>
    </row>
    <row r="5" spans="1:6" ht="28.8" x14ac:dyDescent="0.3">
      <c r="B5" s="143" t="s">
        <v>1545</v>
      </c>
      <c r="C5" s="131" t="s">
        <v>1546</v>
      </c>
      <c r="D5" s="131" t="s">
        <v>1547</v>
      </c>
      <c r="E5" s="131" t="s">
        <v>1548</v>
      </c>
      <c r="F5" s="131" t="s">
        <v>1549</v>
      </c>
    </row>
    <row r="6" spans="1:6" ht="28.8" x14ac:dyDescent="0.3">
      <c r="B6" s="144" t="s">
        <v>1550</v>
      </c>
      <c r="C6" s="134" t="s">
        <v>1551</v>
      </c>
      <c r="D6" s="134" t="s">
        <v>1552</v>
      </c>
      <c r="E6" s="134" t="s">
        <v>1553</v>
      </c>
      <c r="F6" s="134" t="s">
        <v>1554</v>
      </c>
    </row>
    <row r="7" spans="1:6" ht="28.8" x14ac:dyDescent="0.3">
      <c r="B7" s="144" t="s">
        <v>1555</v>
      </c>
      <c r="C7" s="134" t="s">
        <v>1556</v>
      </c>
      <c r="D7" s="134" t="s">
        <v>1557</v>
      </c>
      <c r="E7" s="134" t="s">
        <v>1558</v>
      </c>
      <c r="F7" s="134" t="s">
        <v>1559</v>
      </c>
    </row>
    <row r="8" spans="1:6" ht="28.8" x14ac:dyDescent="0.3">
      <c r="B8" s="144" t="s">
        <v>1560</v>
      </c>
      <c r="C8" s="134" t="s">
        <v>1561</v>
      </c>
      <c r="D8" s="134" t="s">
        <v>1562</v>
      </c>
      <c r="E8" s="134" t="s">
        <v>1563</v>
      </c>
      <c r="F8" s="134" t="s">
        <v>1564</v>
      </c>
    </row>
    <row r="9" spans="1:6" x14ac:dyDescent="0.3">
      <c r="B9" s="144" t="s">
        <v>1565</v>
      </c>
      <c r="C9" s="134" t="s">
        <v>1566</v>
      </c>
      <c r="D9" s="134" t="s">
        <v>1567</v>
      </c>
      <c r="E9" s="134" t="s">
        <v>1568</v>
      </c>
      <c r="F9" s="134" t="s">
        <v>1569</v>
      </c>
    </row>
    <row r="10" spans="1:6" x14ac:dyDescent="0.3">
      <c r="B10" s="144" t="s">
        <v>1570</v>
      </c>
      <c r="C10" s="134" t="s">
        <v>1571</v>
      </c>
      <c r="D10" s="134" t="s">
        <v>1572</v>
      </c>
      <c r="E10" s="134" t="s">
        <v>1573</v>
      </c>
      <c r="F10" s="134" t="s">
        <v>1574</v>
      </c>
    </row>
    <row r="11" spans="1:6" ht="28.8" x14ac:dyDescent="0.3">
      <c r="B11" s="144" t="s">
        <v>1575</v>
      </c>
      <c r="C11" s="134" t="s">
        <v>1576</v>
      </c>
      <c r="D11" s="134" t="s">
        <v>1577</v>
      </c>
      <c r="E11" s="134" t="s">
        <v>1578</v>
      </c>
      <c r="F11" s="134" t="s">
        <v>1579</v>
      </c>
    </row>
    <row r="12" spans="1:6" ht="28.8" x14ac:dyDescent="0.3">
      <c r="B12" s="144" t="s">
        <v>1580</v>
      </c>
      <c r="C12" s="134" t="s">
        <v>1581</v>
      </c>
      <c r="D12" s="134" t="s">
        <v>1582</v>
      </c>
      <c r="E12" s="134" t="s">
        <v>1583</v>
      </c>
      <c r="F12" s="134" t="s">
        <v>1584</v>
      </c>
    </row>
    <row r="13" spans="1:6" ht="28.8" x14ac:dyDescent="0.3">
      <c r="B13" s="145" t="s">
        <v>1585</v>
      </c>
      <c r="C13" s="137" t="s">
        <v>1586</v>
      </c>
      <c r="D13" s="137" t="s">
        <v>1587</v>
      </c>
      <c r="E13" s="137" t="s">
        <v>1588</v>
      </c>
      <c r="F13" s="137" t="s">
        <v>1589</v>
      </c>
    </row>
    <row r="16" spans="1:6" ht="15.6" x14ac:dyDescent="0.3">
      <c r="B16" s="142" t="s">
        <v>1590</v>
      </c>
      <c r="C16" s="142"/>
      <c r="D16" s="142"/>
      <c r="E16" s="142"/>
      <c r="F16" s="142"/>
    </row>
    <row r="17" spans="2:6" ht="28.8" x14ac:dyDescent="0.3">
      <c r="B17" s="141" t="s">
        <v>1591</v>
      </c>
      <c r="C17" s="37" t="s">
        <v>1873</v>
      </c>
    </row>
    <row r="18" spans="2:6" ht="57.6" x14ac:dyDescent="0.3">
      <c r="B18" s="141" t="s">
        <v>1592</v>
      </c>
      <c r="C18" s="37" t="s">
        <v>1874</v>
      </c>
    </row>
    <row r="19" spans="2:6" ht="28.8" x14ac:dyDescent="0.3">
      <c r="B19" s="141" t="s">
        <v>1593</v>
      </c>
      <c r="C19" s="37" t="s">
        <v>1594</v>
      </c>
    </row>
    <row r="20" spans="2:6" ht="43.2" x14ac:dyDescent="0.3">
      <c r="B20" s="141" t="s">
        <v>1595</v>
      </c>
      <c r="C20" s="37" t="s">
        <v>1596</v>
      </c>
    </row>
    <row r="21" spans="2:6" ht="43.2" x14ac:dyDescent="0.3">
      <c r="B21" s="141" t="s">
        <v>1597</v>
      </c>
      <c r="C21" s="37" t="s">
        <v>1876</v>
      </c>
    </row>
    <row r="22" spans="2:6" ht="43.2" x14ac:dyDescent="0.3">
      <c r="B22" s="141" t="s">
        <v>1598</v>
      </c>
      <c r="C22" s="37" t="s">
        <v>1875</v>
      </c>
    </row>
    <row r="23" spans="2:6" ht="57.6" x14ac:dyDescent="0.3">
      <c r="B23" s="141" t="s">
        <v>1599</v>
      </c>
      <c r="C23" s="37" t="s">
        <v>1600</v>
      </c>
    </row>
    <row r="24" spans="2:6" ht="57.6" x14ac:dyDescent="0.3">
      <c r="B24" s="141" t="s">
        <v>1601</v>
      </c>
      <c r="C24" s="37" t="s">
        <v>1602</v>
      </c>
    </row>
    <row r="26" spans="2:6" ht="15.6" x14ac:dyDescent="0.3">
      <c r="B26" s="142" t="s">
        <v>1603</v>
      </c>
      <c r="C26" s="142"/>
      <c r="D26" s="142"/>
      <c r="E26" s="142"/>
      <c r="F26" s="142"/>
    </row>
    <row r="27" spans="2:6" x14ac:dyDescent="0.3">
      <c r="B27" s="5" t="s">
        <v>1604</v>
      </c>
      <c r="C27" s="5" t="s">
        <v>1605</v>
      </c>
      <c r="D27" s="5" t="s">
        <v>1606</v>
      </c>
    </row>
    <row r="28" spans="2:6" ht="28.8" x14ac:dyDescent="0.3">
      <c r="B28" s="141" t="s">
        <v>1607</v>
      </c>
      <c r="C28" s="37" t="s">
        <v>1608</v>
      </c>
      <c r="D28" s="37" t="s">
        <v>1609</v>
      </c>
    </row>
    <row r="29" spans="2:6" ht="28.8" x14ac:dyDescent="0.3">
      <c r="B29" s="141" t="s">
        <v>1610</v>
      </c>
      <c r="C29" s="37" t="s">
        <v>1611</v>
      </c>
      <c r="D29" s="37" t="s">
        <v>1612</v>
      </c>
    </row>
    <row r="30" spans="2:6" ht="28.8" x14ac:dyDescent="0.3">
      <c r="B30" s="141" t="s">
        <v>1613</v>
      </c>
      <c r="C30" s="37" t="s">
        <v>1614</v>
      </c>
      <c r="D30" s="37" t="s">
        <v>1615</v>
      </c>
    </row>
    <row r="31" spans="2:6" x14ac:dyDescent="0.3">
      <c r="B31" s="141" t="s">
        <v>1616</v>
      </c>
      <c r="C31" s="37" t="s">
        <v>1617</v>
      </c>
      <c r="D31" s="37" t="s">
        <v>1618</v>
      </c>
    </row>
    <row r="32" spans="2:6" ht="28.8" x14ac:dyDescent="0.3">
      <c r="B32" s="141" t="s">
        <v>1619</v>
      </c>
      <c r="C32" s="37" t="s">
        <v>1620</v>
      </c>
      <c r="D32" s="37" t="s">
        <v>1621</v>
      </c>
    </row>
    <row r="33" spans="2:6" ht="28.8" x14ac:dyDescent="0.3">
      <c r="B33" s="141" t="s">
        <v>1622</v>
      </c>
      <c r="C33" s="37" t="s">
        <v>1623</v>
      </c>
      <c r="D33" s="37" t="s">
        <v>1877</v>
      </c>
    </row>
    <row r="34" spans="2:6" ht="28.8" x14ac:dyDescent="0.3">
      <c r="B34" s="141" t="s">
        <v>1624</v>
      </c>
      <c r="C34" s="37" t="s">
        <v>1625</v>
      </c>
      <c r="D34" s="37" t="s">
        <v>1626</v>
      </c>
    </row>
    <row r="35" spans="2:6" x14ac:dyDescent="0.3">
      <c r="B35" s="141" t="s">
        <v>1627</v>
      </c>
      <c r="C35" s="37" t="s">
        <v>1628</v>
      </c>
      <c r="D35" s="37" t="s">
        <v>1629</v>
      </c>
    </row>
    <row r="36" spans="2:6" ht="28.8" x14ac:dyDescent="0.3">
      <c r="B36" s="141" t="s">
        <v>1630</v>
      </c>
      <c r="C36" s="37" t="s">
        <v>1631</v>
      </c>
      <c r="D36" s="37" t="s">
        <v>1632</v>
      </c>
    </row>
    <row r="38" spans="2:6" ht="15.6" x14ac:dyDescent="0.3">
      <c r="B38" s="142" t="s">
        <v>1633</v>
      </c>
      <c r="C38" s="142"/>
      <c r="D38" s="142"/>
      <c r="E38" s="142"/>
      <c r="F38" s="142"/>
    </row>
    <row r="39" spans="2:6" ht="28.8" x14ac:dyDescent="0.3">
      <c r="B39" s="37">
        <v>1</v>
      </c>
      <c r="C39" s="37" t="s">
        <v>1634</v>
      </c>
    </row>
    <row r="40" spans="2:6" ht="28.8" x14ac:dyDescent="0.3">
      <c r="B40" s="37">
        <v>2</v>
      </c>
      <c r="C40" s="37" t="s">
        <v>1635</v>
      </c>
    </row>
    <row r="41" spans="2:6" ht="28.8" x14ac:dyDescent="0.3">
      <c r="B41" s="37">
        <v>3</v>
      </c>
      <c r="C41" s="37" t="s">
        <v>1636</v>
      </c>
    </row>
    <row r="42" spans="2:6" ht="28.8" x14ac:dyDescent="0.3">
      <c r="B42" s="37">
        <v>4</v>
      </c>
      <c r="C42" s="37" t="s">
        <v>1637</v>
      </c>
    </row>
    <row r="43" spans="2:6" ht="28.8" x14ac:dyDescent="0.3">
      <c r="B43" s="37">
        <v>5</v>
      </c>
      <c r="C43" s="37" t="s">
        <v>1638</v>
      </c>
    </row>
    <row r="44" spans="2:6" ht="28.8" x14ac:dyDescent="0.3">
      <c r="B44" s="37">
        <v>6</v>
      </c>
      <c r="C44" s="37" t="s">
        <v>1639</v>
      </c>
    </row>
    <row r="45" spans="2:6" ht="28.8" x14ac:dyDescent="0.3">
      <c r="B45" s="37">
        <v>7</v>
      </c>
      <c r="C45" s="37" t="s">
        <v>1640</v>
      </c>
    </row>
    <row r="47" spans="2:6" ht="15.6" x14ac:dyDescent="0.3">
      <c r="B47" s="142" t="s">
        <v>1641</v>
      </c>
      <c r="C47" s="142"/>
      <c r="D47" s="142"/>
      <c r="E47" s="142"/>
      <c r="F47" s="142"/>
    </row>
    <row r="48" spans="2:6" x14ac:dyDescent="0.3">
      <c r="B48" s="5" t="s">
        <v>271</v>
      </c>
      <c r="C48" s="5" t="s">
        <v>1642</v>
      </c>
      <c r="D48" s="5" t="s">
        <v>1643</v>
      </c>
      <c r="E48" s="5" t="s">
        <v>1644</v>
      </c>
    </row>
    <row r="49" spans="2:6" x14ac:dyDescent="0.3">
      <c r="B49" s="149" t="s">
        <v>1645</v>
      </c>
      <c r="C49" s="149"/>
      <c r="D49" s="149"/>
      <c r="E49" s="149"/>
    </row>
    <row r="50" spans="2:6" x14ac:dyDescent="0.3">
      <c r="B50" s="149" t="s">
        <v>1203</v>
      </c>
      <c r="C50" s="149"/>
      <c r="D50" s="149"/>
      <c r="E50" s="149"/>
    </row>
    <row r="51" spans="2:6" x14ac:dyDescent="0.3">
      <c r="B51" s="149" t="s">
        <v>1210</v>
      </c>
      <c r="C51" s="149"/>
      <c r="D51" s="149"/>
      <c r="E51" s="149"/>
    </row>
    <row r="52" spans="2:6" x14ac:dyDescent="0.3">
      <c r="B52" s="149" t="s">
        <v>1212</v>
      </c>
      <c r="C52" s="149"/>
      <c r="D52" s="149"/>
      <c r="E52" s="149"/>
    </row>
    <row r="53" spans="2:6" x14ac:dyDescent="0.3">
      <c r="B53" s="149" t="s">
        <v>476</v>
      </c>
      <c r="C53" s="149"/>
      <c r="D53" s="149"/>
      <c r="E53" s="149"/>
    </row>
    <row r="54" spans="2:6" x14ac:dyDescent="0.3">
      <c r="B54" s="149" t="s">
        <v>1646</v>
      </c>
      <c r="C54" s="149"/>
      <c r="D54" s="149"/>
      <c r="E54" s="149"/>
    </row>
    <row r="55" spans="2:6" x14ac:dyDescent="0.3">
      <c r="B55" s="149" t="s">
        <v>1647</v>
      </c>
      <c r="C55" s="149"/>
      <c r="D55" s="149"/>
      <c r="E55" s="149"/>
    </row>
    <row r="56" spans="2:6" x14ac:dyDescent="0.3">
      <c r="B56" s="149" t="s">
        <v>1648</v>
      </c>
      <c r="C56" s="149"/>
      <c r="D56" s="149"/>
      <c r="E56" s="149"/>
    </row>
    <row r="57" spans="2:6" x14ac:dyDescent="0.3">
      <c r="B57" s="150" t="s">
        <v>1649</v>
      </c>
      <c r="C57" s="150"/>
      <c r="D57" s="150"/>
      <c r="E57" s="150"/>
    </row>
    <row r="59" spans="2:6" ht="15.6" x14ac:dyDescent="0.3">
      <c r="B59" s="142" t="s">
        <v>1650</v>
      </c>
      <c r="C59" s="142"/>
      <c r="D59" s="142"/>
      <c r="E59" s="142"/>
      <c r="F59" s="142"/>
    </row>
    <row r="60" spans="2:6" ht="187.2" x14ac:dyDescent="0.3">
      <c r="B60" s="151" t="s">
        <v>1651</v>
      </c>
      <c r="C60" s="98"/>
      <c r="D60" s="98"/>
      <c r="E60" s="98"/>
      <c r="F60" s="9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00 Panel del Analista</vt:lpstr>
      <vt:lpstr>01 Summary</vt:lpstr>
      <vt:lpstr>02 Assumptions</vt:lpstr>
      <vt:lpstr>03 Historical</vt:lpstr>
      <vt:lpstr>04 Operating Model</vt:lpstr>
      <vt:lpstr>05 Three Statement</vt:lpstr>
      <vt:lpstr>06 DCF</vt:lpstr>
      <vt:lpstr>07 WACC</vt:lpstr>
      <vt:lpstr>Sensibilidad</vt:lpstr>
      <vt:lpstr>09 Escenarios</vt:lpstr>
      <vt:lpstr>Escenario Pesimista</vt:lpstr>
      <vt:lpstr>Escenario Base</vt:lpstr>
      <vt:lpstr>Escenario Optimista</vt:lpstr>
      <vt:lpstr>10 Reverse DCF</vt:lpstr>
      <vt:lpstr>11 Cross Check</vt:lpstr>
      <vt:lpstr>12 SOTP</vt:lpstr>
      <vt:lpstr>13 Checks</vt:lpstr>
      <vt:lpstr>14 Sources</vt:lpstr>
      <vt:lpstr>M1 Manual Fundamentos</vt:lpstr>
      <vt:lpstr>M2 Manual Reglas</vt:lpstr>
      <vt:lpstr>M3 Manual Sectorial</vt:lpstr>
      <vt:lpstr>M4 Manual Errores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de santiago</dc:creator>
  <cp:lastModifiedBy>sergio de santiago</cp:lastModifiedBy>
  <cp:lastPrinted>2026-09-22T08:36:33Z</cp:lastPrinted>
  <dcterms:created xsi:type="dcterms:W3CDTF">2026-09-21T06:59:32Z</dcterms:created>
  <dcterms:modified xsi:type="dcterms:W3CDTF">2026-09-22T21:41:07Z</dcterms:modified>
</cp:coreProperties>
</file>