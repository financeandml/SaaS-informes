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rgi\Downloads\Warrants&amp;co\PROYECTOS VERANO\SAAS-INFORMES\salida\NFLX\"/>
    </mc:Choice>
  </mc:AlternateContent>
  <xr:revisionPtr revIDLastSave="0" documentId="13_ncr:1_{A71C73E5-5612-4570-BD43-D82B01D9AC75}" xr6:coauthVersionLast="47" xr6:coauthVersionMax="47" xr10:uidLastSave="{00000000-0000-0000-0000-000000000000}"/>
  <bookViews>
    <workbookView xWindow="1536" yWindow="1536" windowWidth="17280" windowHeight="8880" tabRatio="500" activeTab="1" xr2:uid="{00000000-000D-0000-FFFF-FFFF00000000}"/>
  </bookViews>
  <sheets>
    <sheet name="Supuestos" sheetId="1" r:id="rId1"/>
    <sheet name="Resumen" sheetId="2" r:id="rId2"/>
    <sheet name="Pesimista" sheetId="3" r:id="rId3"/>
    <sheet name="Base" sheetId="4" r:id="rId4"/>
    <sheet name="Optimista" sheetId="5" r:id="rId5"/>
    <sheet name="Sensibilidad" sheetId="6" r:id="rId6"/>
    <sheet name="Reverse DCF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7" l="1"/>
  <c r="C13" i="6"/>
  <c r="C12" i="6"/>
  <c r="H27" i="5"/>
  <c r="C17" i="5"/>
  <c r="C25" i="5" s="1"/>
  <c r="G5" i="5"/>
  <c r="G8" i="2" s="1"/>
  <c r="E5" i="5"/>
  <c r="D8" i="2" s="1"/>
  <c r="C5" i="5"/>
  <c r="G27" i="5" s="1"/>
  <c r="C17" i="4"/>
  <c r="C24" i="4" s="1"/>
  <c r="G5" i="4"/>
  <c r="E5" i="4"/>
  <c r="C9" i="7" s="1"/>
  <c r="C5" i="4"/>
  <c r="F27" i="4" s="1"/>
  <c r="F27" i="3"/>
  <c r="C18" i="3"/>
  <c r="C17" i="3"/>
  <c r="C24" i="3" s="1"/>
  <c r="G5" i="3"/>
  <c r="G6" i="2" s="1"/>
  <c r="E5" i="3"/>
  <c r="C5" i="3"/>
  <c r="E27" i="3" s="1"/>
  <c r="C29" i="2"/>
  <c r="F22" i="2"/>
  <c r="F21" i="2"/>
  <c r="D21" i="2"/>
  <c r="F20" i="2"/>
  <c r="D20" i="2"/>
  <c r="E16" i="2"/>
  <c r="D16" i="2"/>
  <c r="C15" i="2"/>
  <c r="D15" i="2" s="1"/>
  <c r="C13" i="2"/>
  <c r="E13" i="2" s="1"/>
  <c r="C12" i="2"/>
  <c r="E12" i="2" s="1"/>
  <c r="C8" i="2"/>
  <c r="G7" i="2"/>
  <c r="D7" i="2"/>
  <c r="C7" i="2"/>
  <c r="D6" i="2"/>
  <c r="C6" i="2"/>
  <c r="C29" i="1"/>
  <c r="D27" i="1"/>
  <c r="C27" i="1"/>
  <c r="D25" i="1"/>
  <c r="C25" i="1"/>
  <c r="F23" i="2" s="1"/>
  <c r="C24" i="1"/>
  <c r="D28" i="1" s="1"/>
  <c r="E15" i="2" l="1"/>
  <c r="D17" i="5"/>
  <c r="D24" i="5" s="1"/>
  <c r="G27" i="4"/>
  <c r="F25" i="2"/>
  <c r="F24" i="2"/>
  <c r="C28" i="2"/>
  <c r="C21" i="3"/>
  <c r="C25" i="3"/>
  <c r="G27" i="3"/>
  <c r="D17" i="4"/>
  <c r="H27" i="4"/>
  <c r="E17" i="5"/>
  <c r="C18" i="5"/>
  <c r="C22" i="5"/>
  <c r="I27" i="5"/>
  <c r="C21" i="4"/>
  <c r="C25" i="4"/>
  <c r="D17" i="3"/>
  <c r="H27" i="3"/>
  <c r="C18" i="4"/>
  <c r="C22" i="4"/>
  <c r="I27" i="4"/>
  <c r="D18" i="5"/>
  <c r="D22" i="5"/>
  <c r="J27" i="5"/>
  <c r="C22" i="3"/>
  <c r="I27" i="3"/>
  <c r="J27" i="4"/>
  <c r="C23" i="5"/>
  <c r="C27" i="5"/>
  <c r="K27" i="5"/>
  <c r="C8" i="7"/>
  <c r="D21" i="5"/>
  <c r="D25" i="5"/>
  <c r="C26" i="1"/>
  <c r="D23" i="2" s="1"/>
  <c r="D26" i="1"/>
  <c r="D12" i="2"/>
  <c r="D22" i="2"/>
  <c r="J27" i="3"/>
  <c r="C23" i="4"/>
  <c r="C27" i="4"/>
  <c r="K27" i="4"/>
  <c r="D23" i="5"/>
  <c r="D27" i="5"/>
  <c r="L27" i="5"/>
  <c r="C35" i="5"/>
  <c r="C19" i="3"/>
  <c r="C20" i="3" s="1"/>
  <c r="C23" i="3"/>
  <c r="C27" i="3"/>
  <c r="K27" i="3"/>
  <c r="D27" i="4"/>
  <c r="L27" i="4"/>
  <c r="C35" i="4"/>
  <c r="C24" i="5"/>
  <c r="E27" i="5"/>
  <c r="C28" i="1"/>
  <c r="D13" i="2"/>
  <c r="D27" i="3"/>
  <c r="L27" i="3"/>
  <c r="C35" i="3"/>
  <c r="E27" i="4"/>
  <c r="F27" i="5"/>
  <c r="C21" i="5"/>
  <c r="C19" i="4" l="1"/>
  <c r="C20" i="4" s="1"/>
  <c r="C26" i="4" s="1"/>
  <c r="E24" i="5"/>
  <c r="E23" i="5"/>
  <c r="E22" i="5"/>
  <c r="E18" i="5"/>
  <c r="F17" i="5"/>
  <c r="E25" i="5"/>
  <c r="E21" i="5"/>
  <c r="D24" i="3"/>
  <c r="D23" i="3"/>
  <c r="D22" i="3"/>
  <c r="D18" i="3"/>
  <c r="E17" i="3"/>
  <c r="D25" i="3"/>
  <c r="D21" i="3"/>
  <c r="D24" i="4"/>
  <c r="D23" i="4"/>
  <c r="D22" i="4"/>
  <c r="D18" i="4"/>
  <c r="E17" i="4"/>
  <c r="D25" i="4"/>
  <c r="D21" i="4"/>
  <c r="D20" i="5"/>
  <c r="D26" i="5" s="1"/>
  <c r="D28" i="5" s="1"/>
  <c r="D19" i="5"/>
  <c r="C19" i="5"/>
  <c r="C20" i="5" s="1"/>
  <c r="C26" i="5" s="1"/>
  <c r="C28" i="5" s="1"/>
  <c r="C26" i="3"/>
  <c r="C28" i="3" s="1"/>
  <c r="C28" i="4" l="1"/>
  <c r="C7" i="7"/>
  <c r="C13" i="7" s="1"/>
  <c r="F23" i="5"/>
  <c r="F22" i="5"/>
  <c r="F18" i="5"/>
  <c r="F24" i="5"/>
  <c r="G17" i="5"/>
  <c r="F25" i="5"/>
  <c r="F21" i="5"/>
  <c r="E19" i="5"/>
  <c r="E20" i="5" s="1"/>
  <c r="E26" i="5" s="1"/>
  <c r="E28" i="5" s="1"/>
  <c r="D20" i="3"/>
  <c r="D26" i="3" s="1"/>
  <c r="D28" i="3" s="1"/>
  <c r="D19" i="3"/>
  <c r="E23" i="3"/>
  <c r="E22" i="3"/>
  <c r="E18" i="3"/>
  <c r="F17" i="3"/>
  <c r="E25" i="3"/>
  <c r="E21" i="3"/>
  <c r="E24" i="3"/>
  <c r="E23" i="4"/>
  <c r="E22" i="4"/>
  <c r="E18" i="4"/>
  <c r="F17" i="4"/>
  <c r="E25" i="4"/>
  <c r="E21" i="4"/>
  <c r="E24" i="4"/>
  <c r="D19" i="4"/>
  <c r="D20" i="4" s="1"/>
  <c r="D26" i="4" s="1"/>
  <c r="D28" i="4" s="1"/>
  <c r="E19" i="3" l="1"/>
  <c r="E20" i="3"/>
  <c r="E26" i="3" s="1"/>
  <c r="E28" i="3" s="1"/>
  <c r="F19" i="5"/>
  <c r="F20" i="5"/>
  <c r="F26" i="5" s="1"/>
  <c r="F28" i="5" s="1"/>
  <c r="F23" i="3"/>
  <c r="F22" i="3"/>
  <c r="F18" i="3"/>
  <c r="G17" i="3"/>
  <c r="F25" i="3"/>
  <c r="F21" i="3"/>
  <c r="F24" i="3"/>
  <c r="C14" i="7"/>
  <c r="D13" i="7"/>
  <c r="F23" i="4"/>
  <c r="F22" i="4"/>
  <c r="F18" i="4"/>
  <c r="G17" i="4"/>
  <c r="F25" i="4"/>
  <c r="F21" i="4"/>
  <c r="F24" i="4"/>
  <c r="E19" i="4"/>
  <c r="E20" i="4" s="1"/>
  <c r="E26" i="4" s="1"/>
  <c r="E28" i="4" s="1"/>
  <c r="G23" i="5"/>
  <c r="G22" i="5"/>
  <c r="G18" i="5"/>
  <c r="H17" i="5"/>
  <c r="G25" i="5"/>
  <c r="G21" i="5"/>
  <c r="G24" i="5"/>
  <c r="G19" i="5" l="1"/>
  <c r="G20" i="5"/>
  <c r="G26" i="5" s="1"/>
  <c r="G28" i="5" s="1"/>
  <c r="F19" i="4"/>
  <c r="F20" i="4" s="1"/>
  <c r="F26" i="4" s="1"/>
  <c r="F28" i="4" s="1"/>
  <c r="D14" i="7"/>
  <c r="E13" i="7"/>
  <c r="H22" i="5"/>
  <c r="H18" i="5"/>
  <c r="I17" i="5"/>
  <c r="H25" i="5"/>
  <c r="H21" i="5"/>
  <c r="H23" i="5"/>
  <c r="H24" i="5"/>
  <c r="G22" i="4"/>
  <c r="G18" i="4"/>
  <c r="H17" i="4"/>
  <c r="G25" i="4"/>
  <c r="G21" i="4"/>
  <c r="G24" i="4"/>
  <c r="G23" i="4"/>
  <c r="G22" i="3"/>
  <c r="G18" i="3"/>
  <c r="H17" i="3"/>
  <c r="G25" i="3"/>
  <c r="G21" i="3"/>
  <c r="G24" i="3"/>
  <c r="G23" i="3"/>
  <c r="F19" i="3"/>
  <c r="F20" i="3" s="1"/>
  <c r="F26" i="3" s="1"/>
  <c r="F28" i="3" s="1"/>
  <c r="I22" i="5" l="1"/>
  <c r="I18" i="5"/>
  <c r="J17" i="5"/>
  <c r="I25" i="5"/>
  <c r="I21" i="5"/>
  <c r="I24" i="5"/>
  <c r="I23" i="5"/>
  <c r="H22" i="4"/>
  <c r="H18" i="4"/>
  <c r="I17" i="4"/>
  <c r="H25" i="4"/>
  <c r="H21" i="4"/>
  <c r="H24" i="4"/>
  <c r="H23" i="4"/>
  <c r="H19" i="5"/>
  <c r="H20" i="5" s="1"/>
  <c r="H26" i="5" s="1"/>
  <c r="H28" i="5" s="1"/>
  <c r="G19" i="4"/>
  <c r="G20" i="4" s="1"/>
  <c r="G26" i="4" s="1"/>
  <c r="G28" i="4" s="1"/>
  <c r="I17" i="3"/>
  <c r="H18" i="3"/>
  <c r="H25" i="3"/>
  <c r="H21" i="3"/>
  <c r="H22" i="3"/>
  <c r="H24" i="3"/>
  <c r="H23" i="3"/>
  <c r="G20" i="3"/>
  <c r="G26" i="3" s="1"/>
  <c r="G28" i="3" s="1"/>
  <c r="G19" i="3"/>
  <c r="F13" i="7"/>
  <c r="E14" i="7"/>
  <c r="H19" i="3" l="1"/>
  <c r="H20" i="3" s="1"/>
  <c r="H26" i="3" s="1"/>
  <c r="H28" i="3" s="1"/>
  <c r="F14" i="7"/>
  <c r="G13" i="7"/>
  <c r="I25" i="3"/>
  <c r="I21" i="3"/>
  <c r="J17" i="3"/>
  <c r="I24" i="3"/>
  <c r="I23" i="3"/>
  <c r="I22" i="3"/>
  <c r="I18" i="3"/>
  <c r="K17" i="5"/>
  <c r="J25" i="5"/>
  <c r="J21" i="5"/>
  <c r="J24" i="5"/>
  <c r="J22" i="5"/>
  <c r="J18" i="5"/>
  <c r="J23" i="5"/>
  <c r="I20" i="5"/>
  <c r="I26" i="5" s="1"/>
  <c r="I28" i="5" s="1"/>
  <c r="I19" i="5"/>
  <c r="H19" i="4"/>
  <c r="H20" i="4" s="1"/>
  <c r="H26" i="4" s="1"/>
  <c r="H28" i="4" s="1"/>
  <c r="J17" i="4"/>
  <c r="I25" i="4"/>
  <c r="I21" i="4"/>
  <c r="I24" i="4"/>
  <c r="I23" i="4"/>
  <c r="I22" i="4"/>
  <c r="I18" i="4"/>
  <c r="J21" i="3" l="1"/>
  <c r="J24" i="3"/>
  <c r="J25" i="3"/>
  <c r="J23" i="3"/>
  <c r="J22" i="3"/>
  <c r="J18" i="3"/>
  <c r="K17" i="3"/>
  <c r="G14" i="7"/>
  <c r="H13" i="7"/>
  <c r="J25" i="4"/>
  <c r="J21" i="4"/>
  <c r="J24" i="4"/>
  <c r="J23" i="4"/>
  <c r="K17" i="4"/>
  <c r="J22" i="4"/>
  <c r="J18" i="4"/>
  <c r="I19" i="4"/>
  <c r="I20" i="4" s="1"/>
  <c r="I26" i="4" s="1"/>
  <c r="I28" i="4" s="1"/>
  <c r="K25" i="5"/>
  <c r="K21" i="5"/>
  <c r="K24" i="5"/>
  <c r="L17" i="5"/>
  <c r="K23" i="5"/>
  <c r="K22" i="5"/>
  <c r="K18" i="5"/>
  <c r="J19" i="5"/>
  <c r="J20" i="5" s="1"/>
  <c r="J26" i="5" s="1"/>
  <c r="J28" i="5" s="1"/>
  <c r="I19" i="3"/>
  <c r="I20" i="3" s="1"/>
  <c r="I26" i="3" s="1"/>
  <c r="I28" i="3" s="1"/>
  <c r="K24" i="3" l="1"/>
  <c r="K23" i="3"/>
  <c r="K22" i="3"/>
  <c r="K18" i="3"/>
  <c r="L17" i="3"/>
  <c r="K25" i="3"/>
  <c r="K21" i="3"/>
  <c r="L24" i="5"/>
  <c r="L23" i="5"/>
  <c r="L25" i="5"/>
  <c r="L21" i="5"/>
  <c r="L22" i="5"/>
  <c r="L18" i="5"/>
  <c r="J19" i="3"/>
  <c r="J20" i="3" s="1"/>
  <c r="J26" i="3" s="1"/>
  <c r="J28" i="3" s="1"/>
  <c r="H14" i="7"/>
  <c r="I13" i="7"/>
  <c r="K24" i="4"/>
  <c r="K23" i="4"/>
  <c r="K22" i="4"/>
  <c r="K18" i="4"/>
  <c r="K25" i="4"/>
  <c r="K21" i="4"/>
  <c r="L17" i="4"/>
  <c r="K19" i="5"/>
  <c r="K20" i="5" s="1"/>
  <c r="K26" i="5" s="1"/>
  <c r="K28" i="5" s="1"/>
  <c r="J19" i="4"/>
  <c r="J20" i="4" s="1"/>
  <c r="J26" i="4" s="1"/>
  <c r="J28" i="4" s="1"/>
  <c r="K19" i="3" l="1"/>
  <c r="K20" i="3" s="1"/>
  <c r="K26" i="3" s="1"/>
  <c r="K28" i="3" s="1"/>
  <c r="L24" i="4"/>
  <c r="L23" i="4"/>
  <c r="L22" i="4"/>
  <c r="L18" i="4"/>
  <c r="L25" i="4"/>
  <c r="L21" i="4"/>
  <c r="K19" i="4"/>
  <c r="K20" i="4" s="1"/>
  <c r="K26" i="4" s="1"/>
  <c r="K28" i="4" s="1"/>
  <c r="L19" i="5"/>
  <c r="L20" i="5" s="1"/>
  <c r="L26" i="5" s="1"/>
  <c r="L23" i="3"/>
  <c r="L24" i="3"/>
  <c r="L22" i="3"/>
  <c r="L18" i="3"/>
  <c r="L25" i="3"/>
  <c r="L21" i="3"/>
  <c r="I14" i="7"/>
  <c r="J13" i="7"/>
  <c r="L28" i="5" l="1"/>
  <c r="C30" i="5" s="1"/>
  <c r="C31" i="5"/>
  <c r="C32" i="5" s="1"/>
  <c r="L19" i="4"/>
  <c r="L20" i="4" s="1"/>
  <c r="L26" i="4" s="1"/>
  <c r="J14" i="7"/>
  <c r="K13" i="7"/>
  <c r="L19" i="3"/>
  <c r="L20" i="3" s="1"/>
  <c r="L26" i="3" s="1"/>
  <c r="C31" i="3" l="1"/>
  <c r="C32" i="3" s="1"/>
  <c r="L28" i="3"/>
  <c r="C30" i="3" s="1"/>
  <c r="C33" i="3" s="1"/>
  <c r="L28" i="4"/>
  <c r="C30" i="4" s="1"/>
  <c r="C31" i="4"/>
  <c r="C32" i="4" s="1"/>
  <c r="F9" i="6"/>
  <c r="D9" i="6"/>
  <c r="G8" i="6"/>
  <c r="C10" i="6"/>
  <c r="C8" i="6"/>
  <c r="F7" i="6"/>
  <c r="D7" i="6"/>
  <c r="E6" i="6"/>
  <c r="C6" i="6"/>
  <c r="D10" i="6"/>
  <c r="E8" i="6"/>
  <c r="G6" i="6"/>
  <c r="E9" i="6"/>
  <c r="C7" i="6"/>
  <c r="G9" i="6"/>
  <c r="G7" i="6"/>
  <c r="F10" i="6"/>
  <c r="D8" i="6"/>
  <c r="D6" i="6"/>
  <c r="C9" i="6"/>
  <c r="F6" i="6"/>
  <c r="F8" i="6"/>
  <c r="E7" i="6"/>
  <c r="G10" i="6"/>
  <c r="E10" i="6"/>
  <c r="K14" i="7"/>
  <c r="L13" i="7"/>
  <c r="C33" i="5"/>
  <c r="C36" i="5" l="1"/>
  <c r="C37" i="5" s="1"/>
  <c r="C39" i="5"/>
  <c r="C40" i="5" s="1"/>
  <c r="C34" i="5"/>
  <c r="L14" i="7"/>
  <c r="C16" i="7" s="1"/>
  <c r="C17" i="7"/>
  <c r="C18" i="7" s="1"/>
  <c r="C16" i="6"/>
  <c r="C15" i="6"/>
  <c r="C14" i="6"/>
  <c r="C33" i="4"/>
  <c r="C36" i="3"/>
  <c r="C37" i="3" s="1"/>
  <c r="C39" i="3"/>
  <c r="C40" i="3" s="1"/>
  <c r="C34" i="3"/>
  <c r="C41" i="3" l="1"/>
  <c r="F6" i="2"/>
  <c r="F8" i="2"/>
  <c r="C41" i="5"/>
  <c r="C19" i="7"/>
  <c r="C20" i="7" s="1"/>
  <c r="C21" i="7" s="1"/>
  <c r="C23" i="7" s="1"/>
  <c r="E6" i="2"/>
  <c r="C38" i="3"/>
  <c r="C36" i="4"/>
  <c r="C37" i="4" s="1"/>
  <c r="C39" i="4"/>
  <c r="C40" i="4" s="1"/>
  <c r="C34" i="4"/>
  <c r="C38" i="5"/>
  <c r="E8" i="2"/>
  <c r="E7" i="2" l="1"/>
  <c r="C38" i="4"/>
  <c r="C20" i="6"/>
  <c r="E9" i="2"/>
  <c r="C41" i="4"/>
  <c r="C27" i="2"/>
  <c r="C30" i="2" s="1"/>
  <c r="C14" i="2" s="1"/>
  <c r="F7" i="2"/>
  <c r="F9" i="2" s="1"/>
  <c r="E14" i="2" l="1"/>
  <c r="D14" i="2"/>
</calcChain>
</file>

<file path=xl/sharedStrings.xml><?xml version="1.0" encoding="utf-8"?>
<sst xmlns="http://schemas.openxmlformats.org/spreadsheetml/2006/main" count="288" uniqueCount="166">
  <si>
    <t>Modelo DCF — Netflix, Inc. (NFLX)</t>
  </si>
  <si>
    <t>PARÁMETROS GENERALES</t>
  </si>
  <si>
    <t>Valor</t>
  </si>
  <si>
    <t>Origen / justificación</t>
  </si>
  <si>
    <t>Precio de mercado (USD/acción)</t>
  </si>
  <si>
    <t>Cierre del 14/09/2026. Fuente: StockAnalysis.com. El informe adjunto se redactó el 20/08/2026 con un precio de 80,14 USD.</t>
  </si>
  <si>
    <t>Precio de entrada del inversor (USD)</t>
  </si>
  <si>
    <t>Dato facilitado por el inversor</t>
  </si>
  <si>
    <t>Precio objetivo del inversor (USD)</t>
  </si>
  <si>
    <t>Acciones en circulación (millones)</t>
  </si>
  <si>
    <t>Post-split 10:1. Fuente: StockAnalysis.com</t>
  </si>
  <si>
    <t>Acciones diluidas (millones)</t>
  </si>
  <si>
    <t>Estimación propia: circulación más dilución previsible por retribución en acciones. Denominador único de todas las valoraciones por acción.</t>
  </si>
  <si>
    <t>Deuda financiera total (M USD)</t>
  </si>
  <si>
    <t>Balance a 30/06/2026</t>
  </si>
  <si>
    <t>Caja e inversiones a corto (M USD)</t>
  </si>
  <si>
    <t>Ingresos 2025 (M USD) — año base</t>
  </si>
  <si>
    <t>Cuentas anuales 2025 de Netflix</t>
  </si>
  <si>
    <t>Margen operativo 2025</t>
  </si>
  <si>
    <t>Resultado operativo de 13.327 M USD</t>
  </si>
  <si>
    <t>FCF reportado TTM jun-26 (M USD)</t>
  </si>
  <si>
    <t>Incluye 2.800 M USD de la comisión de WBD</t>
  </si>
  <si>
    <t>Comisión de rescisión de WBD (M USD)</t>
  </si>
  <si>
    <t>Cobro no recurrente registrado en el Q1 2026</t>
  </si>
  <si>
    <t>FCF 2026E guiado por la compañía (M USD)</t>
  </si>
  <si>
    <t>Guía de la dirección para el ejercicio 2026</t>
  </si>
  <si>
    <t>Liberación de fondo de maniobra (% del incremento de ingresos)</t>
  </si>
  <si>
    <t>Supuesto propio: ingresos diferidos por suscripción</t>
  </si>
  <si>
    <t>Intereses después de impuestos (M USD)</t>
  </si>
  <si>
    <t>Ajuste para desapalancar el FCF reportado</t>
  </si>
  <si>
    <t>MÉTRICAS DERIVADAS</t>
  </si>
  <si>
    <t>Fórmula</t>
  </si>
  <si>
    <t>Capitalización bursátil (M USD)</t>
  </si>
  <si>
    <t>Sobre 4.164 M acciones en circulación (base de mercado). El valor por acción se calcula sobre 4.200 M diluidas: criterio conservador, declarado aquí a propósito.</t>
  </si>
  <si>
    <t>Deuda neta (M USD)</t>
  </si>
  <si>
    <t>Enterprise Value actual (M USD)</t>
  </si>
  <si>
    <t>FCF 2026E subyacente ex comisión WBD (M USD)</t>
  </si>
  <si>
    <t>Rentabilidad del FCF subyacente</t>
  </si>
  <si>
    <t>FCFF económico 2026E implícito (M USD)</t>
  </si>
  <si>
    <t>FCF subyacente + intereses después de impuestos (desapalancado)</t>
  </si>
  <si>
    <t>PARÁMETROS DE VALORACIÓN POR ESCENARIO</t>
  </si>
  <si>
    <t>WACC</t>
  </si>
  <si>
    <t>g terminal</t>
  </si>
  <si>
    <t>Peso</t>
  </si>
  <si>
    <t>Pesimista</t>
  </si>
  <si>
    <t>Coste de capital penalizado por deterioro estructural del engagement.</t>
  </si>
  <si>
    <t>Base</t>
  </si>
  <si>
    <t>Rf 4,2% + beta 1,10 x PRM 5,0%; estructura 95,2% FP / 4,8% deuda a valor de mercado. Con la beta estadística de 1,51 el WACC sería 11,4%.</t>
  </si>
  <si>
    <t>Optimista</t>
  </si>
  <si>
    <t>Coste de capital de un negocio de suscripción maduro y rentable.</t>
  </si>
  <si>
    <t>Los tres escenarios leen su WACC, su g y su peso de este bloque. Cambiar aquí recalcula todo el libro, incluida la matriz de sensibilidad.</t>
  </si>
  <si>
    <t>Resumen de valoración — Netflix, Inc. (NFLX)</t>
  </si>
  <si>
    <t>Escenario</t>
  </si>
  <si>
    <t>Valor hoy</t>
  </si>
  <si>
    <t>Valor rodado 24m</t>
  </si>
  <si>
    <t>VALOR RAZONABLE PONDERADO</t>
  </si>
  <si>
    <t>REFERENCIAS DE PRECIO</t>
  </si>
  <si>
    <t>Sobre entrada</t>
  </si>
  <si>
    <t>Sobre precio actual</t>
  </si>
  <si>
    <t>Precio de mercado</t>
  </si>
  <si>
    <t>Precio de entrada del inversor</t>
  </si>
  <si>
    <t>Precio objetivo Warrants &amp; Co. (calculado)</t>
  </si>
  <si>
    <t>Media de los tres anclajes (fila 30), redondeada al múltiplo de 5 USD más próximo. Convención de la casa. Es el precio objetivo de Warrants &amp; Co.</t>
  </si>
  <si>
    <t>Precio objetivo del inversor</t>
  </si>
  <si>
    <t>Objetivo aportado por el inversor, no calculado por este modelo. Requiere el escenario optimista.</t>
  </si>
  <si>
    <t>Consenso de analistas (51)</t>
  </si>
  <si>
    <t>51 analistas; mediana 93,00; rango 70,00-135,00 USD. Fuente: StockAnalysis.com, consultado el 14/09/2026.</t>
  </si>
  <si>
    <t>VALORACIÓN POR MÚLTIPLOS</t>
  </si>
  <si>
    <t>Base de cálculo</t>
  </si>
  <si>
    <t>Múltiplo actual</t>
  </si>
  <si>
    <t>Múltiplo objetivo</t>
  </si>
  <si>
    <t>Valor por acción</t>
  </si>
  <si>
    <t>Origen del múltiplo objetivo</t>
  </si>
  <si>
    <t>PER 2026E subyacente (ex comisión WBD)</t>
  </si>
  <si>
    <t>29x: por debajo de la media de 5 años de la propia compañía (~40x) y de las 33x a las que cotiza Spotify con margen operativo muy inferior.</t>
  </si>
  <si>
    <t>BPA 2026E subyacente: consenso de 3,59 USD menos el efecto por acción de la comisión de WBD después de impuestos.</t>
  </si>
  <si>
    <t>PER 2027E</t>
  </si>
  <si>
    <t>26x: compresión del múltiplo 2026 conforme avanza el margen; equivale a mantener el PEG en torno a 1.</t>
  </si>
  <si>
    <t>BPA 2027E: estimación propia derivada del caso base, no del consenso.</t>
  </si>
  <si>
    <t>P/FCF 2026E subyacente</t>
  </si>
  <si>
    <t>38x: media aproximada de los últimos doce meses de la propia compañía sobre FCF subyacente.</t>
  </si>
  <si>
    <t>FCF 2026E subyacente: guía de 12.500 M USD menos los 2.800 M de la comisión de rescisión de WBD.</t>
  </si>
  <si>
    <t>EV/Ventas 2026E</t>
  </si>
  <si>
    <t>7,5x: entre las 6,67x actuales y el techo del rango histórico de NFLX; muy por encima de Spotify (4,94x) y Disney (2,29x) por margen.</t>
  </si>
  <si>
    <t>Ingresos 2026E: caso base (45.183 x 1,133), dentro de la guía de 51.000-51.400 M USD.</t>
  </si>
  <si>
    <t>Rango por múltiplos — mínimo</t>
  </si>
  <si>
    <t>Rango por múltiplos — máximo</t>
  </si>
  <si>
    <t>PRECIO OBJETIVO — media de los tres anclajes</t>
  </si>
  <si>
    <t>DCF base rodado a 24 meses</t>
  </si>
  <si>
    <t>Mediana de la valoración por múltiplos</t>
  </si>
  <si>
    <t>Consenso de analistas</t>
  </si>
  <si>
    <t>Objetivo calculado (media)</t>
  </si>
  <si>
    <t>Aviso de alcance: documento de trabajo de carácter analítico. No constituye recomendación de inversión, asesoramiento financiero ni oferta de compra o venta de valores.</t>
  </si>
  <si>
    <t>Escenario pesimista — Proyección 2026E-2035E (M USD)</t>
  </si>
  <si>
    <t>Crecimiento terminal (g)</t>
  </si>
  <si>
    <t>Peso en el valor razonable</t>
  </si>
  <si>
    <t>Concepto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</si>
  <si>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</si>
  <si>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</si>
  <si>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</si>
  <si>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</si>
  <si>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</si>
  <si>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</si>
  <si>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</si>
  <si>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</si>
  <si>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</si>
  <si>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</si>
  <si>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Crecimiento de ingresos</t>
  </si>
  <si>
    <t>Margen operativo</t>
  </si>
  <si>
    <t>Tipo impositivo efectivo en caja</t>
  </si>
  <si>
    <t>Amortizaciones no de contenido (% ingresos)</t>
  </si>
  <si>
    <t>Capex (% ingresos)</t>
  </si>
  <si>
    <t>Desfase contenido: gasto en caja − amortización (% ingresos)</t>
  </si>
  <si>
    <t>Retribución en acciones (% ingresos)</t>
  </si>
  <si>
    <t>CÁLCULO DEL FLUJO DE CAJA</t>
  </si>
  <si>
    <t>Ingresos</t>
  </si>
  <si>
    <t>Resultado operativo (EBIT)</t>
  </si>
  <si>
    <t>(-) Impuestos en caja</t>
  </si>
  <si>
    <t>NOPAT</t>
  </si>
  <si>
    <t>(+) Amortizaciones no de contenido</t>
  </si>
  <si>
    <t>(-) Capex</t>
  </si>
  <si>
    <t>(-) Inversión neta en contenido</t>
  </si>
  <si>
    <t>(-) Retribución en acciones</t>
  </si>
  <si>
    <t>(+/-) Fondo de maniobra</t>
  </si>
  <si>
    <t>FLUJO DE CAJA LIBRE PARA LA FIRMA (FCFF)</t>
  </si>
  <si>
    <t>Factor de descuento</t>
  </si>
  <si>
    <t>Valor actual del flujo</t>
  </si>
  <si>
    <t>Suma del valor actual de los flujos explícitos</t>
  </si>
  <si>
    <t>Valor terminal (Gordon)</t>
  </si>
  <si>
    <t>Valor actual del valor terminal</t>
  </si>
  <si>
    <t>VALOR DE EMPRESA (EV)</t>
  </si>
  <si>
    <t>Peso del valor terminal sobre el EV</t>
  </si>
  <si>
    <t>(-) Deuda neta</t>
  </si>
  <si>
    <t>VALOR DE LOS FONDOS PROPIOS</t>
  </si>
  <si>
    <t>VALOR POR ACCIÓN — HOY (USD)</t>
  </si>
  <si>
    <t>Recorrido sobre el precio actual</t>
  </si>
  <si>
    <t>EV rodado a cierre de 2027</t>
  </si>
  <si>
    <t>VALOR POR ACCIÓN — RODADO 24 MESES (USD)</t>
  </si>
  <si>
    <t>Sobre las mismas 4.200 M acciones. A 24 meses la recompra habrá retirado en torno a un 5-6% del capital, de modo que esta cifra está conservadoramente infravalorada en esa magnitud. No se ajusta para no introducir un supuesto de precio medio de recompra.</t>
  </si>
  <si>
    <t>Recorrido rodado sobre la entrada de 75,50</t>
  </si>
  <si>
    <t>Escenario base — Proyección 2026E-2035E (M USD)</t>
  </si>
  <si>
    <t>Escenario optimista — Proyección 2026E-2035E (M USD)</t>
  </si>
  <si>
    <t>Sensibilidad del caso base — WACC frente a crecimiento terminal (calculada, no introducida)</t>
  </si>
  <si>
    <t>WACC \ g</t>
  </si>
  <si>
    <t>Valor mínimo de la matriz</t>
  </si>
  <si>
    <t>Valor máximo de la matriz</t>
  </si>
  <si>
    <t>Celdas de la matriz por encima de la entrada</t>
  </si>
  <si>
    <t>Cada celda descuenta la serie de FCFF del caso base con el WACC de su fila y capitaliza el flujo de 2035 al crecimiento terminal de su columna. Depende del caso base: si se cambian sus supuestos operativos, la matriz se mueve con ellos.</t>
  </si>
  <si>
    <t>Comprobación: la celda WACC 9,50% / g 3,25% debe coincidir con Base!C37.</t>
  </si>
  <si>
    <t>Caso base (Base!C37)</t>
  </si>
  <si>
    <t>Reverse DCF — Crecimiento implícito en cada nivel de precio</t>
  </si>
  <si>
    <t>Parámetro</t>
  </si>
  <si>
    <t>Crecimiento constante de FCFF (entrada)</t>
  </si>
  <si>
    <t>Crecimiento constante que iguala el valor por acción al cierre del 14/09/2026 (80,32 USD). Recalibrado al actualizar el precio.</t>
  </si>
  <si>
    <t>FCFF de partida 2026E (M USD)</t>
  </si>
  <si>
    <t>Crecimiento terminal</t>
  </si>
  <si>
    <t>Año</t>
  </si>
  <si>
    <t>FCFF proyectado</t>
  </si>
  <si>
    <t>Valor actual</t>
  </si>
  <si>
    <t>Suma del valor actual de los flujos</t>
  </si>
  <si>
    <t>Valor terminal</t>
  </si>
  <si>
    <t>Valor de empresa implícito</t>
  </si>
  <si>
    <t>Valor de los fondos propios</t>
  </si>
  <si>
    <t>Valor por acción implícito</t>
  </si>
  <si>
    <t>Diferencia</t>
  </si>
  <si>
    <t>El crecimiento implícito es constante durante diez años; el caso base usa una senda decreciente. Para compararlos hay que usar el CAGR del FCFF del caso base (14,21%), no sus tasas anuales.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</si>
</sst>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#,##0;\(#,##0\);\-"/>
    <numFmt numFmtId="166" formatCode="0.0%"/>
    <numFmt numFmtId="167" formatCode="0.00\x"/>
    <numFmt numFmtId="168" formatCode="0.000"/>
  </numFmts>
  <fonts count="12" x14ac:knownFonts="1">
    <font>
      <sz val="11"/>
      <color theme="1"/>
      <name val="Calibri"/>
      <family val="2"/>
      <charset val="1"/>
    </font>
    <font>
      <i/>
      <sz val="8"/>
      <color rgb="FF595959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3"/>
      <color rgb="FF1F3864"/>
      <name val="Arial"/>
      <family val="2"/>
    </font>
    <font>
      <b/>
      <sz val="11"/>
      <color rgb="FF1F3864"/>
      <name val="Calibri"/>
    </font>
    <font>
      <sz val="11"/>
      <color rgb="FF0000FF"/>
      <name val="Calibri"/>
    </font>
    <font>
      <i/>
      <sz val="9"/>
      <color rgb="FF595959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0" fontId="3" fillId="2" borderId="0" xfId="0" applyFont="1" applyFill="1" applyAlignment="1">
      <alignment horizontal="center"/>
    </xf>
    <xf numFmtId="164" fontId="4" fillId="0" borderId="1" xfId="0" applyNumberFormat="1" applyFont="1" applyBorder="1"/>
    <xf numFmtId="0" fontId="6" fillId="0" borderId="0" xfId="0" applyFont="1"/>
    <xf numFmtId="164" fontId="6" fillId="4" borderId="1" xfId="0" applyNumberFormat="1" applyFont="1" applyFill="1" applyBorder="1"/>
    <xf numFmtId="167" fontId="4" fillId="0" borderId="1" xfId="0" applyNumberFormat="1" applyFont="1" applyBorder="1"/>
    <xf numFmtId="167" fontId="5" fillId="3" borderId="1" xfId="0" applyNumberFormat="1" applyFont="1" applyFill="1" applyBorder="1"/>
    <xf numFmtId="164" fontId="6" fillId="0" borderId="1" xfId="0" applyNumberFormat="1" applyFont="1" applyBorder="1"/>
    <xf numFmtId="0" fontId="0" fillId="2" borderId="0" xfId="0" applyFill="1"/>
    <xf numFmtId="165" fontId="6" fillId="0" borderId="1" xfId="0" applyNumberFormat="1" applyFont="1" applyBorder="1"/>
    <xf numFmtId="168" fontId="4" fillId="0" borderId="1" xfId="0" applyNumberFormat="1" applyFont="1" applyBorder="1"/>
    <xf numFmtId="166" fontId="6" fillId="0" borderId="1" xfId="0" applyNumberFormat="1" applyFont="1" applyBorder="1"/>
    <xf numFmtId="0" fontId="4" fillId="0" borderId="1" xfId="0" applyFont="1" applyBorder="1"/>
    <xf numFmtId="0" fontId="7" fillId="0" borderId="0" xfId="0" applyFont="1"/>
    <xf numFmtId="0" fontId="8" fillId="0" borderId="0" xfId="0" applyFont="1"/>
    <xf numFmtId="10" fontId="9" fillId="5" borderId="0" xfId="0" applyNumberFormat="1" applyFont="1" applyFill="1"/>
    <xf numFmtId="166" fontId="9" fillId="5" borderId="0" xfId="0" applyNumberFormat="1" applyFont="1" applyFill="1"/>
    <xf numFmtId="0" fontId="10" fillId="0" borderId="0" xfId="0" applyFont="1"/>
    <xf numFmtId="10" fontId="11" fillId="0" borderId="1" xfId="0" applyNumberFormat="1" applyFont="1" applyBorder="1"/>
    <xf numFmtId="166" fontId="11" fillId="0" borderId="1" xfId="0" applyNumberFormat="1" applyFont="1" applyBorder="1"/>
    <xf numFmtId="10" fontId="11" fillId="0" borderId="0" xfId="0" applyNumberFormat="1" applyFont="1" applyAlignment="1">
      <alignment horizontal="center"/>
    </xf>
    <xf numFmtId="2" fontId="4" fillId="0" borderId="1" xfId="0" applyNumberFormat="1" applyFont="1" applyBorder="1"/>
    <xf numFmtId="2" fontId="6" fillId="0" borderId="1" xfId="0" applyNumberFormat="1" applyFont="1" applyBorder="1"/>
    <xf numFmtId="2" fontId="0" fillId="0" borderId="0" xfId="0" applyNumberFormat="1"/>
    <xf numFmtId="10" fontId="9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6"/>
  <sheetViews>
    <sheetView showGridLines="0" zoomScaleNormal="100" workbookViewId="0">
      <selection activeCell="B36" sqref="B36"/>
    </sheetView>
  </sheetViews>
  <sheetFormatPr baseColWidth="10" defaultColWidth="8.6640625" defaultRowHeight="14.4" x14ac:dyDescent="0.3"/>
  <cols>
    <col min="1" max="1" width="2" customWidth="1"/>
    <col min="2" max="2" width="54" customWidth="1"/>
    <col min="3" max="3" width="16" customWidth="1"/>
    <col min="4" max="4" width="76" customWidth="1"/>
  </cols>
  <sheetData>
    <row r="2" spans="2:4" ht="16.95" customHeight="1" x14ac:dyDescent="0.3">
      <c r="B2" s="22" t="s">
        <v>0</v>
      </c>
    </row>
    <row r="3" spans="2:4" x14ac:dyDescent="0.3">
      <c r="B3" s="1"/>
    </row>
    <row r="5" spans="2:4" x14ac:dyDescent="0.3">
      <c r="B5" s="2"/>
    </row>
    <row r="7" spans="2:4" x14ac:dyDescent="0.3">
      <c r="B7" s="3" t="s">
        <v>1</v>
      </c>
      <c r="C7" s="3" t="s">
        <v>2</v>
      </c>
      <c r="D7" s="3" t="s">
        <v>3</v>
      </c>
    </row>
    <row r="8" spans="2:4" x14ac:dyDescent="0.3">
      <c r="B8" s="4" t="s">
        <v>4</v>
      </c>
      <c r="C8" s="5">
        <v>80.319999999999993</v>
      </c>
      <c r="D8" s="1" t="s">
        <v>5</v>
      </c>
    </row>
    <row r="9" spans="2:4" x14ac:dyDescent="0.3">
      <c r="B9" s="4" t="s">
        <v>6</v>
      </c>
      <c r="C9" s="5">
        <v>75.5</v>
      </c>
      <c r="D9" s="1" t="s">
        <v>7</v>
      </c>
    </row>
    <row r="10" spans="2:4" x14ac:dyDescent="0.3">
      <c r="B10" s="4" t="s">
        <v>8</v>
      </c>
      <c r="C10" s="5">
        <v>100</v>
      </c>
      <c r="D10" s="1" t="s">
        <v>7</v>
      </c>
    </row>
    <row r="11" spans="2:4" x14ac:dyDescent="0.3">
      <c r="B11" s="4" t="s">
        <v>9</v>
      </c>
      <c r="C11" s="6">
        <v>4164</v>
      </c>
      <c r="D11" s="1" t="s">
        <v>10</v>
      </c>
    </row>
    <row r="12" spans="2:4" x14ac:dyDescent="0.3">
      <c r="B12" s="4" t="s">
        <v>11</v>
      </c>
      <c r="C12" s="6">
        <v>4200</v>
      </c>
      <c r="D12" s="1" t="s">
        <v>12</v>
      </c>
    </row>
    <row r="13" spans="2:4" x14ac:dyDescent="0.3">
      <c r="B13" s="4" t="s">
        <v>13</v>
      </c>
      <c r="C13" s="6">
        <v>16655</v>
      </c>
      <c r="D13" s="1" t="s">
        <v>14</v>
      </c>
    </row>
    <row r="14" spans="2:4" x14ac:dyDescent="0.3">
      <c r="B14" s="4" t="s">
        <v>15</v>
      </c>
      <c r="C14" s="6">
        <v>9128</v>
      </c>
      <c r="D14" s="1" t="s">
        <v>14</v>
      </c>
    </row>
    <row r="15" spans="2:4" x14ac:dyDescent="0.3">
      <c r="B15" s="4" t="s">
        <v>16</v>
      </c>
      <c r="C15" s="6">
        <v>45183</v>
      </c>
      <c r="D15" s="1" t="s">
        <v>17</v>
      </c>
    </row>
    <row r="16" spans="2:4" x14ac:dyDescent="0.3">
      <c r="B16" s="4" t="s">
        <v>18</v>
      </c>
      <c r="C16" s="7">
        <v>0.2949</v>
      </c>
      <c r="D16" s="1" t="s">
        <v>19</v>
      </c>
    </row>
    <row r="17" spans="2:6" x14ac:dyDescent="0.3">
      <c r="B17" s="4" t="s">
        <v>20</v>
      </c>
      <c r="C17" s="6">
        <v>11152</v>
      </c>
      <c r="D17" s="1" t="s">
        <v>21</v>
      </c>
    </row>
    <row r="18" spans="2:6" x14ac:dyDescent="0.3">
      <c r="B18" s="4" t="s">
        <v>22</v>
      </c>
      <c r="C18" s="6">
        <v>2800</v>
      </c>
      <c r="D18" s="1" t="s">
        <v>23</v>
      </c>
    </row>
    <row r="19" spans="2:6" x14ac:dyDescent="0.3">
      <c r="B19" s="4" t="s">
        <v>24</v>
      </c>
      <c r="C19" s="6">
        <v>12500</v>
      </c>
      <c r="D19" s="1" t="s">
        <v>25</v>
      </c>
    </row>
    <row r="20" spans="2:6" x14ac:dyDescent="0.3">
      <c r="B20" s="4" t="s">
        <v>26</v>
      </c>
      <c r="C20" s="7">
        <v>0.01</v>
      </c>
      <c r="D20" s="1" t="s">
        <v>27</v>
      </c>
    </row>
    <row r="21" spans="2:6" x14ac:dyDescent="0.3">
      <c r="B21" s="4" t="s">
        <v>28</v>
      </c>
      <c r="C21" s="6">
        <v>600</v>
      </c>
      <c r="D21" s="1" t="s">
        <v>29</v>
      </c>
    </row>
    <row r="23" spans="2:6" x14ac:dyDescent="0.3">
      <c r="B23" s="3" t="s">
        <v>30</v>
      </c>
      <c r="C23" s="3" t="s">
        <v>2</v>
      </c>
      <c r="D23" s="3" t="s">
        <v>31</v>
      </c>
    </row>
    <row r="24" spans="2:6" x14ac:dyDescent="0.3">
      <c r="B24" s="4" t="s">
        <v>32</v>
      </c>
      <c r="C24" s="8">
        <f>C8*C11</f>
        <v>334452.47999999998</v>
      </c>
      <c r="D24" s="1" t="s">
        <v>33</v>
      </c>
    </row>
    <row r="25" spans="2:6" x14ac:dyDescent="0.3">
      <c r="B25" s="4" t="s">
        <v>34</v>
      </c>
      <c r="C25" s="8">
        <f>C13-C14</f>
        <v>7527</v>
      </c>
      <c r="D25" s="1">
        <f>C13-C14</f>
        <v>7527</v>
      </c>
    </row>
    <row r="26" spans="2:6" x14ac:dyDescent="0.3">
      <c r="B26" s="4" t="s">
        <v>35</v>
      </c>
      <c r="C26" s="8">
        <f>C24+C25</f>
        <v>341979.48</v>
      </c>
      <c r="D26" s="1">
        <f>C24+C25</f>
        <v>341979.48</v>
      </c>
    </row>
    <row r="27" spans="2:6" x14ac:dyDescent="0.3">
      <c r="B27" s="4" t="s">
        <v>36</v>
      </c>
      <c r="C27" s="8">
        <f>C19-C18</f>
        <v>9700</v>
      </c>
      <c r="D27" s="1">
        <f>C19-C18</f>
        <v>9700</v>
      </c>
    </row>
    <row r="28" spans="2:6" x14ac:dyDescent="0.3">
      <c r="B28" s="4" t="s">
        <v>37</v>
      </c>
      <c r="C28" s="9">
        <f>C27/C24</f>
        <v>2.9002625425292108E-2</v>
      </c>
      <c r="D28" s="1">
        <f>C27/C24</f>
        <v>2.9002625425292108E-2</v>
      </c>
    </row>
    <row r="29" spans="2:6" x14ac:dyDescent="0.3">
      <c r="B29" s="4" t="s">
        <v>38</v>
      </c>
      <c r="C29" s="8">
        <f>C27+C21</f>
        <v>10300</v>
      </c>
      <c r="D29" s="1" t="s">
        <v>39</v>
      </c>
    </row>
    <row r="31" spans="2:6" x14ac:dyDescent="0.3">
      <c r="B31" s="23" t="s">
        <v>40</v>
      </c>
      <c r="C31" s="23" t="s">
        <v>41</v>
      </c>
      <c r="D31" s="23" t="s">
        <v>42</v>
      </c>
      <c r="E31" s="23" t="s">
        <v>43</v>
      </c>
      <c r="F31" s="23" t="s">
        <v>3</v>
      </c>
    </row>
    <row r="32" spans="2:6" x14ac:dyDescent="0.3">
      <c r="B32" t="s">
        <v>44</v>
      </c>
      <c r="C32" s="24">
        <v>0.105</v>
      </c>
      <c r="D32" s="24">
        <v>2.5000000000000001E-2</v>
      </c>
      <c r="E32" s="25">
        <v>0.25</v>
      </c>
      <c r="F32" t="s">
        <v>45</v>
      </c>
    </row>
    <row r="33" spans="2:6" x14ac:dyDescent="0.3">
      <c r="B33" t="s">
        <v>46</v>
      </c>
      <c r="C33" s="24">
        <v>9.5000000000000001E-2</v>
      </c>
      <c r="D33" s="24">
        <v>3.2500000000000001E-2</v>
      </c>
      <c r="E33" s="25">
        <v>0.5</v>
      </c>
      <c r="F33" t="s">
        <v>47</v>
      </c>
    </row>
    <row r="34" spans="2:6" x14ac:dyDescent="0.3">
      <c r="B34" t="s">
        <v>48</v>
      </c>
      <c r="C34" s="24">
        <v>0.09</v>
      </c>
      <c r="D34" s="24">
        <v>3.5000000000000003E-2</v>
      </c>
      <c r="E34" s="25">
        <v>0.25</v>
      </c>
      <c r="F34" t="s">
        <v>49</v>
      </c>
    </row>
    <row r="36" spans="2:6" x14ac:dyDescent="0.3">
      <c r="B36" s="26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2"/>
  <sheetViews>
    <sheetView showGridLines="0" tabSelected="1" zoomScaleNormal="100" workbookViewId="0">
      <selection activeCell="B35" sqref="B35"/>
    </sheetView>
  </sheetViews>
  <sheetFormatPr baseColWidth="10" defaultColWidth="8.6640625" defaultRowHeight="14.4" x14ac:dyDescent="0.3"/>
  <cols>
    <col min="2" max="2" width="46" customWidth="1"/>
    <col min="3" max="7" width="17" customWidth="1"/>
  </cols>
  <sheetData>
    <row r="2" spans="2:7" ht="16.95" customHeight="1" x14ac:dyDescent="0.3">
      <c r="B2" s="22" t="s">
        <v>51</v>
      </c>
    </row>
    <row r="3" spans="2:7" x14ac:dyDescent="0.3">
      <c r="B3" s="1"/>
    </row>
    <row r="5" spans="2:7" x14ac:dyDescent="0.3">
      <c r="B5" s="10" t="s">
        <v>52</v>
      </c>
      <c r="C5" s="10" t="s">
        <v>41</v>
      </c>
      <c r="D5" s="10" t="s">
        <v>42</v>
      </c>
      <c r="E5" s="10" t="s">
        <v>53</v>
      </c>
      <c r="F5" s="10" t="s">
        <v>54</v>
      </c>
      <c r="G5" s="10" t="s">
        <v>43</v>
      </c>
    </row>
    <row r="6" spans="2:7" x14ac:dyDescent="0.3">
      <c r="B6" s="4" t="s">
        <v>44</v>
      </c>
      <c r="C6" s="9">
        <f>Pesimista!$C$5</f>
        <v>0.105</v>
      </c>
      <c r="D6" s="9">
        <f>Pesimista!$E$5</f>
        <v>2.5000000000000001E-2</v>
      </c>
      <c r="E6" s="11">
        <f>Pesimista!$C$37</f>
        <v>36.258233920918407</v>
      </c>
      <c r="F6" s="11">
        <f>Pesimista!$C$40</f>
        <v>39.643800961170825</v>
      </c>
      <c r="G6" s="9">
        <f>Pesimista!$G$5</f>
        <v>0.25</v>
      </c>
    </row>
    <row r="7" spans="2:7" x14ac:dyDescent="0.3">
      <c r="B7" s="4" t="s">
        <v>46</v>
      </c>
      <c r="C7" s="9">
        <f>Base!$C$5</f>
        <v>9.5000000000000001E-2</v>
      </c>
      <c r="D7" s="9">
        <f>Base!$E$5</f>
        <v>3.2500000000000001E-2</v>
      </c>
      <c r="E7" s="11">
        <f>Base!$C$37</f>
        <v>75.53966279829848</v>
      </c>
      <c r="F7" s="11">
        <f>Base!$C$40</f>
        <v>85.63572692410645</v>
      </c>
      <c r="G7" s="9">
        <f>Base!$G$5</f>
        <v>0.5</v>
      </c>
    </row>
    <row r="8" spans="2:7" x14ac:dyDescent="0.3">
      <c r="B8" s="4" t="s">
        <v>48</v>
      </c>
      <c r="C8" s="9">
        <f>Optimista!$C$5</f>
        <v>0.09</v>
      </c>
      <c r="D8" s="9">
        <f>Optimista!$E$5</f>
        <v>3.5000000000000003E-2</v>
      </c>
      <c r="E8" s="11">
        <f>Optimista!$C$37</f>
        <v>112.6715306705991</v>
      </c>
      <c r="F8" s="11">
        <f>Optimista!$C$40</f>
        <v>128.49079065912485</v>
      </c>
      <c r="G8" s="9">
        <f>Optimista!$G$5</f>
        <v>0.25</v>
      </c>
    </row>
    <row r="9" spans="2:7" x14ac:dyDescent="0.3">
      <c r="B9" s="12" t="s">
        <v>55</v>
      </c>
      <c r="E9" s="13">
        <f>SUMPRODUCT(E6:E8,$G$6:$G$8)/SUM($G$6:$G$8)</f>
        <v>75.00227254702861</v>
      </c>
      <c r="F9" s="13">
        <f>SUMPRODUCT(F6:F8,$G$6:$G$8)/SUM($G$6:$G$8)</f>
        <v>84.851511367127145</v>
      </c>
    </row>
    <row r="11" spans="2:7" x14ac:dyDescent="0.3">
      <c r="B11" s="3" t="s">
        <v>56</v>
      </c>
      <c r="C11" s="10" t="s">
        <v>2</v>
      </c>
      <c r="D11" s="10" t="s">
        <v>57</v>
      </c>
      <c r="E11" s="10" t="s">
        <v>58</v>
      </c>
    </row>
    <row r="12" spans="2:7" x14ac:dyDescent="0.3">
      <c r="B12" s="4" t="s">
        <v>59</v>
      </c>
      <c r="C12" s="11">
        <f>Supuestos!$C$8</f>
        <v>80.319999999999993</v>
      </c>
      <c r="D12" s="9">
        <f>C12/Supuestos!$C$9-1</f>
        <v>6.3841059602648853E-2</v>
      </c>
      <c r="E12" s="9">
        <f>C12/Supuestos!$C$8-1</f>
        <v>0</v>
      </c>
    </row>
    <row r="13" spans="2:7" x14ac:dyDescent="0.3">
      <c r="B13" s="4" t="s">
        <v>60</v>
      </c>
      <c r="C13" s="11">
        <f>Supuestos!$C$9</f>
        <v>75.5</v>
      </c>
      <c r="D13" s="9">
        <f>C13/Supuestos!$C$9-1</f>
        <v>0</v>
      </c>
      <c r="E13" s="9">
        <f>C13/Supuestos!$C$8-1</f>
        <v>-6.0009960159362441E-2</v>
      </c>
    </row>
    <row r="14" spans="2:7" x14ac:dyDescent="0.3">
      <c r="B14" s="12" t="s">
        <v>61</v>
      </c>
      <c r="C14" s="5">
        <f>ROUND(C30/5,0)*5</f>
        <v>90</v>
      </c>
      <c r="D14" s="9">
        <f>C14/Supuestos!$C$9-1</f>
        <v>0.19205298013245042</v>
      </c>
      <c r="E14" s="9">
        <f>C14/Supuestos!$C$8-1</f>
        <v>0.1205179282868527</v>
      </c>
      <c r="F14" s="26" t="s">
        <v>62</v>
      </c>
    </row>
    <row r="15" spans="2:7" x14ac:dyDescent="0.3">
      <c r="B15" s="12" t="s">
        <v>63</v>
      </c>
      <c r="C15" s="11">
        <f>Supuestos!$C$10</f>
        <v>100</v>
      </c>
      <c r="D15" s="9">
        <f>C15/Supuestos!$C$9-1</f>
        <v>0.32450331125827825</v>
      </c>
      <c r="E15" s="9">
        <f>C15/Supuestos!$C$8-1</f>
        <v>0.2450199203187251</v>
      </c>
      <c r="F15" s="26" t="s">
        <v>64</v>
      </c>
    </row>
    <row r="16" spans="2:7" x14ac:dyDescent="0.3">
      <c r="B16" s="4" t="s">
        <v>65</v>
      </c>
      <c r="C16" s="5">
        <v>94.04</v>
      </c>
      <c r="D16" s="9">
        <f>C16/Supuestos!$C$9-1</f>
        <v>0.2455629139072848</v>
      </c>
      <c r="E16" s="9">
        <f>C16/Supuestos!$C$8-1</f>
        <v>0.17081673306772927</v>
      </c>
      <c r="G16" s="26" t="s">
        <v>66</v>
      </c>
    </row>
    <row r="19" spans="2:8" x14ac:dyDescent="0.3">
      <c r="B19" s="3" t="s">
        <v>67</v>
      </c>
      <c r="C19" s="3" t="s">
        <v>68</v>
      </c>
      <c r="D19" s="3" t="s">
        <v>69</v>
      </c>
      <c r="E19" s="3" t="s">
        <v>70</v>
      </c>
      <c r="F19" s="3" t="s">
        <v>71</v>
      </c>
      <c r="G19" s="23" t="s">
        <v>72</v>
      </c>
    </row>
    <row r="20" spans="2:8" x14ac:dyDescent="0.3">
      <c r="B20" s="4" t="s">
        <v>73</v>
      </c>
      <c r="C20" s="5">
        <v>3.01</v>
      </c>
      <c r="D20" s="14">
        <f>Supuestos!$C$8/C20</f>
        <v>26.684385382059801</v>
      </c>
      <c r="E20" s="15">
        <v>29</v>
      </c>
      <c r="F20" s="11">
        <f>C20*E20</f>
        <v>87.289999999999992</v>
      </c>
      <c r="G20" t="s">
        <v>74</v>
      </c>
      <c r="H20" s="26" t="s">
        <v>75</v>
      </c>
    </row>
    <row r="21" spans="2:8" x14ac:dyDescent="0.3">
      <c r="B21" s="4" t="s">
        <v>76</v>
      </c>
      <c r="C21" s="5">
        <v>3.95</v>
      </c>
      <c r="D21" s="14">
        <f>Supuestos!$C$8/C21</f>
        <v>20.334177215189872</v>
      </c>
      <c r="E21" s="15">
        <v>26</v>
      </c>
      <c r="F21" s="11">
        <f>C21*E21</f>
        <v>102.7</v>
      </c>
      <c r="G21" t="s">
        <v>77</v>
      </c>
      <c r="H21" s="26" t="s">
        <v>78</v>
      </c>
    </row>
    <row r="22" spans="2:8" x14ac:dyDescent="0.3">
      <c r="B22" s="4" t="s">
        <v>79</v>
      </c>
      <c r="C22" s="6">
        <v>9700</v>
      </c>
      <c r="D22" s="14">
        <f>Supuestos!$C$24/C22</f>
        <v>34.479637113402063</v>
      </c>
      <c r="E22" s="15">
        <v>38</v>
      </c>
      <c r="F22" s="11">
        <f>C22*E22/Supuestos!$C$12</f>
        <v>87.761904761904759</v>
      </c>
      <c r="G22" t="s">
        <v>80</v>
      </c>
      <c r="H22" s="26" t="s">
        <v>81</v>
      </c>
    </row>
    <row r="23" spans="2:8" x14ac:dyDescent="0.3">
      <c r="B23" s="4" t="s">
        <v>82</v>
      </c>
      <c r="C23" s="6">
        <v>51192</v>
      </c>
      <c r="D23" s="14">
        <f>Supuestos!$C$26/C23</f>
        <v>6.6803305203938113</v>
      </c>
      <c r="E23" s="15">
        <v>7.5</v>
      </c>
      <c r="F23" s="11">
        <f>(C23*E23-Supuestos!$C$25)/Supuestos!$C$12</f>
        <v>89.622142857142862</v>
      </c>
      <c r="G23" t="s">
        <v>83</v>
      </c>
      <c r="H23" s="26" t="s">
        <v>84</v>
      </c>
    </row>
    <row r="24" spans="2:8" x14ac:dyDescent="0.3">
      <c r="B24" s="12" t="s">
        <v>85</v>
      </c>
      <c r="F24" s="16">
        <f>MIN(F20:F23)</f>
        <v>87.289999999999992</v>
      </c>
    </row>
    <row r="25" spans="2:8" x14ac:dyDescent="0.3">
      <c r="B25" s="12" t="s">
        <v>86</v>
      </c>
      <c r="F25" s="16">
        <f>MAX(F20:F23)</f>
        <v>102.7</v>
      </c>
    </row>
    <row r="26" spans="2:8" x14ac:dyDescent="0.3">
      <c r="B26" s="3" t="s">
        <v>87</v>
      </c>
    </row>
    <row r="27" spans="2:8" x14ac:dyDescent="0.3">
      <c r="B27" s="4" t="s">
        <v>88</v>
      </c>
      <c r="C27" s="11">
        <f>Base!$C$40</f>
        <v>85.63572692410645</v>
      </c>
    </row>
    <row r="28" spans="2:8" x14ac:dyDescent="0.3">
      <c r="B28" s="4" t="s">
        <v>89</v>
      </c>
      <c r="C28" s="11">
        <f>MEDIAN(F20:F23)</f>
        <v>88.692023809523818</v>
      </c>
    </row>
    <row r="29" spans="2:8" x14ac:dyDescent="0.3">
      <c r="B29" s="4" t="s">
        <v>90</v>
      </c>
      <c r="C29" s="11">
        <f>C16</f>
        <v>94.04</v>
      </c>
    </row>
    <row r="30" spans="2:8" x14ac:dyDescent="0.3">
      <c r="B30" s="12" t="s">
        <v>91</v>
      </c>
      <c r="C30" s="13">
        <f>AVERAGE(C27:C29)</f>
        <v>89.455916911210082</v>
      </c>
    </row>
    <row r="32" spans="2:8" x14ac:dyDescent="0.3">
      <c r="B32" s="26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23.33203125" bestFit="1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93</v>
      </c>
    </row>
    <row r="3" spans="2:12" x14ac:dyDescent="0.3">
      <c r="B3" s="1"/>
    </row>
    <row r="5" spans="2:12" x14ac:dyDescent="0.3">
      <c r="B5" s="12" t="s">
        <v>41</v>
      </c>
      <c r="C5" s="27">
        <f>Supuestos!$C$32</f>
        <v>0.105</v>
      </c>
      <c r="D5" s="12" t="s">
        <v>94</v>
      </c>
      <c r="E5" s="27">
        <f>Supuestos!$D$32</f>
        <v>2.5000000000000001E-2</v>
      </c>
      <c r="F5" s="12" t="s">
        <v>95</v>
      </c>
      <c r="G5" s="28">
        <f>Supuestos!$E$32</f>
        <v>0.25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0.13300000000000001</v>
      </c>
      <c r="D8" s="7">
        <v>7.4999999999999997E-2</v>
      </c>
      <c r="E8" s="7">
        <v>5.5E-2</v>
      </c>
      <c r="F8" s="7">
        <v>4.4999999999999998E-2</v>
      </c>
      <c r="G8" s="7">
        <v>3.7999999999999999E-2</v>
      </c>
      <c r="H8" s="7">
        <v>3.2000000000000001E-2</v>
      </c>
      <c r="I8" s="7">
        <v>2.8000000000000001E-2</v>
      </c>
      <c r="J8" s="7">
        <v>2.5000000000000001E-2</v>
      </c>
      <c r="K8" s="7">
        <v>2.1999999999999999E-2</v>
      </c>
      <c r="L8" s="7">
        <v>0.02</v>
      </c>
    </row>
    <row r="9" spans="2:12" x14ac:dyDescent="0.3">
      <c r="B9" s="4" t="s">
        <v>108</v>
      </c>
      <c r="C9" s="7">
        <v>0.315</v>
      </c>
      <c r="D9" s="7">
        <v>0.32200000000000001</v>
      </c>
      <c r="E9" s="7">
        <v>0.33</v>
      </c>
      <c r="F9" s="7">
        <v>0.33600000000000002</v>
      </c>
      <c r="G9" s="7">
        <v>0.34</v>
      </c>
      <c r="H9" s="7">
        <v>0.34399999999999997</v>
      </c>
      <c r="I9" s="7">
        <v>0.34699999999999998</v>
      </c>
      <c r="J9" s="7">
        <v>0.35</v>
      </c>
      <c r="K9" s="7">
        <v>0.35</v>
      </c>
      <c r="L9" s="7">
        <v>0.35</v>
      </c>
    </row>
    <row r="10" spans="2:12" x14ac:dyDescent="0.3">
      <c r="B10" s="4" t="s">
        <v>109</v>
      </c>
      <c r="C10" s="7">
        <v>0.14000000000000001</v>
      </c>
      <c r="D10" s="7">
        <v>0.15</v>
      </c>
      <c r="E10" s="7">
        <v>0.16</v>
      </c>
      <c r="F10" s="7">
        <v>0.17</v>
      </c>
      <c r="G10" s="7">
        <v>0.17</v>
      </c>
      <c r="H10" s="7">
        <v>0.18</v>
      </c>
      <c r="I10" s="7">
        <v>0.18</v>
      </c>
      <c r="J10" s="7">
        <v>0.18</v>
      </c>
      <c r="K10" s="7">
        <v>0.18</v>
      </c>
      <c r="L10" s="7">
        <v>0.18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1.6E-2</v>
      </c>
      <c r="D12" s="7">
        <v>1.6E-2</v>
      </c>
      <c r="E12" s="7">
        <v>1.6E-2</v>
      </c>
      <c r="F12" s="7">
        <v>1.6E-2</v>
      </c>
      <c r="G12" s="7">
        <v>1.6E-2</v>
      </c>
      <c r="H12" s="7">
        <v>1.6E-2</v>
      </c>
      <c r="I12" s="7">
        <v>1.6E-2</v>
      </c>
      <c r="J12" s="7">
        <v>1.6E-2</v>
      </c>
      <c r="K12" s="7">
        <v>1.6E-2</v>
      </c>
      <c r="L12" s="7">
        <v>1.6E-2</v>
      </c>
    </row>
    <row r="13" spans="2:12" x14ac:dyDescent="0.3">
      <c r="B13" s="4" t="s">
        <v>112</v>
      </c>
      <c r="C13" s="7">
        <v>6.6000000000000003E-2</v>
      </c>
      <c r="D13" s="7">
        <v>4.8000000000000001E-2</v>
      </c>
      <c r="E13" s="7">
        <v>3.7999999999999999E-2</v>
      </c>
      <c r="F13" s="7">
        <v>3.2000000000000001E-2</v>
      </c>
      <c r="G13" s="7">
        <v>0.03</v>
      </c>
      <c r="H13" s="7">
        <v>2.8000000000000001E-2</v>
      </c>
      <c r="I13" s="7">
        <v>2.7E-2</v>
      </c>
      <c r="J13" s="7">
        <v>2.5999999999999999E-2</v>
      </c>
      <c r="K13" s="7">
        <v>2.5999999999999999E-2</v>
      </c>
      <c r="L13" s="7">
        <v>2.5999999999999999E-2</v>
      </c>
    </row>
    <row r="14" spans="2:12" x14ac:dyDescent="0.3">
      <c r="B14" s="4" t="s">
        <v>113</v>
      </c>
      <c r="C14" s="7">
        <v>2.3E-2</v>
      </c>
      <c r="D14" s="7">
        <v>2.3E-2</v>
      </c>
      <c r="E14" s="7">
        <v>2.3E-2</v>
      </c>
      <c r="F14" s="7">
        <v>2.1999999999999999E-2</v>
      </c>
      <c r="G14" s="7">
        <v>2.1999999999999999E-2</v>
      </c>
      <c r="H14" s="7">
        <v>2.1999999999999999E-2</v>
      </c>
      <c r="I14" s="7">
        <v>2.1000000000000001E-2</v>
      </c>
      <c r="J14" s="7">
        <v>2.1000000000000001E-2</v>
      </c>
      <c r="K14" s="7">
        <v>2.1000000000000001E-2</v>
      </c>
      <c r="L14" s="7">
        <v>2.1000000000000001E-2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51192.339</v>
      </c>
      <c r="D17" s="8">
        <f t="shared" ref="D17:L17" si="0">C17*(1+D8)</f>
        <v>55031.764425000001</v>
      </c>
      <c r="E17" s="8">
        <f t="shared" si="0"/>
        <v>58058.511468375</v>
      </c>
      <c r="F17" s="8">
        <f t="shared" si="0"/>
        <v>60671.14448445187</v>
      </c>
      <c r="G17" s="8">
        <f t="shared" si="0"/>
        <v>62976.647974861044</v>
      </c>
      <c r="H17" s="8">
        <f t="shared" si="0"/>
        <v>64991.900710056601</v>
      </c>
      <c r="I17" s="8">
        <f t="shared" si="0"/>
        <v>66811.673929938188</v>
      </c>
      <c r="J17" s="8">
        <f t="shared" si="0"/>
        <v>68481.965778186641</v>
      </c>
      <c r="K17" s="8">
        <f t="shared" si="0"/>
        <v>69988.569025306744</v>
      </c>
      <c r="L17" s="8">
        <f t="shared" si="0"/>
        <v>71388.34040581288</v>
      </c>
    </row>
    <row r="18" spans="2:12" x14ac:dyDescent="0.3">
      <c r="B18" s="4" t="s">
        <v>116</v>
      </c>
      <c r="C18" s="8">
        <f t="shared" ref="C18:L18" si="1">C17*C9</f>
        <v>16125.586785</v>
      </c>
      <c r="D18" s="8">
        <f t="shared" si="1"/>
        <v>17720.22814485</v>
      </c>
      <c r="E18" s="8">
        <f t="shared" si="1"/>
        <v>19159.308784563749</v>
      </c>
      <c r="F18" s="8">
        <f t="shared" si="1"/>
        <v>20385.504546775828</v>
      </c>
      <c r="G18" s="8">
        <f t="shared" si="1"/>
        <v>21412.060311452755</v>
      </c>
      <c r="H18" s="8">
        <f t="shared" si="1"/>
        <v>22357.21384425947</v>
      </c>
      <c r="I18" s="8">
        <f t="shared" si="1"/>
        <v>23183.650853688549</v>
      </c>
      <c r="J18" s="8">
        <f t="shared" si="1"/>
        <v>23968.688022365324</v>
      </c>
      <c r="K18" s="8">
        <f t="shared" si="1"/>
        <v>24495.999158857358</v>
      </c>
      <c r="L18" s="8">
        <f t="shared" si="1"/>
        <v>24985.919142034505</v>
      </c>
    </row>
    <row r="19" spans="2:12" x14ac:dyDescent="0.3">
      <c r="B19" s="4" t="s">
        <v>117</v>
      </c>
      <c r="C19" s="8">
        <f t="shared" ref="C19:L19" si="2">-C18*C10</f>
        <v>-2257.5821499000003</v>
      </c>
      <c r="D19" s="8">
        <f t="shared" si="2"/>
        <v>-2658.0342217274997</v>
      </c>
      <c r="E19" s="8">
        <f t="shared" si="2"/>
        <v>-3065.4894055301997</v>
      </c>
      <c r="F19" s="8">
        <f t="shared" si="2"/>
        <v>-3465.535772951891</v>
      </c>
      <c r="G19" s="8">
        <f t="shared" si="2"/>
        <v>-3640.0502529469686</v>
      </c>
      <c r="H19" s="8">
        <f t="shared" si="2"/>
        <v>-4024.2984919667042</v>
      </c>
      <c r="I19" s="8">
        <f t="shared" si="2"/>
        <v>-4173.0571536639382</v>
      </c>
      <c r="J19" s="8">
        <f t="shared" si="2"/>
        <v>-4314.3638440257582</v>
      </c>
      <c r="K19" s="8">
        <f t="shared" si="2"/>
        <v>-4409.279848594324</v>
      </c>
      <c r="L19" s="8">
        <f t="shared" si="2"/>
        <v>-4497.4654455662103</v>
      </c>
    </row>
    <row r="20" spans="2:12" x14ac:dyDescent="0.3">
      <c r="B20" s="12" t="s">
        <v>118</v>
      </c>
      <c r="C20" s="18">
        <f t="shared" ref="C20:L20" si="3">C18+C19</f>
        <v>13868.004635099998</v>
      </c>
      <c r="D20" s="18">
        <f t="shared" si="3"/>
        <v>15062.193923122501</v>
      </c>
      <c r="E20" s="18">
        <f t="shared" si="3"/>
        <v>16093.81937903355</v>
      </c>
      <c r="F20" s="18">
        <f t="shared" si="3"/>
        <v>16919.968773823937</v>
      </c>
      <c r="G20" s="18">
        <f t="shared" si="3"/>
        <v>17772.010058505788</v>
      </c>
      <c r="H20" s="18">
        <f t="shared" si="3"/>
        <v>18332.915352292766</v>
      </c>
      <c r="I20" s="18">
        <f t="shared" si="3"/>
        <v>19010.593700024612</v>
      </c>
      <c r="J20" s="18">
        <f t="shared" si="3"/>
        <v>19654.324178339564</v>
      </c>
      <c r="K20" s="18">
        <f t="shared" si="3"/>
        <v>20086.719310263034</v>
      </c>
      <c r="L20" s="18">
        <f t="shared" si="3"/>
        <v>20488.453696468296</v>
      </c>
    </row>
    <row r="21" spans="2:12" x14ac:dyDescent="0.3">
      <c r="B21" s="4" t="s">
        <v>119</v>
      </c>
      <c r="C21" s="8">
        <f t="shared" ref="C21:L21" si="4">C17*C11</f>
        <v>614.30806800000005</v>
      </c>
      <c r="D21" s="8">
        <f t="shared" si="4"/>
        <v>660.38117310000007</v>
      </c>
      <c r="E21" s="8">
        <f t="shared" si="4"/>
        <v>696.70213762050003</v>
      </c>
      <c r="F21" s="8">
        <f t="shared" si="4"/>
        <v>728.05373381342247</v>
      </c>
      <c r="G21" s="8">
        <f t="shared" si="4"/>
        <v>755.71977569833257</v>
      </c>
      <c r="H21" s="8">
        <f t="shared" si="4"/>
        <v>779.90280852067929</v>
      </c>
      <c r="I21" s="8">
        <f t="shared" si="4"/>
        <v>801.74008715925822</v>
      </c>
      <c r="J21" s="8">
        <f t="shared" si="4"/>
        <v>821.78358933823972</v>
      </c>
      <c r="K21" s="8">
        <f t="shared" si="4"/>
        <v>839.862828303681</v>
      </c>
      <c r="L21" s="8">
        <f t="shared" si="4"/>
        <v>856.66008486975454</v>
      </c>
    </row>
    <row r="22" spans="2:12" x14ac:dyDescent="0.3">
      <c r="B22" s="4" t="s">
        <v>120</v>
      </c>
      <c r="C22" s="8">
        <f t="shared" ref="C22:L22" si="5">-C17*C12</f>
        <v>-819.07742400000006</v>
      </c>
      <c r="D22" s="8">
        <f t="shared" si="5"/>
        <v>-880.50823080000009</v>
      </c>
      <c r="E22" s="8">
        <f t="shared" si="5"/>
        <v>-928.93618349400003</v>
      </c>
      <c r="F22" s="8">
        <f t="shared" si="5"/>
        <v>-970.73831175122996</v>
      </c>
      <c r="G22" s="8">
        <f t="shared" si="5"/>
        <v>-1007.6263675977767</v>
      </c>
      <c r="H22" s="8">
        <f t="shared" si="5"/>
        <v>-1039.8704113609056</v>
      </c>
      <c r="I22" s="8">
        <f t="shared" si="5"/>
        <v>-1068.9867828790111</v>
      </c>
      <c r="J22" s="8">
        <f t="shared" si="5"/>
        <v>-1095.7114524509864</v>
      </c>
      <c r="K22" s="8">
        <f t="shared" si="5"/>
        <v>-1119.8171044049079</v>
      </c>
      <c r="L22" s="8">
        <f t="shared" si="5"/>
        <v>-1142.2134464930061</v>
      </c>
    </row>
    <row r="23" spans="2:12" x14ac:dyDescent="0.3">
      <c r="B23" s="4" t="s">
        <v>121</v>
      </c>
      <c r="C23" s="8">
        <f t="shared" ref="C23:L23" si="6">-C17*C13</f>
        <v>-3378.6943740000002</v>
      </c>
      <c r="D23" s="8">
        <f t="shared" si="6"/>
        <v>-2641.5246924000003</v>
      </c>
      <c r="E23" s="8">
        <f t="shared" si="6"/>
        <v>-2206.2234357982497</v>
      </c>
      <c r="F23" s="8">
        <f t="shared" si="6"/>
        <v>-1941.4766235024599</v>
      </c>
      <c r="G23" s="8">
        <f t="shared" si="6"/>
        <v>-1889.2994392458313</v>
      </c>
      <c r="H23" s="8">
        <f t="shared" si="6"/>
        <v>-1819.773219881585</v>
      </c>
      <c r="I23" s="8">
        <f t="shared" si="6"/>
        <v>-1803.915196108331</v>
      </c>
      <c r="J23" s="8">
        <f t="shared" si="6"/>
        <v>-1780.5311102328526</v>
      </c>
      <c r="K23" s="8">
        <f t="shared" si="6"/>
        <v>-1819.7027946579753</v>
      </c>
      <c r="L23" s="8">
        <f t="shared" si="6"/>
        <v>-1856.0968505511348</v>
      </c>
    </row>
    <row r="24" spans="2:12" x14ac:dyDescent="0.3">
      <c r="B24" s="4" t="s">
        <v>122</v>
      </c>
      <c r="C24" s="8">
        <f t="shared" ref="C24:L24" si="7">-C17*C14</f>
        <v>-1177.4237969999999</v>
      </c>
      <c r="D24" s="8">
        <f t="shared" si="7"/>
        <v>-1265.730581775</v>
      </c>
      <c r="E24" s="8">
        <f t="shared" si="7"/>
        <v>-1335.3457637726249</v>
      </c>
      <c r="F24" s="8">
        <f t="shared" si="7"/>
        <v>-1334.7651786579411</v>
      </c>
      <c r="G24" s="8">
        <f t="shared" si="7"/>
        <v>-1385.4862554469428</v>
      </c>
      <c r="H24" s="8">
        <f t="shared" si="7"/>
        <v>-1429.8218156212452</v>
      </c>
      <c r="I24" s="8">
        <f t="shared" si="7"/>
        <v>-1403.0451525287021</v>
      </c>
      <c r="J24" s="8">
        <f t="shared" si="7"/>
        <v>-1438.1212813419195</v>
      </c>
      <c r="K24" s="8">
        <f t="shared" si="7"/>
        <v>-1469.7599495314416</v>
      </c>
      <c r="L24" s="8">
        <f t="shared" si="7"/>
        <v>-1499.1551485220705</v>
      </c>
    </row>
    <row r="25" spans="2:12" x14ac:dyDescent="0.3">
      <c r="B25" s="4" t="s">
        <v>123</v>
      </c>
      <c r="C25" s="8">
        <f>(C17-Supuestos!$C$15)*Supuestos!$C$20</f>
        <v>60.093389999999999</v>
      </c>
      <c r="D25" s="8">
        <f>(D17-C17)*Supuestos!$C$20</f>
        <v>38.39425425000001</v>
      </c>
      <c r="E25" s="8">
        <f>(E17-D17)*Supuestos!$C$20</f>
        <v>30.267470433749988</v>
      </c>
      <c r="F25" s="8">
        <f>(F17-E17)*Supuestos!$C$20</f>
        <v>26.126330160768703</v>
      </c>
      <c r="G25" s="8">
        <f>(G17-F17)*Supuestos!$C$20</f>
        <v>23.055034904091738</v>
      </c>
      <c r="H25" s="8">
        <f>(H17-G17)*Supuestos!$C$20</f>
        <v>20.152527351955577</v>
      </c>
      <c r="I25" s="8">
        <f>(I17-H17)*Supuestos!$C$20</f>
        <v>18.197732198815867</v>
      </c>
      <c r="J25" s="8">
        <f>(J17-I17)*Supuestos!$C$20</f>
        <v>16.702918482484527</v>
      </c>
      <c r="K25" s="8">
        <f>(K17-J17)*Supuestos!$C$20</f>
        <v>15.066032471201034</v>
      </c>
      <c r="L25" s="8">
        <f>(L17-K17)*Supuestos!$C$20</f>
        <v>13.997713805061357</v>
      </c>
    </row>
    <row r="26" spans="2:12" x14ac:dyDescent="0.3">
      <c r="B26" s="12" t="s">
        <v>124</v>
      </c>
      <c r="C26" s="18">
        <f t="shared" ref="C26:L26" si="8">C20+C21+C22+C23+C24+C25</f>
        <v>9167.2104980999975</v>
      </c>
      <c r="D26" s="18">
        <f t="shared" si="8"/>
        <v>10973.205845497501</v>
      </c>
      <c r="E26" s="18">
        <f t="shared" si="8"/>
        <v>12350.283604022929</v>
      </c>
      <c r="F26" s="18">
        <f t="shared" si="8"/>
        <v>13427.1687238865</v>
      </c>
      <c r="G26" s="18">
        <f t="shared" si="8"/>
        <v>14268.372806817662</v>
      </c>
      <c r="H26" s="18">
        <f t="shared" si="8"/>
        <v>14843.505241301669</v>
      </c>
      <c r="I26" s="18">
        <f t="shared" si="8"/>
        <v>15554.584387866642</v>
      </c>
      <c r="J26" s="18">
        <f t="shared" si="8"/>
        <v>16178.446842134532</v>
      </c>
      <c r="K26" s="18">
        <f t="shared" si="8"/>
        <v>16532.368322443588</v>
      </c>
      <c r="L26" s="18">
        <f t="shared" si="8"/>
        <v>16861.646049576902</v>
      </c>
    </row>
    <row r="27" spans="2:12" x14ac:dyDescent="0.3">
      <c r="B27" s="4" t="s">
        <v>125</v>
      </c>
      <c r="C27" s="19">
        <f>1/(1+$C$5)^1</f>
        <v>0.90497737556561086</v>
      </c>
      <c r="D27" s="19">
        <f>1/(1+$C$5)^2</f>
        <v>0.81898405028562071</v>
      </c>
      <c r="E27" s="19">
        <f>1/(1+$C$5)^3</f>
        <v>0.74116203645757528</v>
      </c>
      <c r="F27" s="19">
        <f>1/(1+$C$5)^4</f>
        <v>0.67073487462224002</v>
      </c>
      <c r="G27" s="19">
        <f>1/(1+$C$5)^5</f>
        <v>0.60699988653596382</v>
      </c>
      <c r="H27" s="19">
        <f>1/(1+$C$5)^6</f>
        <v>0.54932116428594002</v>
      </c>
      <c r="I27" s="19">
        <f>1/(1+$C$5)^7</f>
        <v>0.49712322559813582</v>
      </c>
      <c r="J27" s="19">
        <f>1/(1+$C$5)^8</f>
        <v>0.44988527203451206</v>
      </c>
      <c r="K27" s="19">
        <f>1/(1+$C$5)^9</f>
        <v>0.40713599279141366</v>
      </c>
      <c r="L27" s="19">
        <f>1/(1+$C$5)^10</f>
        <v>0.36844886225467294</v>
      </c>
    </row>
    <row r="28" spans="2:12" x14ac:dyDescent="0.3">
      <c r="B28" s="12" t="s">
        <v>126</v>
      </c>
      <c r="C28" s="18">
        <f t="shared" ref="C28:L28" si="9">C26*C27</f>
        <v>8296.1180978280518</v>
      </c>
      <c r="D28" s="18">
        <f t="shared" si="9"/>
        <v>8986.8805679633933</v>
      </c>
      <c r="E28" s="18">
        <f t="shared" si="9"/>
        <v>9153.5613467862368</v>
      </c>
      <c r="F28" s="18">
        <f t="shared" si="9"/>
        <v>9006.0703305476745</v>
      </c>
      <c r="G28" s="18">
        <f t="shared" si="9"/>
        <v>8660.9006747911535</v>
      </c>
      <c r="H28" s="18">
        <f t="shared" si="9"/>
        <v>8153.8515812362857</v>
      </c>
      <c r="I28" s="18">
        <f t="shared" si="9"/>
        <v>7732.5451637346696</v>
      </c>
      <c r="J28" s="18">
        <f t="shared" si="9"/>
        <v>7278.4449586695864</v>
      </c>
      <c r="K28" s="18">
        <f t="shared" si="9"/>
        <v>6730.9221901513883</v>
      </c>
      <c r="L28" s="18">
        <f t="shared" si="9"/>
        <v>6212.6543027076104</v>
      </c>
    </row>
    <row r="30" spans="2:12" x14ac:dyDescent="0.3">
      <c r="B30" s="4" t="s">
        <v>127</v>
      </c>
      <c r="C30" s="8">
        <f>SUM(C28:L28)</f>
        <v>80211.949214416061</v>
      </c>
    </row>
    <row r="31" spans="2:12" x14ac:dyDescent="0.3">
      <c r="B31" s="4" t="s">
        <v>128</v>
      </c>
      <c r="C31" s="8">
        <f>L26*(1+$E$5)/($C$5-$E$5)</f>
        <v>216039.84001020406</v>
      </c>
    </row>
    <row r="32" spans="2:12" x14ac:dyDescent="0.3">
      <c r="B32" s="4" t="s">
        <v>129</v>
      </c>
      <c r="C32" s="8">
        <f>C31*L27</f>
        <v>79599.63325344125</v>
      </c>
    </row>
    <row r="33" spans="2:4" x14ac:dyDescent="0.3">
      <c r="B33" s="12" t="s">
        <v>130</v>
      </c>
      <c r="C33" s="18">
        <f>C30+C32</f>
        <v>159811.58246785731</v>
      </c>
    </row>
    <row r="34" spans="2:4" x14ac:dyDescent="0.3">
      <c r="B34" s="4" t="s">
        <v>131</v>
      </c>
      <c r="C34" s="9">
        <f>C32/C33</f>
        <v>0.49808425662420941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152284.58246785731</v>
      </c>
    </row>
    <row r="37" spans="2:4" x14ac:dyDescent="0.3">
      <c r="B37" s="12" t="s">
        <v>134</v>
      </c>
      <c r="C37" s="13">
        <f>C36/Supuestos!$C$12</f>
        <v>36.258233920918407</v>
      </c>
    </row>
    <row r="38" spans="2:4" x14ac:dyDescent="0.3">
      <c r="B38" s="12" t="s">
        <v>135</v>
      </c>
      <c r="C38" s="20">
        <f>C37/Supuestos!$C$8-1</f>
        <v>-0.54857776492880461</v>
      </c>
    </row>
    <row r="39" spans="2:4" x14ac:dyDescent="0.3">
      <c r="B39" s="4" t="s">
        <v>136</v>
      </c>
      <c r="C39" s="8">
        <f>(C33*(1+$C$5)-C26)*(1+$C$5)-D26</f>
        <v>174030.96403691746</v>
      </c>
    </row>
    <row r="40" spans="2:4" x14ac:dyDescent="0.3">
      <c r="B40" s="12" t="s">
        <v>137</v>
      </c>
      <c r="C40" s="13">
        <f>(C39-Supuestos!$C$25)/Supuestos!$C$12</f>
        <v>39.643800961170825</v>
      </c>
      <c r="D40" s="26" t="s">
        <v>138</v>
      </c>
    </row>
    <row r="41" spans="2:4" x14ac:dyDescent="0.3">
      <c r="B41" s="12" t="s">
        <v>139</v>
      </c>
      <c r="C41" s="20">
        <f>C40/Supuestos!$C$9-1</f>
        <v>-0.47491654356065127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43"/>
  <sheetViews>
    <sheetView showGridLines="0" zoomScaleNormal="100" workbookViewId="0">
      <selection activeCell="B3" sqref="B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12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140</v>
      </c>
    </row>
    <row r="3" spans="2:12" x14ac:dyDescent="0.3">
      <c r="B3" s="1"/>
    </row>
    <row r="5" spans="2:12" x14ac:dyDescent="0.3">
      <c r="B5" s="12" t="s">
        <v>41</v>
      </c>
      <c r="C5" s="27">
        <f>Supuestos!$C$33</f>
        <v>9.5000000000000001E-2</v>
      </c>
      <c r="D5" s="12" t="s">
        <v>94</v>
      </c>
      <c r="E5" s="27">
        <f>Supuestos!$D$33</f>
        <v>3.2500000000000001E-2</v>
      </c>
      <c r="F5" s="12" t="s">
        <v>95</v>
      </c>
      <c r="G5" s="28">
        <f>Supuestos!$E$33</f>
        <v>0.5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0.13300000000000001</v>
      </c>
      <c r="D8" s="7">
        <v>0.115</v>
      </c>
      <c r="E8" s="7">
        <v>0.105</v>
      </c>
      <c r="F8" s="7">
        <v>9.5000000000000001E-2</v>
      </c>
      <c r="G8" s="7">
        <v>8.5000000000000006E-2</v>
      </c>
      <c r="H8" s="7">
        <v>7.4999999999999997E-2</v>
      </c>
      <c r="I8" s="7">
        <v>6.5000000000000002E-2</v>
      </c>
      <c r="J8" s="7">
        <v>5.5E-2</v>
      </c>
      <c r="K8" s="7">
        <v>0.05</v>
      </c>
      <c r="L8" s="7">
        <v>4.4999999999999998E-2</v>
      </c>
    </row>
    <row r="9" spans="2:12" x14ac:dyDescent="0.3">
      <c r="B9" s="4" t="s">
        <v>108</v>
      </c>
      <c r="C9" s="7">
        <v>0.315</v>
      </c>
      <c r="D9" s="7">
        <v>0.33500000000000002</v>
      </c>
      <c r="E9" s="7">
        <v>0.35499999999999998</v>
      </c>
      <c r="F9" s="7">
        <v>0.37</v>
      </c>
      <c r="G9" s="7">
        <v>0.38500000000000001</v>
      </c>
      <c r="H9" s="7">
        <v>0.39500000000000002</v>
      </c>
      <c r="I9" s="7">
        <v>0.4</v>
      </c>
      <c r="J9" s="7">
        <v>0.40500000000000003</v>
      </c>
      <c r="K9" s="7">
        <v>0.41</v>
      </c>
      <c r="L9" s="7">
        <v>0.41</v>
      </c>
    </row>
    <row r="10" spans="2:12" x14ac:dyDescent="0.3">
      <c r="B10" s="4" t="s">
        <v>109</v>
      </c>
      <c r="C10" s="7">
        <v>0.14000000000000001</v>
      </c>
      <c r="D10" s="7">
        <v>0.15</v>
      </c>
      <c r="E10" s="7">
        <v>0.16</v>
      </c>
      <c r="F10" s="7">
        <v>0.16</v>
      </c>
      <c r="G10" s="7">
        <v>0.17</v>
      </c>
      <c r="H10" s="7">
        <v>0.17</v>
      </c>
      <c r="I10" s="7">
        <v>0.17</v>
      </c>
      <c r="J10" s="7">
        <v>0.18</v>
      </c>
      <c r="K10" s="7">
        <v>0.18</v>
      </c>
      <c r="L10" s="7">
        <v>0.18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1.4999999999999999E-2</v>
      </c>
      <c r="D12" s="7">
        <v>1.4999999999999999E-2</v>
      </c>
      <c r="E12" s="7">
        <v>1.4999999999999999E-2</v>
      </c>
      <c r="F12" s="7">
        <v>1.4999999999999999E-2</v>
      </c>
      <c r="G12" s="7">
        <v>1.4999999999999999E-2</v>
      </c>
      <c r="H12" s="7">
        <v>1.4999999999999999E-2</v>
      </c>
      <c r="I12" s="7">
        <v>1.4999999999999999E-2</v>
      </c>
      <c r="J12" s="7">
        <v>1.4999999999999999E-2</v>
      </c>
      <c r="K12" s="7">
        <v>1.4999999999999999E-2</v>
      </c>
      <c r="L12" s="7">
        <v>1.4999999999999999E-2</v>
      </c>
    </row>
    <row r="13" spans="2:12" x14ac:dyDescent="0.3">
      <c r="B13" s="4" t="s">
        <v>112</v>
      </c>
      <c r="C13" s="7">
        <v>6.6000000000000003E-2</v>
      </c>
      <c r="D13" s="7">
        <v>0.05</v>
      </c>
      <c r="E13" s="7">
        <v>0.04</v>
      </c>
      <c r="F13" s="7">
        <v>3.2000000000000001E-2</v>
      </c>
      <c r="G13" s="7">
        <v>2.5999999999999999E-2</v>
      </c>
      <c r="H13" s="7">
        <v>2.1999999999999999E-2</v>
      </c>
      <c r="I13" s="7">
        <v>1.7999999999999999E-2</v>
      </c>
      <c r="J13" s="7">
        <v>1.4999999999999999E-2</v>
      </c>
      <c r="K13" s="7">
        <v>1.2E-2</v>
      </c>
      <c r="L13" s="7">
        <v>0.01</v>
      </c>
    </row>
    <row r="14" spans="2:12" x14ac:dyDescent="0.3">
      <c r="B14" s="4" t="s">
        <v>113</v>
      </c>
      <c r="C14" s="7">
        <v>2.1999999999999999E-2</v>
      </c>
      <c r="D14" s="7">
        <v>2.1000000000000001E-2</v>
      </c>
      <c r="E14" s="7">
        <v>0.02</v>
      </c>
      <c r="F14" s="7">
        <v>1.9E-2</v>
      </c>
      <c r="G14" s="7">
        <v>1.7999999999999999E-2</v>
      </c>
      <c r="H14" s="7">
        <v>1.7000000000000001E-2</v>
      </c>
      <c r="I14" s="7">
        <v>1.6E-2</v>
      </c>
      <c r="J14" s="7">
        <v>1.4999999999999999E-2</v>
      </c>
      <c r="K14" s="7">
        <v>1.4999999999999999E-2</v>
      </c>
      <c r="L14" s="7">
        <v>1.4999999999999999E-2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51192.339</v>
      </c>
      <c r="D17" s="8">
        <f t="shared" ref="D17:L17" si="0">C17*(1+D8)</f>
        <v>57079.457985000001</v>
      </c>
      <c r="E17" s="8">
        <f t="shared" si="0"/>
        <v>63072.801073424998</v>
      </c>
      <c r="F17" s="8">
        <f t="shared" si="0"/>
        <v>69064.717175400365</v>
      </c>
      <c r="G17" s="8">
        <f t="shared" si="0"/>
        <v>74935.218135309391</v>
      </c>
      <c r="H17" s="8">
        <f t="shared" si="0"/>
        <v>80555.359495457596</v>
      </c>
      <c r="I17" s="8">
        <f t="shared" si="0"/>
        <v>85791.457862662341</v>
      </c>
      <c r="J17" s="8">
        <f t="shared" si="0"/>
        <v>90509.988045108767</v>
      </c>
      <c r="K17" s="8">
        <f t="shared" si="0"/>
        <v>95035.487447364212</v>
      </c>
      <c r="L17" s="8">
        <f t="shared" si="0"/>
        <v>99312.084382495595</v>
      </c>
    </row>
    <row r="18" spans="2:12" x14ac:dyDescent="0.3">
      <c r="B18" s="4" t="s">
        <v>116</v>
      </c>
      <c r="C18" s="8">
        <f t="shared" ref="C18:L18" si="1">C17*C9</f>
        <v>16125.586785</v>
      </c>
      <c r="D18" s="8">
        <f t="shared" si="1"/>
        <v>19121.618424975</v>
      </c>
      <c r="E18" s="8">
        <f t="shared" si="1"/>
        <v>22390.844381065872</v>
      </c>
      <c r="F18" s="8">
        <f t="shared" si="1"/>
        <v>25553.945354898136</v>
      </c>
      <c r="G18" s="8">
        <f t="shared" si="1"/>
        <v>28850.058982094117</v>
      </c>
      <c r="H18" s="8">
        <f t="shared" si="1"/>
        <v>31819.367000705752</v>
      </c>
      <c r="I18" s="8">
        <f t="shared" si="1"/>
        <v>34316.583145064935</v>
      </c>
      <c r="J18" s="8">
        <f t="shared" si="1"/>
        <v>36656.545158269051</v>
      </c>
      <c r="K18" s="8">
        <f t="shared" si="1"/>
        <v>38964.549853419325</v>
      </c>
      <c r="L18" s="8">
        <f t="shared" si="1"/>
        <v>40717.954596823191</v>
      </c>
    </row>
    <row r="19" spans="2:12" x14ac:dyDescent="0.3">
      <c r="B19" s="4" t="s">
        <v>117</v>
      </c>
      <c r="C19" s="8">
        <f t="shared" ref="C19:L19" si="2">-C18*C10</f>
        <v>-2257.5821499000003</v>
      </c>
      <c r="D19" s="8">
        <f t="shared" si="2"/>
        <v>-2868.2427637462501</v>
      </c>
      <c r="E19" s="8">
        <f t="shared" si="2"/>
        <v>-3582.5351009705396</v>
      </c>
      <c r="F19" s="8">
        <f t="shared" si="2"/>
        <v>-4088.6312567837017</v>
      </c>
      <c r="G19" s="8">
        <f t="shared" si="2"/>
        <v>-4904.5100269559998</v>
      </c>
      <c r="H19" s="8">
        <f t="shared" si="2"/>
        <v>-5409.2923901199783</v>
      </c>
      <c r="I19" s="8">
        <f t="shared" si="2"/>
        <v>-5833.8191346610392</v>
      </c>
      <c r="J19" s="8">
        <f t="shared" si="2"/>
        <v>-6598.1781284884291</v>
      </c>
      <c r="K19" s="8">
        <f t="shared" si="2"/>
        <v>-7013.6189736154784</v>
      </c>
      <c r="L19" s="8">
        <f t="shared" si="2"/>
        <v>-7329.2318274281743</v>
      </c>
    </row>
    <row r="20" spans="2:12" x14ac:dyDescent="0.3">
      <c r="B20" s="12" t="s">
        <v>118</v>
      </c>
      <c r="C20" s="18">
        <f t="shared" ref="C20:L20" si="3">C18+C19</f>
        <v>13868.004635099998</v>
      </c>
      <c r="D20" s="18">
        <f t="shared" si="3"/>
        <v>16253.375661228751</v>
      </c>
      <c r="E20" s="18">
        <f t="shared" si="3"/>
        <v>18808.309280095331</v>
      </c>
      <c r="F20" s="18">
        <f t="shared" si="3"/>
        <v>21465.314098114435</v>
      </c>
      <c r="G20" s="18">
        <f t="shared" si="3"/>
        <v>23945.548955138118</v>
      </c>
      <c r="H20" s="18">
        <f t="shared" si="3"/>
        <v>26410.074610585772</v>
      </c>
      <c r="I20" s="18">
        <f t="shared" si="3"/>
        <v>28482.764010403895</v>
      </c>
      <c r="J20" s="18">
        <f t="shared" si="3"/>
        <v>30058.367029780624</v>
      </c>
      <c r="K20" s="18">
        <f t="shared" si="3"/>
        <v>31950.930879803847</v>
      </c>
      <c r="L20" s="18">
        <f t="shared" si="3"/>
        <v>33388.722769395019</v>
      </c>
    </row>
    <row r="21" spans="2:12" x14ac:dyDescent="0.3">
      <c r="B21" s="4" t="s">
        <v>119</v>
      </c>
      <c r="C21" s="8">
        <f t="shared" ref="C21:L21" si="4">C17*C11</f>
        <v>614.30806800000005</v>
      </c>
      <c r="D21" s="8">
        <f t="shared" si="4"/>
        <v>684.95349582000006</v>
      </c>
      <c r="E21" s="8">
        <f t="shared" si="4"/>
        <v>756.87361288110003</v>
      </c>
      <c r="F21" s="8">
        <f t="shared" si="4"/>
        <v>828.77660610480439</v>
      </c>
      <c r="G21" s="8">
        <f t="shared" si="4"/>
        <v>899.22261762371272</v>
      </c>
      <c r="H21" s="8">
        <f t="shared" si="4"/>
        <v>966.66431394549113</v>
      </c>
      <c r="I21" s="8">
        <f t="shared" si="4"/>
        <v>1029.497494351948</v>
      </c>
      <c r="J21" s="8">
        <f t="shared" si="4"/>
        <v>1086.1198565413051</v>
      </c>
      <c r="K21" s="8">
        <f t="shared" si="4"/>
        <v>1140.4258493683706</v>
      </c>
      <c r="L21" s="8">
        <f t="shared" si="4"/>
        <v>1191.7450125899472</v>
      </c>
    </row>
    <row r="22" spans="2:12" x14ac:dyDescent="0.3">
      <c r="B22" s="4" t="s">
        <v>120</v>
      </c>
      <c r="C22" s="8">
        <f t="shared" ref="C22:L22" si="5">-C17*C12</f>
        <v>-767.885085</v>
      </c>
      <c r="D22" s="8">
        <f t="shared" si="5"/>
        <v>-856.19186977499999</v>
      </c>
      <c r="E22" s="8">
        <f t="shared" si="5"/>
        <v>-946.09201610137495</v>
      </c>
      <c r="F22" s="8">
        <f t="shared" si="5"/>
        <v>-1035.9707576310054</v>
      </c>
      <c r="G22" s="8">
        <f t="shared" si="5"/>
        <v>-1124.0282720296409</v>
      </c>
      <c r="H22" s="8">
        <f t="shared" si="5"/>
        <v>-1208.3303924318639</v>
      </c>
      <c r="I22" s="8">
        <f t="shared" si="5"/>
        <v>-1286.8718679399351</v>
      </c>
      <c r="J22" s="8">
        <f t="shared" si="5"/>
        <v>-1357.6498206766314</v>
      </c>
      <c r="K22" s="8">
        <f t="shared" si="5"/>
        <v>-1425.5323117104631</v>
      </c>
      <c r="L22" s="8">
        <f t="shared" si="5"/>
        <v>-1489.6812657374339</v>
      </c>
    </row>
    <row r="23" spans="2:12" x14ac:dyDescent="0.3">
      <c r="B23" s="4" t="s">
        <v>121</v>
      </c>
      <c r="C23" s="8">
        <f t="shared" ref="C23:L23" si="6">-C17*C13</f>
        <v>-3378.6943740000002</v>
      </c>
      <c r="D23" s="8">
        <f t="shared" si="6"/>
        <v>-2853.9728992500004</v>
      </c>
      <c r="E23" s="8">
        <f t="shared" si="6"/>
        <v>-2522.912042937</v>
      </c>
      <c r="F23" s="8">
        <f t="shared" si="6"/>
        <v>-2210.0709496128115</v>
      </c>
      <c r="G23" s="8">
        <f t="shared" si="6"/>
        <v>-1948.3156715180442</v>
      </c>
      <c r="H23" s="8">
        <f t="shared" si="6"/>
        <v>-1772.217908900067</v>
      </c>
      <c r="I23" s="8">
        <f t="shared" si="6"/>
        <v>-1544.2462415279219</v>
      </c>
      <c r="J23" s="8">
        <f t="shared" si="6"/>
        <v>-1357.6498206766314</v>
      </c>
      <c r="K23" s="8">
        <f t="shared" si="6"/>
        <v>-1140.4258493683706</v>
      </c>
      <c r="L23" s="8">
        <f t="shared" si="6"/>
        <v>-993.12084382495595</v>
      </c>
    </row>
    <row r="24" spans="2:12" x14ac:dyDescent="0.3">
      <c r="B24" s="4" t="s">
        <v>122</v>
      </c>
      <c r="C24" s="8">
        <f t="shared" ref="C24:L24" si="7">-C17*C14</f>
        <v>-1126.231458</v>
      </c>
      <c r="D24" s="8">
        <f t="shared" si="7"/>
        <v>-1198.6686176850001</v>
      </c>
      <c r="E24" s="8">
        <f t="shared" si="7"/>
        <v>-1261.4560214685</v>
      </c>
      <c r="F24" s="8">
        <f t="shared" si="7"/>
        <v>-1312.2296263326068</v>
      </c>
      <c r="G24" s="8">
        <f t="shared" si="7"/>
        <v>-1348.8339264355689</v>
      </c>
      <c r="H24" s="8">
        <f t="shared" si="7"/>
        <v>-1369.4411114227792</v>
      </c>
      <c r="I24" s="8">
        <f t="shared" si="7"/>
        <v>-1372.6633258025975</v>
      </c>
      <c r="J24" s="8">
        <f t="shared" si="7"/>
        <v>-1357.6498206766314</v>
      </c>
      <c r="K24" s="8">
        <f t="shared" si="7"/>
        <v>-1425.5323117104631</v>
      </c>
      <c r="L24" s="8">
        <f t="shared" si="7"/>
        <v>-1489.6812657374339</v>
      </c>
    </row>
    <row r="25" spans="2:12" x14ac:dyDescent="0.3">
      <c r="B25" s="4" t="s">
        <v>123</v>
      </c>
      <c r="C25" s="8">
        <f>(C17-Supuestos!$C$15)*Supuestos!$C$20</f>
        <v>60.093389999999999</v>
      </c>
      <c r="D25" s="8">
        <f>(D17-C17)*Supuestos!$C$20</f>
        <v>58.871189850000007</v>
      </c>
      <c r="E25" s="8">
        <f>(E17-D17)*Supuestos!$C$20</f>
        <v>59.933430884249972</v>
      </c>
      <c r="F25" s="8">
        <f>(F17-E17)*Supuestos!$C$20</f>
        <v>59.919161019753666</v>
      </c>
      <c r="G25" s="8">
        <f>(G17-F17)*Supuestos!$C$20</f>
        <v>58.705009599090261</v>
      </c>
      <c r="H25" s="8">
        <f>(H17-G17)*Supuestos!$C$20</f>
        <v>56.201413601482052</v>
      </c>
      <c r="I25" s="8">
        <f>(I17-H17)*Supuestos!$C$20</f>
        <v>52.360983672047439</v>
      </c>
      <c r="J25" s="8">
        <f>(J17-I17)*Supuestos!$C$20</f>
        <v>47.185301824464261</v>
      </c>
      <c r="K25" s="8">
        <f>(K17-J17)*Supuestos!$C$20</f>
        <v>45.254994022554456</v>
      </c>
      <c r="L25" s="8">
        <f>(L17-K17)*Supuestos!$C$20</f>
        <v>42.765969351313835</v>
      </c>
    </row>
    <row r="26" spans="2:12" x14ac:dyDescent="0.3">
      <c r="B26" s="12" t="s">
        <v>124</v>
      </c>
      <c r="C26" s="18">
        <f t="shared" ref="C26:L26" si="8">C20+C21+C22+C23+C24+C25</f>
        <v>9269.5951760999978</v>
      </c>
      <c r="D26" s="18">
        <f t="shared" si="8"/>
        <v>12088.366960188749</v>
      </c>
      <c r="E26" s="18">
        <f t="shared" si="8"/>
        <v>14894.656243353806</v>
      </c>
      <c r="F26" s="18">
        <f t="shared" si="8"/>
        <v>17795.73853166257</v>
      </c>
      <c r="G26" s="18">
        <f t="shared" si="8"/>
        <v>20482.298712377666</v>
      </c>
      <c r="H26" s="18">
        <f t="shared" si="8"/>
        <v>23082.950925378031</v>
      </c>
      <c r="I26" s="18">
        <f t="shared" si="8"/>
        <v>25360.841053157434</v>
      </c>
      <c r="J26" s="18">
        <f t="shared" si="8"/>
        <v>27118.722726116506</v>
      </c>
      <c r="K26" s="18">
        <f t="shared" si="8"/>
        <v>29145.121250405478</v>
      </c>
      <c r="L26" s="18">
        <f t="shared" si="8"/>
        <v>30650.750376036456</v>
      </c>
    </row>
    <row r="27" spans="2:12" x14ac:dyDescent="0.3">
      <c r="B27" s="4" t="s">
        <v>125</v>
      </c>
      <c r="C27" s="19">
        <f>1/(1+$C$5)^1</f>
        <v>0.91324200913242015</v>
      </c>
      <c r="D27" s="19">
        <f>1/(1+$C$5)^2</f>
        <v>0.8340109672442193</v>
      </c>
      <c r="E27" s="19">
        <f>1/(1+$C$5)^3</f>
        <v>0.76165385136458386</v>
      </c>
      <c r="F27" s="19">
        <f>1/(1+$C$5)^4</f>
        <v>0.6955742934836382</v>
      </c>
      <c r="G27" s="19">
        <f>1/(1+$C$5)^5</f>
        <v>0.63522766528186136</v>
      </c>
      <c r="H27" s="19">
        <f>1/(1+$C$5)^6</f>
        <v>0.58011658929850352</v>
      </c>
      <c r="I27" s="19">
        <f>1/(1+$C$5)^7</f>
        <v>0.52978683954201233</v>
      </c>
      <c r="J27" s="19">
        <f>1/(1+$C$5)^8</f>
        <v>0.4838235977552624</v>
      </c>
      <c r="K27" s="19">
        <f>1/(1+$C$5)^9</f>
        <v>0.44184803447969173</v>
      </c>
      <c r="L27" s="19">
        <f>1/(1+$C$5)^10</f>
        <v>0.40351418673944445</v>
      </c>
    </row>
    <row r="28" spans="2:12" x14ac:dyDescent="0.3">
      <c r="B28" s="12" t="s">
        <v>126</v>
      </c>
      <c r="C28" s="18">
        <f t="shared" ref="C28:L28" si="9">C26*C27</f>
        <v>8465.3837224657527</v>
      </c>
      <c r="D28" s="18">
        <f t="shared" si="9"/>
        <v>10081.830620870081</v>
      </c>
      <c r="E28" s="18">
        <f t="shared" si="9"/>
        <v>11344.572292501971</v>
      </c>
      <c r="F28" s="18">
        <f t="shared" si="9"/>
        <v>12378.258256180749</v>
      </c>
      <c r="G28" s="18">
        <f t="shared" si="9"/>
        <v>13010.92279066934</v>
      </c>
      <c r="H28" s="18">
        <f t="shared" si="9"/>
        <v>13390.802761775039</v>
      </c>
      <c r="I28" s="18">
        <f t="shared" si="9"/>
        <v>13435.839829679597</v>
      </c>
      <c r="J28" s="18">
        <f t="shared" si="9"/>
        <v>13120.677995877086</v>
      </c>
      <c r="K28" s="18">
        <f t="shared" si="9"/>
        <v>12877.714539163955</v>
      </c>
      <c r="L28" s="18">
        <f t="shared" si="9"/>
        <v>12368.012610940072</v>
      </c>
    </row>
    <row r="30" spans="2:12" x14ac:dyDescent="0.3">
      <c r="B30" s="4" t="s">
        <v>127</v>
      </c>
      <c r="C30" s="8">
        <f>SUM(C28:L28)</f>
        <v>120474.01542012363</v>
      </c>
    </row>
    <row r="31" spans="2:12" x14ac:dyDescent="0.3">
      <c r="B31" s="4" t="s">
        <v>128</v>
      </c>
      <c r="C31" s="8">
        <f>L26*(1+$E$5)/($C$5-$E$5)</f>
        <v>506350.39621212223</v>
      </c>
    </row>
    <row r="32" spans="2:12" x14ac:dyDescent="0.3">
      <c r="B32" s="4" t="s">
        <v>129</v>
      </c>
      <c r="C32" s="8">
        <f>C31*L27</f>
        <v>204319.56833272998</v>
      </c>
    </row>
    <row r="33" spans="2:4" x14ac:dyDescent="0.3">
      <c r="B33" s="12" t="s">
        <v>130</v>
      </c>
      <c r="C33" s="18">
        <f>C30+C32</f>
        <v>324793.58375285362</v>
      </c>
    </row>
    <row r="34" spans="2:4" x14ac:dyDescent="0.3">
      <c r="B34" s="4" t="s">
        <v>131</v>
      </c>
      <c r="C34" s="9">
        <f>C32/C33</f>
        <v>0.62907513742082921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317266.58375285362</v>
      </c>
    </row>
    <row r="37" spans="2:4" x14ac:dyDescent="0.3">
      <c r="B37" s="12" t="s">
        <v>134</v>
      </c>
      <c r="C37" s="13">
        <f>C36/Supuestos!$C$12</f>
        <v>75.53966279829848</v>
      </c>
    </row>
    <row r="38" spans="2:4" x14ac:dyDescent="0.3">
      <c r="B38" s="12" t="s">
        <v>135</v>
      </c>
      <c r="C38" s="20">
        <f>C37/Supuestos!$C$8-1</f>
        <v>-5.9516150419590574E-2</v>
      </c>
    </row>
    <row r="39" spans="2:4" x14ac:dyDescent="0.3">
      <c r="B39" s="4" t="s">
        <v>136</v>
      </c>
      <c r="C39" s="8">
        <f>(C33*(1+$C$5)-C26)*(1+$C$5)-D26</f>
        <v>367197.05308124708</v>
      </c>
    </row>
    <row r="40" spans="2:4" x14ac:dyDescent="0.3">
      <c r="B40" s="12" t="s">
        <v>137</v>
      </c>
      <c r="C40" s="13">
        <f>(C39-Supuestos!$C$25)/Supuestos!$C$12</f>
        <v>85.63572692410645</v>
      </c>
      <c r="D40" s="26" t="s">
        <v>138</v>
      </c>
    </row>
    <row r="41" spans="2:4" x14ac:dyDescent="0.3">
      <c r="B41" s="12" t="s">
        <v>139</v>
      </c>
      <c r="C41" s="20">
        <f>C40/Supuestos!$C$9-1</f>
        <v>0.13424803872988678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43"/>
  <sheetViews>
    <sheetView showGridLines="0" zoomScaleNormal="100" workbookViewId="0">
      <selection activeCell="E33" sqref="E33"/>
    </sheetView>
  </sheetViews>
  <sheetFormatPr baseColWidth="10" defaultColWidth="8.6640625" defaultRowHeight="14.4" x14ac:dyDescent="0.3"/>
  <cols>
    <col min="2" max="2" width="48" customWidth="1"/>
    <col min="3" max="3" width="7.6640625" bestFit="1" customWidth="1"/>
    <col min="4" max="4" width="20.77734375" bestFit="1" customWidth="1"/>
    <col min="5" max="5" width="6.6640625" bestFit="1" customWidth="1"/>
    <col min="6" max="6" width="23.33203125" bestFit="1" customWidth="1"/>
    <col min="7" max="7" width="6.6640625" bestFit="1" customWidth="1"/>
    <col min="8" max="12" width="12" customWidth="1"/>
  </cols>
  <sheetData>
    <row r="2" spans="2:12" ht="16.95" customHeight="1" x14ac:dyDescent="0.3">
      <c r="B2" s="22" t="s">
        <v>141</v>
      </c>
    </row>
    <row r="3" spans="2:12" x14ac:dyDescent="0.3">
      <c r="B3" s="1"/>
    </row>
    <row r="5" spans="2:12" x14ac:dyDescent="0.3">
      <c r="B5" s="12" t="s">
        <v>41</v>
      </c>
      <c r="C5" s="27">
        <f>Supuestos!$C$34</f>
        <v>0.09</v>
      </c>
      <c r="D5" s="12" t="s">
        <v>94</v>
      </c>
      <c r="E5" s="27">
        <f>Supuestos!$D$34</f>
        <v>3.5000000000000003E-2</v>
      </c>
      <c r="F5" s="12" t="s">
        <v>95</v>
      </c>
      <c r="G5" s="28">
        <f>Supuestos!$E$34</f>
        <v>0.25</v>
      </c>
    </row>
    <row r="7" spans="2:12" x14ac:dyDescent="0.3">
      <c r="B7" s="3" t="s">
        <v>96</v>
      </c>
      <c r="C7" s="10" t="s">
        <v>97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0" t="s">
        <v>104</v>
      </c>
      <c r="K7" s="10" t="s">
        <v>105</v>
      </c>
      <c r="L7" s="10" t="s">
        <v>106</v>
      </c>
    </row>
    <row r="8" spans="2:12" x14ac:dyDescent="0.3">
      <c r="B8" s="4" t="s">
        <v>107</v>
      </c>
      <c r="C8" s="7">
        <v>0.13500000000000001</v>
      </c>
      <c r="D8" s="7">
        <v>0.13500000000000001</v>
      </c>
      <c r="E8" s="7">
        <v>0.128</v>
      </c>
      <c r="F8" s="7">
        <v>0.11799999999999999</v>
      </c>
      <c r="G8" s="7">
        <v>0.108</v>
      </c>
      <c r="H8" s="7">
        <v>9.8000000000000004E-2</v>
      </c>
      <c r="I8" s="7">
        <v>8.7999999999999995E-2</v>
      </c>
      <c r="J8" s="7">
        <v>7.8E-2</v>
      </c>
      <c r="K8" s="7">
        <v>6.8000000000000005E-2</v>
      </c>
      <c r="L8" s="7">
        <v>0.06</v>
      </c>
    </row>
    <row r="9" spans="2:12" x14ac:dyDescent="0.3">
      <c r="B9" s="4" t="s">
        <v>108</v>
      </c>
      <c r="C9" s="7">
        <v>0.318</v>
      </c>
      <c r="D9" s="7">
        <v>0.34499999999999997</v>
      </c>
      <c r="E9" s="7">
        <v>0.37</v>
      </c>
      <c r="F9" s="7">
        <v>0.39</v>
      </c>
      <c r="G9" s="7">
        <v>0.40500000000000003</v>
      </c>
      <c r="H9" s="7">
        <v>0.41799999999999998</v>
      </c>
      <c r="I9" s="7">
        <v>0.42799999999999999</v>
      </c>
      <c r="J9" s="7">
        <v>0.435</v>
      </c>
      <c r="K9" s="7">
        <v>0.44</v>
      </c>
      <c r="L9" s="7">
        <v>0.443</v>
      </c>
    </row>
    <row r="10" spans="2:12" x14ac:dyDescent="0.3">
      <c r="B10" s="4" t="s">
        <v>109</v>
      </c>
      <c r="C10" s="7">
        <v>0.14000000000000001</v>
      </c>
      <c r="D10" s="7">
        <v>0.14000000000000001</v>
      </c>
      <c r="E10" s="7">
        <v>0.15</v>
      </c>
      <c r="F10" s="7">
        <v>0.16</v>
      </c>
      <c r="G10" s="7">
        <v>0.16</v>
      </c>
      <c r="H10" s="7">
        <v>0.16</v>
      </c>
      <c r="I10" s="7">
        <v>0.17</v>
      </c>
      <c r="J10" s="7">
        <v>0.17</v>
      </c>
      <c r="K10" s="7">
        <v>0.17</v>
      </c>
      <c r="L10" s="7">
        <v>0.17</v>
      </c>
    </row>
    <row r="11" spans="2:12" x14ac:dyDescent="0.3">
      <c r="B11" s="4" t="s">
        <v>110</v>
      </c>
      <c r="C11" s="7">
        <v>1.2E-2</v>
      </c>
      <c r="D11" s="7">
        <v>1.2E-2</v>
      </c>
      <c r="E11" s="7">
        <v>1.2E-2</v>
      </c>
      <c r="F11" s="7">
        <v>1.2E-2</v>
      </c>
      <c r="G11" s="7">
        <v>1.2E-2</v>
      </c>
      <c r="H11" s="7">
        <v>1.2E-2</v>
      </c>
      <c r="I11" s="7">
        <v>1.2E-2</v>
      </c>
      <c r="J11" s="7">
        <v>1.2E-2</v>
      </c>
      <c r="K11" s="7">
        <v>1.2E-2</v>
      </c>
      <c r="L11" s="7">
        <v>1.2E-2</v>
      </c>
    </row>
    <row r="12" spans="2:12" x14ac:dyDescent="0.3">
      <c r="B12" s="4" t="s">
        <v>111</v>
      </c>
      <c r="C12" s="7">
        <v>1.4E-2</v>
      </c>
      <c r="D12" s="7">
        <v>1.4E-2</v>
      </c>
      <c r="E12" s="7">
        <v>1.4E-2</v>
      </c>
      <c r="F12" s="7">
        <v>1.4E-2</v>
      </c>
      <c r="G12" s="7">
        <v>1.4E-2</v>
      </c>
      <c r="H12" s="7">
        <v>1.4E-2</v>
      </c>
      <c r="I12" s="7">
        <v>1.4E-2</v>
      </c>
      <c r="J12" s="7">
        <v>1.4E-2</v>
      </c>
      <c r="K12" s="7">
        <v>1.4E-2</v>
      </c>
      <c r="L12" s="7">
        <v>1.4E-2</v>
      </c>
    </row>
    <row r="13" spans="2:12" x14ac:dyDescent="0.3">
      <c r="B13" s="4" t="s">
        <v>112</v>
      </c>
      <c r="C13" s="7">
        <v>6.4000000000000001E-2</v>
      </c>
      <c r="D13" s="7">
        <v>4.3999999999999997E-2</v>
      </c>
      <c r="E13" s="7">
        <v>3.2000000000000001E-2</v>
      </c>
      <c r="F13" s="7">
        <v>2.1999999999999999E-2</v>
      </c>
      <c r="G13" s="7">
        <v>1.6E-2</v>
      </c>
      <c r="H13" s="7">
        <v>1.2E-2</v>
      </c>
      <c r="I13" s="7">
        <v>0.01</v>
      </c>
      <c r="J13" s="7">
        <v>8.0000000000000002E-3</v>
      </c>
      <c r="K13" s="7">
        <v>6.0000000000000001E-3</v>
      </c>
      <c r="L13" s="7">
        <v>5.0000000000000001E-3</v>
      </c>
    </row>
    <row r="14" spans="2:12" x14ac:dyDescent="0.3">
      <c r="B14" s="4" t="s">
        <v>113</v>
      </c>
      <c r="C14" s="7">
        <v>2.1000000000000001E-2</v>
      </c>
      <c r="D14" s="7">
        <v>0.02</v>
      </c>
      <c r="E14" s="7">
        <v>1.7999999999999999E-2</v>
      </c>
      <c r="F14" s="7">
        <v>1.7000000000000001E-2</v>
      </c>
      <c r="G14" s="7">
        <v>1.6E-2</v>
      </c>
      <c r="H14" s="7">
        <v>1.4999999999999999E-2</v>
      </c>
      <c r="I14" s="7">
        <v>1.4E-2</v>
      </c>
      <c r="J14" s="7">
        <v>1.2999999999999999E-2</v>
      </c>
      <c r="K14" s="7">
        <v>1.2999999999999999E-2</v>
      </c>
      <c r="L14" s="7">
        <v>1.2999999999999999E-2</v>
      </c>
    </row>
    <row r="16" spans="2:12" x14ac:dyDescent="0.3">
      <c r="B16" s="3" t="s">
        <v>114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spans="2:12" x14ac:dyDescent="0.3">
      <c r="B17" s="4" t="s">
        <v>115</v>
      </c>
      <c r="C17" s="8">
        <f>Supuestos!$C$15*(1+C8)</f>
        <v>51282.705000000002</v>
      </c>
      <c r="D17" s="8">
        <f t="shared" ref="D17:L17" si="0">C17*(1+D8)</f>
        <v>58205.870175000004</v>
      </c>
      <c r="E17" s="8">
        <f t="shared" si="0"/>
        <v>65656.221557400015</v>
      </c>
      <c r="F17" s="8">
        <f t="shared" si="0"/>
        <v>73403.655701173207</v>
      </c>
      <c r="G17" s="8">
        <f t="shared" si="0"/>
        <v>81331.25051689992</v>
      </c>
      <c r="H17" s="8">
        <f t="shared" si="0"/>
        <v>89301.71306755612</v>
      </c>
      <c r="I17" s="8">
        <f t="shared" si="0"/>
        <v>97160.263817501065</v>
      </c>
      <c r="J17" s="8">
        <f t="shared" si="0"/>
        <v>104738.76439526616</v>
      </c>
      <c r="K17" s="8">
        <f t="shared" si="0"/>
        <v>111861.00037414426</v>
      </c>
      <c r="L17" s="8">
        <f t="shared" si="0"/>
        <v>118572.66039659292</v>
      </c>
    </row>
    <row r="18" spans="2:12" x14ac:dyDescent="0.3">
      <c r="B18" s="4" t="s">
        <v>116</v>
      </c>
      <c r="C18" s="8">
        <f t="shared" ref="C18:L18" si="1">C17*C9</f>
        <v>16307.90019</v>
      </c>
      <c r="D18" s="8">
        <f t="shared" si="1"/>
        <v>20081.025210374999</v>
      </c>
      <c r="E18" s="8">
        <f t="shared" si="1"/>
        <v>24292.801976238006</v>
      </c>
      <c r="F18" s="8">
        <f t="shared" si="1"/>
        <v>28627.425723457553</v>
      </c>
      <c r="G18" s="8">
        <f t="shared" si="1"/>
        <v>32939.156459344471</v>
      </c>
      <c r="H18" s="8">
        <f t="shared" si="1"/>
        <v>37328.116062238456</v>
      </c>
      <c r="I18" s="8">
        <f t="shared" si="1"/>
        <v>41584.592913890454</v>
      </c>
      <c r="J18" s="8">
        <f t="shared" si="1"/>
        <v>45561.362511940781</v>
      </c>
      <c r="K18" s="8">
        <f t="shared" si="1"/>
        <v>49218.840164623478</v>
      </c>
      <c r="L18" s="8">
        <f t="shared" si="1"/>
        <v>52527.688555690664</v>
      </c>
    </row>
    <row r="19" spans="2:12" x14ac:dyDescent="0.3">
      <c r="B19" s="4" t="s">
        <v>117</v>
      </c>
      <c r="C19" s="8">
        <f t="shared" ref="C19:L19" si="2">-C18*C10</f>
        <v>-2283.1060266000004</v>
      </c>
      <c r="D19" s="8">
        <f t="shared" si="2"/>
        <v>-2811.3435294525002</v>
      </c>
      <c r="E19" s="8">
        <f t="shared" si="2"/>
        <v>-3643.9202964357009</v>
      </c>
      <c r="F19" s="8">
        <f t="shared" si="2"/>
        <v>-4580.3881157532087</v>
      </c>
      <c r="G19" s="8">
        <f t="shared" si="2"/>
        <v>-5270.2650334951159</v>
      </c>
      <c r="H19" s="8">
        <f t="shared" si="2"/>
        <v>-5972.498569958153</v>
      </c>
      <c r="I19" s="8">
        <f t="shared" si="2"/>
        <v>-7069.3807953613777</v>
      </c>
      <c r="J19" s="8">
        <f t="shared" si="2"/>
        <v>-7745.4316270299332</v>
      </c>
      <c r="K19" s="8">
        <f t="shared" si="2"/>
        <v>-8367.2028279859915</v>
      </c>
      <c r="L19" s="8">
        <f t="shared" si="2"/>
        <v>-8929.7070544674134</v>
      </c>
    </row>
    <row r="20" spans="2:12" x14ac:dyDescent="0.3">
      <c r="B20" s="12" t="s">
        <v>118</v>
      </c>
      <c r="C20" s="18">
        <f t="shared" ref="C20:L20" si="3">C18+C19</f>
        <v>14024.7941634</v>
      </c>
      <c r="D20" s="18">
        <f t="shared" si="3"/>
        <v>17269.681680922498</v>
      </c>
      <c r="E20" s="18">
        <f t="shared" si="3"/>
        <v>20648.881679802304</v>
      </c>
      <c r="F20" s="18">
        <f t="shared" si="3"/>
        <v>24047.037607704344</v>
      </c>
      <c r="G20" s="18">
        <f t="shared" si="3"/>
        <v>27668.891425849353</v>
      </c>
      <c r="H20" s="18">
        <f t="shared" si="3"/>
        <v>31355.617492280304</v>
      </c>
      <c r="I20" s="18">
        <f t="shared" si="3"/>
        <v>34515.212118529074</v>
      </c>
      <c r="J20" s="18">
        <f t="shared" si="3"/>
        <v>37815.930884910849</v>
      </c>
      <c r="K20" s="18">
        <f t="shared" si="3"/>
        <v>40851.63733663749</v>
      </c>
      <c r="L20" s="18">
        <f t="shared" si="3"/>
        <v>43597.98150122325</v>
      </c>
    </row>
    <row r="21" spans="2:12" x14ac:dyDescent="0.3">
      <c r="B21" s="4" t="s">
        <v>119</v>
      </c>
      <c r="C21" s="8">
        <f t="shared" ref="C21:L21" si="4">C17*C11</f>
        <v>615.39246000000003</v>
      </c>
      <c r="D21" s="8">
        <f t="shared" si="4"/>
        <v>698.47044210000001</v>
      </c>
      <c r="E21" s="8">
        <f t="shared" si="4"/>
        <v>787.8746586888002</v>
      </c>
      <c r="F21" s="8">
        <f t="shared" si="4"/>
        <v>880.84386841407854</v>
      </c>
      <c r="G21" s="8">
        <f t="shared" si="4"/>
        <v>975.97500620279902</v>
      </c>
      <c r="H21" s="8">
        <f t="shared" si="4"/>
        <v>1071.6205568106734</v>
      </c>
      <c r="I21" s="8">
        <f t="shared" si="4"/>
        <v>1165.9231658100127</v>
      </c>
      <c r="J21" s="8">
        <f t="shared" si="4"/>
        <v>1256.8651727431939</v>
      </c>
      <c r="K21" s="8">
        <f t="shared" si="4"/>
        <v>1342.3320044897312</v>
      </c>
      <c r="L21" s="8">
        <f t="shared" si="4"/>
        <v>1422.871924759115</v>
      </c>
    </row>
    <row r="22" spans="2:12" x14ac:dyDescent="0.3">
      <c r="B22" s="4" t="s">
        <v>120</v>
      </c>
      <c r="C22" s="8">
        <f t="shared" ref="C22:L22" si="5">-C17*C12</f>
        <v>-717.95787000000007</v>
      </c>
      <c r="D22" s="8">
        <f t="shared" si="5"/>
        <v>-814.88218245000007</v>
      </c>
      <c r="E22" s="8">
        <f t="shared" si="5"/>
        <v>-919.18710180360017</v>
      </c>
      <c r="F22" s="8">
        <f t="shared" si="5"/>
        <v>-1027.6511798164249</v>
      </c>
      <c r="G22" s="8">
        <f t="shared" si="5"/>
        <v>-1138.6375072365988</v>
      </c>
      <c r="H22" s="8">
        <f t="shared" si="5"/>
        <v>-1250.2239829457858</v>
      </c>
      <c r="I22" s="8">
        <f t="shared" si="5"/>
        <v>-1360.243693445015</v>
      </c>
      <c r="J22" s="8">
        <f t="shared" si="5"/>
        <v>-1466.3427015337263</v>
      </c>
      <c r="K22" s="8">
        <f t="shared" si="5"/>
        <v>-1566.0540052380197</v>
      </c>
      <c r="L22" s="8">
        <f t="shared" si="5"/>
        <v>-1660.0172455523009</v>
      </c>
    </row>
    <row r="23" spans="2:12" x14ac:dyDescent="0.3">
      <c r="B23" s="4" t="s">
        <v>121</v>
      </c>
      <c r="C23" s="8">
        <f t="shared" ref="C23:L23" si="6">-C17*C13</f>
        <v>-3282.09312</v>
      </c>
      <c r="D23" s="8">
        <f t="shared" si="6"/>
        <v>-2561.0582877000002</v>
      </c>
      <c r="E23" s="8">
        <f t="shared" si="6"/>
        <v>-2100.9990898368005</v>
      </c>
      <c r="F23" s="8">
        <f t="shared" si="6"/>
        <v>-1614.8804254258105</v>
      </c>
      <c r="G23" s="8">
        <f t="shared" si="6"/>
        <v>-1301.3000082703988</v>
      </c>
      <c r="H23" s="8">
        <f t="shared" si="6"/>
        <v>-1071.6205568106734</v>
      </c>
      <c r="I23" s="8">
        <f t="shared" si="6"/>
        <v>-971.60263817501072</v>
      </c>
      <c r="J23" s="8">
        <f t="shared" si="6"/>
        <v>-837.91011516212927</v>
      </c>
      <c r="K23" s="8">
        <f t="shared" si="6"/>
        <v>-671.16600224486558</v>
      </c>
      <c r="L23" s="8">
        <f t="shared" si="6"/>
        <v>-592.86330198296469</v>
      </c>
    </row>
    <row r="24" spans="2:12" x14ac:dyDescent="0.3">
      <c r="B24" s="4" t="s">
        <v>122</v>
      </c>
      <c r="C24" s="8">
        <f t="shared" ref="C24:L24" si="7">-C17*C14</f>
        <v>-1076.936805</v>
      </c>
      <c r="D24" s="8">
        <f t="shared" si="7"/>
        <v>-1164.1174035000001</v>
      </c>
      <c r="E24" s="8">
        <f t="shared" si="7"/>
        <v>-1181.8119880332001</v>
      </c>
      <c r="F24" s="8">
        <f t="shared" si="7"/>
        <v>-1247.8621469199445</v>
      </c>
      <c r="G24" s="8">
        <f t="shared" si="7"/>
        <v>-1301.3000082703988</v>
      </c>
      <c r="H24" s="8">
        <f t="shared" si="7"/>
        <v>-1339.5256960133418</v>
      </c>
      <c r="I24" s="8">
        <f t="shared" si="7"/>
        <v>-1360.243693445015</v>
      </c>
      <c r="J24" s="8">
        <f t="shared" si="7"/>
        <v>-1361.60393713846</v>
      </c>
      <c r="K24" s="8">
        <f t="shared" si="7"/>
        <v>-1454.1930048638753</v>
      </c>
      <c r="L24" s="8">
        <f t="shared" si="7"/>
        <v>-1541.444585155708</v>
      </c>
    </row>
    <row r="25" spans="2:12" x14ac:dyDescent="0.3">
      <c r="B25" s="4" t="s">
        <v>123</v>
      </c>
      <c r="C25" s="8">
        <f>(C17-Supuestos!$C$15)*Supuestos!$C$20</f>
        <v>60.997050000000016</v>
      </c>
      <c r="D25" s="8">
        <f>(D17-C17)*Supuestos!$C$20</f>
        <v>69.231651750000026</v>
      </c>
      <c r="E25" s="8">
        <f>(E17-D17)*Supuestos!$C$20</f>
        <v>74.503513824000109</v>
      </c>
      <c r="F25" s="8">
        <f>(F17-E17)*Supuestos!$C$20</f>
        <v>77.474341437731923</v>
      </c>
      <c r="G25" s="8">
        <f>(G17-F17)*Supuestos!$C$20</f>
        <v>79.275948157267123</v>
      </c>
      <c r="H25" s="8">
        <f>(H17-G17)*Supuestos!$C$20</f>
        <v>79.70462550656201</v>
      </c>
      <c r="I25" s="8">
        <f>(I17-H17)*Supuestos!$C$20</f>
        <v>78.585507499449449</v>
      </c>
      <c r="J25" s="8">
        <f>(J17-I17)*Supuestos!$C$20</f>
        <v>75.785005777650952</v>
      </c>
      <c r="K25" s="8">
        <f>(K17-J17)*Supuestos!$C$20</f>
        <v>71.222359788781034</v>
      </c>
      <c r="L25" s="8">
        <f>(L17-K17)*Supuestos!$C$20</f>
        <v>67.116600224486618</v>
      </c>
    </row>
    <row r="26" spans="2:12" x14ac:dyDescent="0.3">
      <c r="B26" s="12" t="s">
        <v>124</v>
      </c>
      <c r="C26" s="18">
        <f t="shared" ref="C26:L26" si="8">C20+C21+C22+C23+C24+C25</f>
        <v>9624.1958784000017</v>
      </c>
      <c r="D26" s="18">
        <f t="shared" si="8"/>
        <v>13497.325901122496</v>
      </c>
      <c r="E26" s="18">
        <f t="shared" si="8"/>
        <v>17309.261672641504</v>
      </c>
      <c r="F26" s="18">
        <f t="shared" si="8"/>
        <v>21114.962065393975</v>
      </c>
      <c r="G26" s="18">
        <f t="shared" si="8"/>
        <v>24982.904856432026</v>
      </c>
      <c r="H26" s="18">
        <f t="shared" si="8"/>
        <v>28845.572438827738</v>
      </c>
      <c r="I26" s="18">
        <f t="shared" si="8"/>
        <v>32067.630766773491</v>
      </c>
      <c r="J26" s="18">
        <f t="shared" si="8"/>
        <v>35482.724309597375</v>
      </c>
      <c r="K26" s="18">
        <f t="shared" si="8"/>
        <v>38573.778688569248</v>
      </c>
      <c r="L26" s="18">
        <f t="shared" si="8"/>
        <v>41293.644893515877</v>
      </c>
    </row>
    <row r="27" spans="2:12" x14ac:dyDescent="0.3">
      <c r="B27" s="4" t="s">
        <v>125</v>
      </c>
      <c r="C27" s="19">
        <f>1/(1+$C$5)^1</f>
        <v>0.9174311926605504</v>
      </c>
      <c r="D27" s="19">
        <f>1/(1+$C$5)^2</f>
        <v>0.84167999326655996</v>
      </c>
      <c r="E27" s="19">
        <f>1/(1+$C$5)^3</f>
        <v>0.77218348006106419</v>
      </c>
      <c r="F27" s="19">
        <f>1/(1+$C$5)^4</f>
        <v>0.7084252110651964</v>
      </c>
      <c r="G27" s="19">
        <f>1/(1+$C$5)^5</f>
        <v>0.64993138629834524</v>
      </c>
      <c r="H27" s="19">
        <f>1/(1+$C$5)^6</f>
        <v>0.5962673268792158</v>
      </c>
      <c r="I27" s="19">
        <f>1/(1+$C$5)^7</f>
        <v>0.54703424484331731</v>
      </c>
      <c r="J27" s="19">
        <f>1/(1+$C$5)^8</f>
        <v>0.50186627967276809</v>
      </c>
      <c r="K27" s="19">
        <f>1/(1+$C$5)^9</f>
        <v>0.46042777951630098</v>
      </c>
      <c r="L27" s="19">
        <f>1/(1+$C$5)^10</f>
        <v>0.42241080689568894</v>
      </c>
    </row>
    <row r="28" spans="2:12" x14ac:dyDescent="0.3">
      <c r="B28" s="12" t="s">
        <v>126</v>
      </c>
      <c r="C28" s="18">
        <f t="shared" ref="C28:L28" si="9">C26*C27</f>
        <v>8829.5375031192671</v>
      </c>
      <c r="D28" s="18">
        <f t="shared" si="9"/>
        <v>11360.429173573348</v>
      </c>
      <c r="E28" s="18">
        <f t="shared" si="9"/>
        <v>13365.925915667913</v>
      </c>
      <c r="F28" s="18">
        <f t="shared" si="9"/>
        <v>14958.371457810343</v>
      </c>
      <c r="G28" s="18">
        <f t="shared" si="9"/>
        <v>16237.173987100528</v>
      </c>
      <c r="H28" s="18">
        <f t="shared" si="9"/>
        <v>17199.672370400596</v>
      </c>
      <c r="I28" s="18">
        <f t="shared" si="9"/>
        <v>17542.092180416264</v>
      </c>
      <c r="J28" s="18">
        <f t="shared" si="9"/>
        <v>17807.582841912124</v>
      </c>
      <c r="K28" s="18">
        <f t="shared" si="9"/>
        <v>17760.439269131151</v>
      </c>
      <c r="L28" s="18">
        <f t="shared" si="9"/>
        <v>17442.881859134086</v>
      </c>
    </row>
    <row r="30" spans="2:12" x14ac:dyDescent="0.3">
      <c r="B30" s="4" t="s">
        <v>127</v>
      </c>
      <c r="C30" s="8">
        <f>SUM(C28:L28)</f>
        <v>152504.10655826563</v>
      </c>
    </row>
    <row r="31" spans="2:12" x14ac:dyDescent="0.3">
      <c r="B31" s="4" t="s">
        <v>128</v>
      </c>
      <c r="C31" s="8">
        <f>L26*(1+$E$5)/($C$5-$E$5)</f>
        <v>777071.31754161697</v>
      </c>
    </row>
    <row r="32" spans="2:12" x14ac:dyDescent="0.3">
      <c r="B32" s="4" t="s">
        <v>129</v>
      </c>
      <c r="C32" s="8">
        <f>C31*L27</f>
        <v>328243.32225825056</v>
      </c>
    </row>
    <row r="33" spans="2:4" x14ac:dyDescent="0.3">
      <c r="B33" s="12" t="s">
        <v>130</v>
      </c>
      <c r="C33" s="18">
        <f>C30+C32</f>
        <v>480747.42881651619</v>
      </c>
    </row>
    <row r="34" spans="2:4" x14ac:dyDescent="0.3">
      <c r="B34" s="4" t="s">
        <v>131</v>
      </c>
      <c r="C34" s="9">
        <f>C32/C33</f>
        <v>0.6827770729139544</v>
      </c>
    </row>
    <row r="35" spans="2:4" x14ac:dyDescent="0.3">
      <c r="B35" s="4" t="s">
        <v>132</v>
      </c>
      <c r="C35" s="8">
        <f>-Supuestos!$C$25</f>
        <v>-7527</v>
      </c>
    </row>
    <row r="36" spans="2:4" x14ac:dyDescent="0.3">
      <c r="B36" s="12" t="s">
        <v>133</v>
      </c>
      <c r="C36" s="18">
        <f>C33+C35</f>
        <v>473220.42881651619</v>
      </c>
    </row>
    <row r="37" spans="2:4" x14ac:dyDescent="0.3">
      <c r="B37" s="12" t="s">
        <v>134</v>
      </c>
      <c r="C37" s="13">
        <f>C36/Supuestos!$C$12</f>
        <v>112.6715306705991</v>
      </c>
    </row>
    <row r="38" spans="2:4" x14ac:dyDescent="0.3">
      <c r="B38" s="12" t="s">
        <v>135</v>
      </c>
      <c r="C38" s="20">
        <f>C37/Supuestos!$C$8-1</f>
        <v>0.40278300137698086</v>
      </c>
    </row>
    <row r="39" spans="2:4" x14ac:dyDescent="0.3">
      <c r="B39" s="4" t="s">
        <v>136</v>
      </c>
      <c r="C39" s="8">
        <f>(C33*(1+$C$5)-C26)*(1+$C$5)-D26</f>
        <v>547188.32076832443</v>
      </c>
    </row>
    <row r="40" spans="2:4" x14ac:dyDescent="0.3">
      <c r="B40" s="12" t="s">
        <v>137</v>
      </c>
      <c r="C40" s="13">
        <f>(C39-Supuestos!$C$25)/Supuestos!$C$12</f>
        <v>128.49079065912485</v>
      </c>
      <c r="D40" s="26" t="s">
        <v>138</v>
      </c>
    </row>
    <row r="41" spans="2:4" x14ac:dyDescent="0.3">
      <c r="B41" s="12" t="s">
        <v>139</v>
      </c>
      <c r="C41" s="20">
        <f>C40/Supuestos!$C$9-1</f>
        <v>0.70186477694205096</v>
      </c>
    </row>
    <row r="43" spans="2:4" x14ac:dyDescent="0.3">
      <c r="B43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20"/>
  <sheetViews>
    <sheetView showGridLines="0" zoomScaleNormal="100" workbookViewId="0">
      <selection activeCell="E28" sqref="E28"/>
    </sheetView>
  </sheetViews>
  <sheetFormatPr baseColWidth="10" defaultColWidth="8.6640625" defaultRowHeight="14.4" x14ac:dyDescent="0.3"/>
  <cols>
    <col min="2" max="2" width="44" customWidth="1"/>
    <col min="3" max="7" width="14" customWidth="1"/>
  </cols>
  <sheetData>
    <row r="2" spans="2:7" ht="16.95" customHeight="1" x14ac:dyDescent="0.3">
      <c r="B2" s="22" t="s">
        <v>142</v>
      </c>
    </row>
    <row r="3" spans="2:7" x14ac:dyDescent="0.3">
      <c r="B3" s="1"/>
    </row>
    <row r="5" spans="2:7" x14ac:dyDescent="0.3">
      <c r="B5" s="3" t="s">
        <v>143</v>
      </c>
      <c r="C5" s="29">
        <v>0.02</v>
      </c>
      <c r="D5" s="29">
        <v>2.5000000000000001E-2</v>
      </c>
      <c r="E5" s="29">
        <v>0.03</v>
      </c>
      <c r="F5" s="29">
        <v>3.5000000000000003E-2</v>
      </c>
      <c r="G5" s="29">
        <v>0.04</v>
      </c>
    </row>
    <row r="6" spans="2:7" x14ac:dyDescent="0.3">
      <c r="B6" s="27">
        <v>0.09</v>
      </c>
      <c r="C6" s="30">
        <f>(SUMPRODUCT(Base!$C$26:$L$26/(1+$B6)^(COLUMN(Base!$C$26:$L$26)-2))+Base!$L$26*(1+C$5)/($B6-C$5)/(1+$B6)^10-Supuestos!$C$25)/Supuestos!$C$12</f>
        <v>72.582090494551181</v>
      </c>
      <c r="D6" s="30">
        <f>(SUMPRODUCT(Base!$C$26:$L$26/(1+$B6)^(COLUMN(Base!$C$26:$L$26)-2))+Base!$L$26*(1+D$5)/($B6-D$5)/(1+$B6)^10-Supuestos!$C$25)/Supuestos!$C$12</f>
        <v>76.274517741057423</v>
      </c>
      <c r="E6" s="30">
        <f>(SUMPRODUCT(Base!$C$26:$L$26/(1+$B6)^(COLUMN(Base!$C$26:$L$26)-2))+Base!$L$26*(1+E$5)/($B6-E$5)/(1+$B6)^10-Supuestos!$C$25)/Supuestos!$C$12</f>
        <v>80.582349528648052</v>
      </c>
      <c r="F6" s="30">
        <f>(SUMPRODUCT(Base!$C$26:$L$26/(1+$B6)^(COLUMN(Base!$C$26:$L$26)-2))+Base!$L$26*(1+F$5)/($B6-F$5)/(1+$B6)^10-Supuestos!$C$25)/Supuestos!$C$12</f>
        <v>85.673423459436975</v>
      </c>
      <c r="G6" s="30">
        <f>(SUMPRODUCT(Base!$C$26:$L$26/(1+$B6)^(COLUMN(Base!$C$26:$L$26)-2))+Base!$L$26*(1+G$5)/($B6-G$5)/(1+$B6)^10-Supuestos!$C$25)/Supuestos!$C$12</f>
        <v>91.782712176383683</v>
      </c>
    </row>
    <row r="7" spans="2:7" x14ac:dyDescent="0.3">
      <c r="B7" s="27">
        <v>9.5000000000000001E-2</v>
      </c>
      <c r="C7" s="30">
        <f>(SUMPRODUCT(Base!$C$26:$L$26/(1+$B7)^(COLUMN(Base!$C$26:$L$26)-2))+Base!$L$26*(1+C$5)/($B7-C$5)/(1+$B7)^10-Supuestos!$C$25)/Supuestos!$C$12</f>
        <v>66.940949268787762</v>
      </c>
      <c r="D7" s="30">
        <f>(SUMPRODUCT(Base!$C$26:$L$26/(1+$B7)^(COLUMN(Base!$C$26:$L$26)-2))+Base!$L$26*(1+D$5)/($B7-D$5)/(1+$B7)^10-Supuestos!$C$25)/Supuestos!$C$12</f>
        <v>70.011918386470143</v>
      </c>
      <c r="E7" s="31">
        <f>(SUMPRODUCT(Base!$C$26:$L$26/(1+$B7)^(COLUMN(Base!$C$26:$L$26)-2))+Base!$L$26*(1+E$5)/($B7-E$5)/(1+$B7)^10-Supuestos!$C$25)/Supuestos!$C$12</f>
        <v>73.555344291488311</v>
      </c>
      <c r="F7" s="30">
        <f>(SUMPRODUCT(Base!$C$26:$L$26/(1+$B7)^(COLUMN(Base!$C$26:$L$26)-2))+Base!$L$26*(1+F$5)/($B7-F$5)/(1+$B7)^10-Supuestos!$C$25)/Supuestos!$C$12</f>
        <v>77.689341180676152</v>
      </c>
      <c r="G7" s="30">
        <f>(SUMPRODUCT(Base!$C$26:$L$26/(1+$B7)^(COLUMN(Base!$C$26:$L$26)-2))+Base!$L$26*(1+G$5)/($B7-G$5)/(1+$B7)^10-Supuestos!$C$25)/Supuestos!$C$12</f>
        <v>82.574973867898152</v>
      </c>
    </row>
    <row r="8" spans="2:7" x14ac:dyDescent="0.3">
      <c r="B8" s="27">
        <v>0.1</v>
      </c>
      <c r="C8" s="30">
        <f>(SUMPRODUCT(Base!$C$26:$L$26/(1+$B8)^(COLUMN(Base!$C$26:$L$26)-2))+Base!$L$26*(1+C$5)/($B8-C$5)/(1+$B8)^10-Supuestos!$C$25)/Supuestos!$C$12</f>
        <v>62.022660819623951</v>
      </c>
      <c r="D8" s="30">
        <f>(SUMPRODUCT(Base!$C$26:$L$26/(1+$B8)^(COLUMN(Base!$C$26:$L$26)-2))+Base!$L$26*(1+D$5)/($B8-D$5)/(1+$B8)^10-Supuestos!$C$25)/Supuestos!$C$12</f>
        <v>64.601809675934774</v>
      </c>
      <c r="E8" s="30">
        <f>(SUMPRODUCT(Base!$C$26:$L$26/(1+$B8)^(COLUMN(Base!$C$26:$L$26)-2))+Base!$L$26*(1+E$5)/($B8-E$5)/(1+$B8)^10-Supuestos!$C$25)/Supuestos!$C$12</f>
        <v>67.549408368861435</v>
      </c>
      <c r="F8" s="30">
        <f>(SUMPRODUCT(Base!$C$26:$L$26/(1+$B8)^(COLUMN(Base!$C$26:$L$26)-2))+Base!$L$26*(1+F$5)/($B8-F$5)/(1+$B8)^10-Supuestos!$C$25)/Supuestos!$C$12</f>
        <v>70.950483783776832</v>
      </c>
      <c r="G8" s="30">
        <f>(SUMPRODUCT(Base!$C$26:$L$26/(1+$B8)^(COLUMN(Base!$C$26:$L$26)-2))+Base!$L$26*(1+G$5)/($B8-G$5)/(1+$B8)^10-Supuestos!$C$25)/Supuestos!$C$12</f>
        <v>74.918405101178109</v>
      </c>
    </row>
    <row r="9" spans="2:7" x14ac:dyDescent="0.3">
      <c r="B9" s="27">
        <v>0.105</v>
      </c>
      <c r="C9" s="30">
        <f>(SUMPRODUCT(Base!$C$26:$L$26/(1+$B9)^(COLUMN(Base!$C$26:$L$26)-2))+Base!$L$26*(1+C$5)/($B9-C$5)/(1+$B9)^10-Supuestos!$C$25)/Supuestos!$C$12</f>
        <v>57.699067763131652</v>
      </c>
      <c r="D9" s="30">
        <f>(SUMPRODUCT(Base!$C$26:$L$26/(1+$B9)^(COLUMN(Base!$C$26:$L$26)-2))+Base!$L$26*(1+D$5)/($B9-D$5)/(1+$B9)^10-Supuestos!$C$25)/Supuestos!$C$12</f>
        <v>59.883770789068166</v>
      </c>
      <c r="E9" s="30">
        <f>(SUMPRODUCT(Base!$C$26:$L$26/(1+$B9)^(COLUMN(Base!$C$26:$L$26)-2))+Base!$L$26*(1+E$5)/($B9-E$5)/(1+$B9)^10-Supuestos!$C$25)/Supuestos!$C$12</f>
        <v>62.359767551796232</v>
      </c>
      <c r="F9" s="30">
        <f>(SUMPRODUCT(Base!$C$26:$L$26/(1+$B9)^(COLUMN(Base!$C$26:$L$26)-2))+Base!$L$26*(1+F$5)/($B9-F$5)/(1+$B9)^10-Supuestos!$C$25)/Supuestos!$C$12</f>
        <v>65.189478137771147</v>
      </c>
      <c r="G9" s="30">
        <f>(SUMPRODUCT(Base!$C$26:$L$26/(1+$B9)^(COLUMN(Base!$C$26:$L$26)-2))+Base!$L$26*(1+G$5)/($B9-G$5)/(1+$B9)^10-Supuestos!$C$25)/Supuestos!$C$12</f>
        <v>68.454528813896047</v>
      </c>
    </row>
    <row r="10" spans="2:7" x14ac:dyDescent="0.3">
      <c r="B10" s="27">
        <v>0.11</v>
      </c>
      <c r="C10" s="30">
        <f>(SUMPRODUCT(Base!$C$26:$L$26/(1+$B10)^(COLUMN(Base!$C$26:$L$26)-2))+Base!$L$26*(1+C$5)/($B10-C$5)/(1+$B10)^10-Supuestos!$C$25)/Supuestos!$C$12</f>
        <v>53.870515979894471</v>
      </c>
      <c r="D10" s="30">
        <f>(SUMPRODUCT(Base!$C$26:$L$26/(1+$B10)^(COLUMN(Base!$C$26:$L$26)-2))+Base!$L$26*(1+D$5)/($B10-D$5)/(1+$B10)^10-Supuestos!$C$25)/Supuestos!$C$12</f>
        <v>55.73514990227325</v>
      </c>
      <c r="E10" s="30">
        <f>(SUMPRODUCT(Base!$C$26:$L$26/(1+$B10)^(COLUMN(Base!$C$26:$L$26)-2))+Base!$L$26*(1+E$5)/($B10-E$5)/(1+$B10)^10-Supuestos!$C$25)/Supuestos!$C$12</f>
        <v>57.832863064949386</v>
      </c>
      <c r="F10" s="30">
        <f>(SUMPRODUCT(Base!$C$26:$L$26/(1+$B10)^(COLUMN(Base!$C$26:$L$26)-2))+Base!$L$26*(1+F$5)/($B10-F$5)/(1+$B10)^10-Supuestos!$C$25)/Supuestos!$C$12</f>
        <v>60.210271315982332</v>
      </c>
      <c r="G10" s="30">
        <f>(SUMPRODUCT(Base!$C$26:$L$26/(1+$B10)^(COLUMN(Base!$C$26:$L$26)-2))+Base!$L$26*(1+G$5)/($B10-G$5)/(1+$B10)^10-Supuestos!$C$25)/Supuestos!$C$12</f>
        <v>62.927309317162852</v>
      </c>
    </row>
    <row r="12" spans="2:7" x14ac:dyDescent="0.3">
      <c r="B12" s="4" t="s">
        <v>59</v>
      </c>
      <c r="C12" s="11">
        <f>Supuestos!$C$8</f>
        <v>80.319999999999993</v>
      </c>
    </row>
    <row r="13" spans="2:7" x14ac:dyDescent="0.3">
      <c r="B13" s="4" t="s">
        <v>60</v>
      </c>
      <c r="C13" s="11">
        <f>Supuestos!$C$9</f>
        <v>75.5</v>
      </c>
    </row>
    <row r="14" spans="2:7" x14ac:dyDescent="0.3">
      <c r="B14" s="4" t="s">
        <v>144</v>
      </c>
      <c r="C14" s="11">
        <f>MIN(C6:G10)</f>
        <v>53.870515979894471</v>
      </c>
    </row>
    <row r="15" spans="2:7" x14ac:dyDescent="0.3">
      <c r="B15" s="4" t="s">
        <v>145</v>
      </c>
      <c r="C15" s="11">
        <f>MAX(C6:G10)</f>
        <v>91.782712176383683</v>
      </c>
    </row>
    <row r="16" spans="2:7" x14ac:dyDescent="0.3">
      <c r="B16" s="4" t="s">
        <v>146</v>
      </c>
      <c r="C16" s="21" t="str">
        <f>COUNTIF(C6:G10,"&gt;"&amp;Supuestos!$C$9)&amp;" de 25"</f>
        <v>6 de 25</v>
      </c>
    </row>
    <row r="18" spans="2:3" x14ac:dyDescent="0.3">
      <c r="B18" s="26" t="s">
        <v>147</v>
      </c>
    </row>
    <row r="19" spans="2:3" x14ac:dyDescent="0.3">
      <c r="B19" s="26" t="s">
        <v>148</v>
      </c>
    </row>
    <row r="20" spans="2:3" x14ac:dyDescent="0.3">
      <c r="B20" t="s">
        <v>149</v>
      </c>
      <c r="C20" s="32">
        <f>Base!$C$37</f>
        <v>75.53966279829848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L26"/>
  <sheetViews>
    <sheetView showGridLines="0" zoomScaleNormal="100" workbookViewId="0">
      <selection activeCell="C27" sqref="C27"/>
    </sheetView>
  </sheetViews>
  <sheetFormatPr baseColWidth="10" defaultColWidth="8.6640625" defaultRowHeight="14.4" x14ac:dyDescent="0.3"/>
  <cols>
    <col min="2" max="2" width="42" customWidth="1"/>
    <col min="3" max="12" width="12" customWidth="1"/>
  </cols>
  <sheetData>
    <row r="2" spans="2:12" ht="16.95" customHeight="1" x14ac:dyDescent="0.3">
      <c r="B2" s="22" t="s">
        <v>150</v>
      </c>
    </row>
    <row r="3" spans="2:12" x14ac:dyDescent="0.3">
      <c r="B3" s="1"/>
    </row>
    <row r="5" spans="2:12" x14ac:dyDescent="0.3">
      <c r="B5" s="3" t="s">
        <v>151</v>
      </c>
      <c r="C5" s="3" t="s">
        <v>2</v>
      </c>
    </row>
    <row r="6" spans="2:12" x14ac:dyDescent="0.3">
      <c r="B6" s="4" t="s">
        <v>152</v>
      </c>
      <c r="C6" s="33">
        <v>0.15939999999999999</v>
      </c>
      <c r="D6" s="1" t="s">
        <v>153</v>
      </c>
    </row>
    <row r="7" spans="2:12" x14ac:dyDescent="0.3">
      <c r="B7" s="4" t="s">
        <v>154</v>
      </c>
      <c r="C7" s="8">
        <f>Base!C26</f>
        <v>9269.5951760999978</v>
      </c>
    </row>
    <row r="8" spans="2:12" x14ac:dyDescent="0.3">
      <c r="B8" s="4" t="s">
        <v>41</v>
      </c>
      <c r="C8" s="9">
        <f>Base!$C$5</f>
        <v>9.5000000000000001E-2</v>
      </c>
    </row>
    <row r="9" spans="2:12" x14ac:dyDescent="0.3">
      <c r="B9" s="4" t="s">
        <v>155</v>
      </c>
      <c r="C9" s="9">
        <f>Base!$E$5</f>
        <v>3.2500000000000001E-2</v>
      </c>
    </row>
    <row r="12" spans="2:12" x14ac:dyDescent="0.3">
      <c r="B12" s="3" t="s">
        <v>156</v>
      </c>
      <c r="C12" s="10" t="s">
        <v>97</v>
      </c>
      <c r="D12" s="10" t="s">
        <v>98</v>
      </c>
      <c r="E12" s="10" t="s">
        <v>99</v>
      </c>
      <c r="F12" s="10" t="s">
        <v>100</v>
      </c>
      <c r="G12" s="10" t="s">
        <v>101</v>
      </c>
      <c r="H12" s="10" t="s">
        <v>102</v>
      </c>
      <c r="I12" s="10" t="s">
        <v>103</v>
      </c>
      <c r="J12" s="10" t="s">
        <v>104</v>
      </c>
      <c r="K12" s="10" t="s">
        <v>105</v>
      </c>
      <c r="L12" s="10" t="s">
        <v>106</v>
      </c>
    </row>
    <row r="13" spans="2:12" x14ac:dyDescent="0.3">
      <c r="B13" s="4" t="s">
        <v>157</v>
      </c>
      <c r="C13" s="8">
        <f>$C$7</f>
        <v>9269.5951760999978</v>
      </c>
      <c r="D13" s="8">
        <f t="shared" ref="D13:L13" si="0">C13*(1+$C$6)</f>
        <v>10747.168647170338</v>
      </c>
      <c r="E13" s="8">
        <f t="shared" si="0"/>
        <v>12460.26732952929</v>
      </c>
      <c r="F13" s="8">
        <f t="shared" si="0"/>
        <v>14446.433941856258</v>
      </c>
      <c r="G13" s="8">
        <f t="shared" si="0"/>
        <v>16749.195512188144</v>
      </c>
      <c r="H13" s="8">
        <f t="shared" si="0"/>
        <v>19419.017276830935</v>
      </c>
      <c r="I13" s="8">
        <f t="shared" si="0"/>
        <v>22514.408630757785</v>
      </c>
      <c r="J13" s="8">
        <f t="shared" si="0"/>
        <v>26103.205366500577</v>
      </c>
      <c r="K13" s="8">
        <f t="shared" si="0"/>
        <v>30264.056301920769</v>
      </c>
      <c r="L13" s="8">
        <f t="shared" si="0"/>
        <v>35088.146876446939</v>
      </c>
    </row>
    <row r="14" spans="2:12" x14ac:dyDescent="0.3">
      <c r="B14" s="4" t="s">
        <v>158</v>
      </c>
      <c r="C14" s="8">
        <f>C13/(1+$C$8)^1</f>
        <v>8465.3837224657509</v>
      </c>
      <c r="D14" s="8">
        <f>D13/(1+$C$8)^2</f>
        <v>8963.2565185632811</v>
      </c>
      <c r="E14" s="8">
        <f>E13/(1+$C$8)^3</f>
        <v>9490.4106005682825</v>
      </c>
      <c r="F14" s="8">
        <f>F13/(1+$C$8)^4</f>
        <v>10048.568082464717</v>
      </c>
      <c r="G14" s="8">
        <f>G13/(1+$C$8)^5</f>
        <v>10639.552360556705</v>
      </c>
      <c r="H14" s="8">
        <f>H13/(1+$C$8)^6</f>
        <v>11265.294070163874</v>
      </c>
      <c r="I14" s="8">
        <f>I13/(1+$C$8)^7</f>
        <v>11927.837392646574</v>
      </c>
      <c r="J14" s="8">
        <f>J13/(1+$C$8)^8</f>
        <v>12629.346733364782</v>
      </c>
      <c r="K14" s="8">
        <f>K13/(1+$C$8)^9</f>
        <v>13372.113792386419</v>
      </c>
      <c r="L14" s="8">
        <f>L13/(1+$C$8)^10</f>
        <v>14158.565051043664</v>
      </c>
    </row>
    <row r="16" spans="2:12" x14ac:dyDescent="0.3">
      <c r="B16" s="4" t="s">
        <v>159</v>
      </c>
      <c r="C16" s="8">
        <f>SUM(C14:L14)</f>
        <v>110960.32832422406</v>
      </c>
    </row>
    <row r="17" spans="2:3" x14ac:dyDescent="0.3">
      <c r="B17" s="4" t="s">
        <v>160</v>
      </c>
      <c r="C17" s="8">
        <f>L13*(1+$C$9)/($C$8-$C$9)</f>
        <v>579656.18639890337</v>
      </c>
    </row>
    <row r="18" spans="2:3" x14ac:dyDescent="0.3">
      <c r="B18" s="4" t="s">
        <v>129</v>
      </c>
      <c r="C18" s="8">
        <f>C17/(1+$C$8)^10</f>
        <v>233899.49464324131</v>
      </c>
    </row>
    <row r="19" spans="2:3" x14ac:dyDescent="0.3">
      <c r="B19" s="12" t="s">
        <v>161</v>
      </c>
      <c r="C19" s="18">
        <f>C16+C18</f>
        <v>344859.82296746538</v>
      </c>
    </row>
    <row r="20" spans="2:3" x14ac:dyDescent="0.3">
      <c r="B20" s="4" t="s">
        <v>162</v>
      </c>
      <c r="C20" s="8">
        <f>C19-Supuestos!$C$25</f>
        <v>337332.82296746538</v>
      </c>
    </row>
    <row r="21" spans="2:3" x14ac:dyDescent="0.3">
      <c r="B21" s="12" t="s">
        <v>163</v>
      </c>
      <c r="C21" s="13">
        <f>C20/Supuestos!$C$12</f>
        <v>80.317338801777467</v>
      </c>
    </row>
    <row r="22" spans="2:3" x14ac:dyDescent="0.3">
      <c r="B22" s="4" t="s">
        <v>59</v>
      </c>
      <c r="C22" s="11">
        <f>Supuestos!$C$8</f>
        <v>80.319999999999993</v>
      </c>
    </row>
    <row r="23" spans="2:3" x14ac:dyDescent="0.3">
      <c r="B23" s="12" t="s">
        <v>164</v>
      </c>
      <c r="C23" s="16">
        <f>C21-C22</f>
        <v>-2.6611982225261954E-3</v>
      </c>
    </row>
    <row r="25" spans="2:3" x14ac:dyDescent="0.3">
      <c r="B25" s="26" t="s">
        <v>165</v>
      </c>
    </row>
    <row r="26" spans="2:3" x14ac:dyDescent="0.3">
      <c r="B26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Supuestos</vt:lpstr>
      <vt:lpstr>Resumen</vt:lpstr>
      <vt:lpstr>Pesimista</vt:lpstr>
      <vt:lpstr>Base</vt:lpstr>
      <vt:lpstr>Optimista</vt:lpstr>
      <vt:lpstr>Sensibilidad</vt:lpstr>
      <vt:lpstr>Reverse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de santiago</cp:lastModifiedBy>
  <cp:revision>0</cp:revision>
  <dcterms:created xsi:type="dcterms:W3CDTF">2026-08-21T06:34:37Z</dcterms:created>
  <dcterms:modified xsi:type="dcterms:W3CDTF">2026-09-22T22:19:16Z</dcterms:modified>
  <dc:language>en-US</dc:language>
</cp:coreProperties>
</file>