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Resumen" sheetId="2" state="visible" r:id="rId2"/>
    <sheet name="Pesimista" sheetId="3" state="visible" r:id="rId3"/>
    <sheet name="Base" sheetId="4" state="visible" r:id="rId4"/>
    <sheet name="Optimista" sheetId="5" state="visible" r:id="rId5"/>
    <sheet name="Sensibilidad" sheetId="6" state="visible" r:id="rId6"/>
    <sheet name="Reverse DCF" sheetId="7" state="visible" r:id="rId7"/>
  </sheets>
  <definedNames>
    <definedName name="precio">'Supuestos'!$C$2</definedName>
    <definedName name="acciones_diluidas">'Supuestos'!$C$3</definedName>
    <definedName name="ingresos_base">'Supuestos'!$C$4</definedName>
    <definedName name="fraccion">'Supuestos'!$C$5</definedName>
    <definedName name="fraccion_flujo">'Supuestos'!$C$6</definedName>
    <definedName name="mitad_de_anio">'Supuestos'!$C$7</definedName>
    <definedName name="bin_inicial">'Supuestos'!$C$8</definedName>
    <definedName name="ke">'Supuestos'!$C$9</definedName>
    <definedName name="horizonte_meses">'Supuestos'!$C$10</definedName>
    <definedName name="dpa_horizonte">'Supuestos'!$C$11</definedName>
    <definedName name="ajuste_puente">'Supuestos'!$C$12</definedName>
    <definedName name="deuda_neta">'Supuestos'!$C$13</definedName>
    <definedName name="wacc_calculado">'Supuestos'!$C$14</definedName>
    <definedName name="sbc_coste">'Supuestos'!$C$15</definedName>
    <definedName name="wacc_pes">'Pesimista'!$C$2</definedName>
    <definedName name="g_pes">'Pesimista'!$C$3</definedName>
    <definedName name="peso_pes">'Pesimista'!$C$4</definedName>
    <definedName name="ronic_pes">'Pesimista'!$C$5</definedName>
    <definedName name="multiplo_pes">'Pesimista'!$C$6</definedName>
    <definedName name="fm_pes">'Pesimista'!$C$7</definedName>
    <definedName name="suma_va_pes">'Pesimista'!$C$34</definedName>
    <definedName name="vt_pes">'Pesimista'!$C$35</definedName>
    <definedName name="va_vt_pes">'Pesimista'!$C$36</definedName>
    <definedName name="ev_pes">'Pesimista'!$C$37</definedName>
    <definedName name="fondos_propios_pes">'Pesimista'!$C$38</definedName>
    <definedName name="acciones_valor_pes">'Pesimista'!$C$39</definedName>
    <definedName name="valor_accion_pes">'Pesimista'!$C$40</definedName>
    <definedName name="valor_h_pes">'Pesimista'!$C$41</definedName>
    <definedName name="wacc_base">'Base'!$C$2</definedName>
    <definedName name="g_base">'Base'!$C$3</definedName>
    <definedName name="peso_base">'Base'!$C$4</definedName>
    <definedName name="ronic_base">'Base'!$C$5</definedName>
    <definedName name="multiplo_base">'Base'!$C$6</definedName>
    <definedName name="fm_base">'Base'!$C$7</definedName>
    <definedName name="suma_va_base">'Base'!$C$34</definedName>
    <definedName name="vt_base">'Base'!$C$35</definedName>
    <definedName name="va_vt_base">'Base'!$C$36</definedName>
    <definedName name="ev_base">'Base'!$C$37</definedName>
    <definedName name="fondos_propios_base">'Base'!$C$38</definedName>
    <definedName name="acciones_valor_base">'Base'!$C$39</definedName>
    <definedName name="valor_accion_base">'Base'!$C$40</definedName>
    <definedName name="valor_h_base">'Base'!$C$41</definedName>
    <definedName name="wacc_opt">'Optimista'!$C$2</definedName>
    <definedName name="g_opt">'Optimista'!$C$3</definedName>
    <definedName name="peso_opt">'Optimista'!$C$4</definedName>
    <definedName name="ronic_opt">'Optimista'!$C$5</definedName>
    <definedName name="multiplo_opt">'Optimista'!$C$6</definedName>
    <definedName name="fm_opt">'Optimista'!$C$7</definedName>
    <definedName name="suma_va_opt">'Optimista'!$C$34</definedName>
    <definedName name="vt_opt">'Optimista'!$C$35</definedName>
    <definedName name="va_vt_opt">'Optimista'!$C$36</definedName>
    <definedName name="ev_opt">'Optimista'!$C$37</definedName>
    <definedName name="fondos_propios_opt">'Optimista'!$C$38</definedName>
    <definedName name="acciones_valor_opt">'Optimista'!$C$39</definedName>
    <definedName name="valor_accion_opt">'Optimista'!$C$40</definedName>
    <definedName name="valor_h_opt">'Optimista'!$C$41</definedName>
    <definedName name="valor_razonable">'Resumen'!$C$7</definedName>
    <definedName name="po">'Resumen'!$C$8</definedName>
    <definedName name="potencial">'Resumen'!$C$9</definedName>
    <definedName name="margen_seguridad">'Resumen'!$C$10</definedName>
    <definedName name="downside">'Resumen'!$C$11</definedName>
    <definedName name="recorrido_riesgo">'Resumen'!$C$12</definedName>
    <definedName name="fcff_implicito">'Reverse DCF'!$F$1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Supuesto</t>
        </is>
      </c>
      <c r="C1" t="inlineStr">
        <is>
          <t>Valor</t>
        </is>
      </c>
      <c r="D1" t="inlineStr">
        <is>
          <t>Origen / justificación</t>
        </is>
      </c>
    </row>
    <row r="2">
      <c r="A2" t="inlineStr">
        <is>
          <t>precio</t>
        </is>
      </c>
      <c r="B2" t="inlineStr">
        <is>
          <t>Precio: cierre oficial en la fecha de valoración (USD/acción)</t>
        </is>
      </c>
      <c r="C2" s="1" t="n">
        <v>0.83</v>
      </c>
      <c r="D2" t="inlineStr">
        <is>
          <t>Nasdaq</t>
        </is>
      </c>
    </row>
    <row r="3">
      <c r="A3" t="inlineStr">
        <is>
          <t>acciones_diluidas</t>
        </is>
      </c>
      <c r="B3" t="inlineStr">
        <is>
          <t>Acciones diluidas</t>
        </is>
      </c>
      <c r="C3" s="1" t="n">
        <v>23791210</v>
      </c>
      <c r="D3" t="inlineStr">
        <is>
          <t>acciones admitidas a negociación que publica la bolsa (incluyen la autocartera): el emisor no publica acciones medias ni instrumentos dilutivos en cifras</t>
        </is>
      </c>
    </row>
    <row r="4">
      <c r="A4" t="inlineStr">
        <is>
          <t>ingresos_base</t>
        </is>
      </c>
      <c r="B4" t="inlineStr">
        <is>
          <t>Ingresos del año base (USD)</t>
        </is>
      </c>
      <c r="C4" s="1" t="n">
        <v>16834046.3</v>
      </c>
      <c r="D4" t="inlineStr">
        <is>
          <t>SEC (hechos verificados)</t>
        </is>
      </c>
    </row>
    <row r="5">
      <c r="A5" t="inlineStr">
        <is>
          <t>fraccion</t>
        </is>
      </c>
      <c r="B5" t="inlineStr">
        <is>
          <t>Fracción del ejercicio 1 que queda (f)</t>
        </is>
      </c>
      <c r="C5" s="1" t="n">
        <v>0.2657534246575343</v>
      </c>
      <c r="D5" t="inlineStr">
        <is>
          <t>días hasta el cierre / días del ejercicio</t>
        </is>
      </c>
    </row>
    <row r="6">
      <c r="A6" t="inlineStr">
        <is>
          <t>fraccion_flujo</t>
        </is>
      </c>
      <c r="B6" t="inlineStr">
        <is>
          <t>Parte del FCFF del año 1 que entra (f_flujo)</t>
        </is>
      </c>
      <c r="C6" s="1" t="n">
        <v>1</v>
      </c>
      <c r="D6" t="inlineStr">
        <is>
          <t>días del último balance al cierre / días del ejercicio</t>
        </is>
      </c>
    </row>
    <row r="7">
      <c r="A7" t="inlineStr">
        <is>
          <t>mitad_de_anio</t>
        </is>
      </c>
      <c r="B7" t="inlineStr">
        <is>
          <t>Convención de mitad de año (1 sí, 0 no)</t>
        </is>
      </c>
      <c r="C7" s="1" t="n">
        <v>1</v>
      </c>
      <c r="D7" t="inlineStr">
        <is>
          <t>entradas del analista</t>
        </is>
      </c>
    </row>
    <row r="8">
      <c r="A8" t="inlineStr">
        <is>
          <t>bin_inicial</t>
        </is>
      </c>
      <c r="B8" t="inlineStr">
        <is>
          <t>Bases imponibles negativas iniciales (USD)</t>
        </is>
      </c>
      <c r="C8" s="1" t="n">
        <v>0</v>
      </c>
      <c r="D8" t="inlineStr">
        <is>
          <t>entradas del analista</t>
        </is>
      </c>
    </row>
    <row r="9">
      <c r="A9" t="inlineStr">
        <is>
          <t>ke</t>
        </is>
      </c>
      <c r="B9" t="inlineStr">
        <is>
          <t>Coste de los fondos propios (Ke)</t>
        </is>
      </c>
      <c r="C9" s="1" t="n">
        <v>0.117747015837438</v>
      </c>
      <c r="D9" t="inlineStr">
        <is>
          <t>rf + β × ERP + prima</t>
        </is>
      </c>
    </row>
    <row r="10">
      <c r="A10" t="inlineStr">
        <is>
          <t>horizonte_meses</t>
        </is>
      </c>
      <c r="B10" t="inlineStr">
        <is>
          <t>Horizonte (meses)</t>
        </is>
      </c>
      <c r="C10" s="1" t="n">
        <v>12</v>
      </c>
      <c r="D10" t="inlineStr">
        <is>
          <t>entradas del analista</t>
        </is>
      </c>
    </row>
    <row r="11">
      <c r="A11" t="inlineStr">
        <is>
          <t>dpa_horizonte</t>
        </is>
      </c>
      <c r="B11" t="inlineStr">
        <is>
          <t>Dividendos por acción esperados en el horizonte (USD)</t>
        </is>
      </c>
      <c r="C11" s="1" t="n">
        <v>0</v>
      </c>
      <c r="D11" t="inlineStr">
        <is>
          <t>DPA anual vigente × horizonte / 12: bolsa, SEC o el cero que declara el 10-K (fuente en el informe)</t>
        </is>
      </c>
    </row>
    <row r="12">
      <c r="A12" t="inlineStr">
        <is>
          <t>ajuste_puente</t>
        </is>
      </c>
      <c r="B12" t="inlineStr">
        <is>
          <t>Ajuste del puente: − deuda + caja + inversiones ± ajustes (USD)</t>
        </is>
      </c>
      <c r="C12" s="1" t="n">
        <v>-2595141.68</v>
      </c>
      <c r="D12" t="inlineStr">
        <is>
          <t>último balance publicado</t>
        </is>
      </c>
    </row>
    <row r="13">
      <c r="A13" t="inlineStr">
        <is>
          <t>deuda_neta</t>
        </is>
      </c>
      <c r="B13" t="inlineStr">
        <is>
          <t>Deuda neta (USD)</t>
        </is>
      </c>
      <c r="C13" s="1" t="n">
        <v>3524141.68</v>
      </c>
      <c r="D13" t="inlineStr">
        <is>
          <t>último balance publicado</t>
        </is>
      </c>
    </row>
    <row r="14">
      <c r="A14" t="inlineStr">
        <is>
          <t>wacc_calculado</t>
        </is>
      </c>
      <c r="B14" t="inlineStr">
        <is>
          <t>WACC calculado (antes del ajuste por escenario)</t>
        </is>
      </c>
      <c r="C14" s="1" t="n">
        <v>0.104528734823824</v>
      </c>
      <c r="D14" t="inlineStr">
        <is>
          <t>E/(D+E) × Ke + D/(D+E) × Kd × (1 − t)</t>
        </is>
      </c>
    </row>
    <row r="15">
      <c r="A15" t="inlineStr">
        <is>
          <t>sbc_coste</t>
        </is>
      </c>
      <c r="B15" t="inlineStr">
        <is>
          <t>SBC como coste de caja (1 sí, 0 no)</t>
        </is>
      </c>
      <c r="C15" s="1" t="n">
        <v>1</v>
      </c>
      <c r="D15" t="inlineStr">
        <is>
          <t>entradas del 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Probabilidad</t>
        </is>
      </c>
      <c r="C1" t="inlineStr">
        <is>
          <t>V₀</t>
        </is>
      </c>
      <c r="D1" t="inlineStr">
        <is>
          <t>V_h</t>
        </is>
      </c>
      <c r="E1" t="inlineStr">
        <is>
          <t>WACC</t>
        </is>
      </c>
    </row>
    <row r="2">
      <c r="A2" t="inlineStr">
        <is>
          <t>pesimista</t>
        </is>
      </c>
      <c r="B2">
        <f>peso_pes</f>
        <v/>
      </c>
      <c r="C2">
        <f>valor_accion_pes</f>
        <v/>
      </c>
      <c r="D2">
        <f>valor_h_pes</f>
        <v/>
      </c>
      <c r="E2">
        <f>wacc_pes</f>
        <v/>
      </c>
    </row>
    <row r="3">
      <c r="A3" t="inlineStr">
        <is>
          <t>base</t>
        </is>
      </c>
      <c r="B3">
        <f>peso_base</f>
        <v/>
      </c>
      <c r="C3">
        <f>valor_accion_base</f>
        <v/>
      </c>
      <c r="D3">
        <f>valor_h_base</f>
        <v/>
      </c>
      <c r="E3">
        <f>wacc_base</f>
        <v/>
      </c>
    </row>
    <row r="4">
      <c r="A4" t="inlineStr">
        <is>
          <t>optimista</t>
        </is>
      </c>
      <c r="B4">
        <f>peso_opt</f>
        <v/>
      </c>
      <c r="C4">
        <f>valor_accion_opt</f>
        <v/>
      </c>
      <c r="D4">
        <f>valor_h_opt</f>
        <v/>
      </c>
      <c r="E4">
        <f>wacc_opt</f>
        <v/>
      </c>
    </row>
    <row r="7">
      <c r="A7" t="inlineStr">
        <is>
          <t>valor_razonable</t>
        </is>
      </c>
      <c r="B7" t="inlineStr">
        <is>
          <t>Valor razonable hoy (Σ p·V₀)</t>
        </is>
      </c>
      <c r="C7">
        <f>SUMPRODUCT(B2:B4,C2:C4)</f>
        <v/>
      </c>
    </row>
    <row r="8">
      <c r="A8" t="inlineStr">
        <is>
          <t>po</t>
        </is>
      </c>
      <c r="B8" t="inlineStr">
        <is>
          <t>Precio objetivo (Σ p·V_h)</t>
        </is>
      </c>
      <c r="C8">
        <f>SUMPRODUCT(B2:B4,D2:D4)</f>
        <v/>
      </c>
    </row>
    <row r="9">
      <c r="A9" t="inlineStr">
        <is>
          <t>potencial</t>
        </is>
      </c>
      <c r="B9" t="inlineStr">
        <is>
          <t>Potencial</t>
        </is>
      </c>
      <c r="C9">
        <f>po/precio-1</f>
        <v/>
      </c>
    </row>
    <row r="10">
      <c r="A10" t="inlineStr">
        <is>
          <t>margen_seguridad</t>
        </is>
      </c>
      <c r="B10" t="inlineStr">
        <is>
          <t>Margen de seguridad</t>
        </is>
      </c>
      <c r="C10">
        <f>1-precio/valor_razonable</f>
        <v/>
      </c>
    </row>
    <row r="11">
      <c r="A11" t="inlineStr">
        <is>
          <t>downside</t>
        </is>
      </c>
      <c r="B11" t="inlineStr">
        <is>
          <t>Downside pesimista</t>
        </is>
      </c>
      <c r="C11">
        <f>valor_h_pes/precio-1</f>
        <v/>
      </c>
    </row>
    <row r="12">
      <c r="A12" t="inlineStr">
        <is>
          <t>recorrido_riesgo</t>
        </is>
      </c>
      <c r="B12" t="inlineStr">
        <is>
          <t>Recorrido / riesgo</t>
        </is>
      </c>
      <c r="C12">
        <f>IF(valor_h_pes&gt;=precio,"sin pérdida",(po-precio)/(precio-valor_h_pes))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pesimista: fórmulas vivas del motor (05 §3–§7)</t>
        </is>
      </c>
    </row>
    <row r="2">
      <c r="A2" t="inlineStr">
        <is>
          <t>wacc_pes</t>
        </is>
      </c>
      <c r="B2" t="inlineStr">
        <is>
          <t>WACC del escenario</t>
        </is>
      </c>
      <c r="C2" s="1" t="n">
        <v>0.104528734823824</v>
      </c>
    </row>
    <row r="3">
      <c r="A3" t="inlineStr">
        <is>
          <t>g_pes</t>
        </is>
      </c>
      <c r="B3" t="inlineStr">
        <is>
          <t>Crecimiento terminal (g)</t>
        </is>
      </c>
      <c r="C3" s="1" t="n">
        <v>0.015</v>
      </c>
    </row>
    <row r="4">
      <c r="A4" t="inlineStr">
        <is>
          <t>peso_pes</t>
        </is>
      </c>
      <c r="B4" t="inlineStr">
        <is>
          <t>Probabilidad</t>
        </is>
      </c>
      <c r="C4" s="1" t="n">
        <v>0.3</v>
      </c>
    </row>
    <row r="5">
      <c r="A5" t="inlineStr">
        <is>
          <t>ronic_pes</t>
        </is>
      </c>
      <c r="B5" t="inlineStr">
        <is>
          <t>RONIC</t>
        </is>
      </c>
      <c r="C5" s="1" t="n">
        <v>0.1</v>
      </c>
    </row>
    <row r="6">
      <c r="A6" t="inlineStr">
        <is>
          <t>multiplo_pes</t>
        </is>
      </c>
      <c r="B6" t="inlineStr">
        <is>
          <t>Múltiplo de salida</t>
        </is>
      </c>
      <c r="C6" s="1" t="n"/>
    </row>
    <row r="7">
      <c r="A7" t="inlineStr">
        <is>
          <t>fm_pes</t>
        </is>
      </c>
      <c r="B7" t="inlineStr">
        <is>
          <t>ΔFM / Δingresos</t>
        </is>
      </c>
      <c r="C7" s="1" t="n">
        <v>0.12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0.12</v>
      </c>
      <c r="D10" s="1" t="n">
        <v>0.06</v>
      </c>
      <c r="E10" s="1" t="n">
        <v>0.04</v>
      </c>
      <c r="F10" s="1" t="n">
        <v>0.035</v>
      </c>
      <c r="G10" s="1" t="n">
        <v>0.03</v>
      </c>
      <c r="H10" s="1" t="n">
        <v>0.027</v>
      </c>
      <c r="I10" s="1" t="n">
        <v>0.024</v>
      </c>
      <c r="J10" s="1" t="n">
        <v>0.021</v>
      </c>
      <c r="K10" s="1" t="n">
        <v>0.018</v>
      </c>
      <c r="L10" s="1" t="n">
        <v>0.015</v>
      </c>
    </row>
    <row r="11">
      <c r="B11" t="inlineStr">
        <is>
          <t>margen</t>
        </is>
      </c>
      <c r="C11" s="1" t="n">
        <v>-0.01</v>
      </c>
      <c r="D11" s="1" t="n">
        <v>0.01</v>
      </c>
      <c r="E11" s="1" t="n">
        <v>0.025</v>
      </c>
      <c r="F11" s="1" t="n">
        <v>0.0325</v>
      </c>
      <c r="G11" s="1" t="n">
        <v>0.04</v>
      </c>
      <c r="H11" s="1" t="n">
        <v>0.042</v>
      </c>
      <c r="I11" s="1" t="n">
        <v>0.044</v>
      </c>
      <c r="J11" s="1" t="n">
        <v>0.046</v>
      </c>
      <c r="K11" s="1" t="n">
        <v>0.048</v>
      </c>
      <c r="L11" s="1" t="n">
        <v>0.05</v>
      </c>
    </row>
    <row r="12">
      <c r="B12" t="inlineStr">
        <is>
          <t>impuesto</t>
        </is>
      </c>
      <c r="C12" s="1" t="n">
        <v>0</v>
      </c>
      <c r="D12" s="1" t="n">
        <v>0.075</v>
      </c>
      <c r="E12" s="1" t="n">
        <v>0.15</v>
      </c>
      <c r="F12" s="1" t="n">
        <v>0.1642857142857143</v>
      </c>
      <c r="G12" s="1" t="n">
        <v>0.1785714285714286</v>
      </c>
      <c r="H12" s="1" t="n">
        <v>0.1928571428571429</v>
      </c>
      <c r="I12" s="1" t="n">
        <v>0.2071428571428571</v>
      </c>
      <c r="J12" s="1" t="n">
        <v>0.2214285714285714</v>
      </c>
      <c r="K12" s="1" t="n">
        <v>0.2357142857142857</v>
      </c>
      <c r="L12" s="1" t="n">
        <v>0.25</v>
      </c>
    </row>
    <row r="13">
      <c r="B13" t="inlineStr">
        <is>
          <t>da</t>
        </is>
      </c>
      <c r="C13" s="1" t="n">
        <v>0.04</v>
      </c>
      <c r="D13" s="1" t="n">
        <v>0.04</v>
      </c>
      <c r="E13" s="1" t="n">
        <v>0.04</v>
      </c>
      <c r="F13" s="1" t="n">
        <v>0.04</v>
      </c>
      <c r="G13" s="1" t="n">
        <v>0.04</v>
      </c>
      <c r="H13" s="1" t="n">
        <v>0.04</v>
      </c>
      <c r="I13" s="1" t="n">
        <v>0.04</v>
      </c>
      <c r="J13" s="1" t="n">
        <v>0.04</v>
      </c>
      <c r="K13" s="1" t="n">
        <v>0.04</v>
      </c>
      <c r="L13" s="1" t="n">
        <v>0.04</v>
      </c>
    </row>
    <row r="14">
      <c r="B14" t="inlineStr">
        <is>
          <t>capex</t>
        </is>
      </c>
      <c r="C14" s="1" t="n">
        <v>0.035</v>
      </c>
      <c r="D14" s="1" t="n">
        <v>0.03444444444444444</v>
      </c>
      <c r="E14" s="1" t="n">
        <v>0.03388888888888889</v>
      </c>
      <c r="F14" s="1" t="n">
        <v>0.03333333333333333</v>
      </c>
      <c r="G14" s="1" t="n">
        <v>0.03277777777777778</v>
      </c>
      <c r="H14" s="1" t="n">
        <v>0.03222222222222222</v>
      </c>
      <c r="I14" s="1" t="n">
        <v>0.03166666666666667</v>
      </c>
      <c r="J14" s="1" t="n">
        <v>0.03111111111111111</v>
      </c>
      <c r="K14" s="1" t="n">
        <v>0.03055555555555555</v>
      </c>
      <c r="L14" s="1" t="n">
        <v>0.03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C17*C11+(1-sbc_coste)*C25</f>
        <v/>
      </c>
      <c r="D18">
        <f>D17*D11+(1-sbc_coste)*D25</f>
        <v/>
      </c>
      <c r="E18">
        <f>E17*E11+(1-sbc_coste)*E25</f>
        <v/>
      </c>
      <c r="F18">
        <f>F17*F11+(1-sbc_coste)*F25</f>
        <v/>
      </c>
      <c r="G18">
        <f>G17*G11+(1-sbc_coste)*G25</f>
        <v/>
      </c>
      <c r="H18">
        <f>H17*H11+(1-sbc_coste)*H25</f>
        <v/>
      </c>
      <c r="I18">
        <f>I17*I11+(1-sbc_coste)*I25</f>
        <v/>
      </c>
      <c r="J18">
        <f>J17*J11+(1-sbc_coste)*J25</f>
        <v/>
      </c>
      <c r="K18">
        <f>K17*K11+(1-sbc_coste)*K25</f>
        <v/>
      </c>
      <c r="L18">
        <f>L17*L11+(1-sbc_coste)*L25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(C17-ingresos_base)*fm_pes</f>
        <v/>
      </c>
      <c r="D24">
        <f>(D17-C17)*fm_pes</f>
        <v/>
      </c>
      <c r="E24">
        <f>(E17-D17)*fm_pes</f>
        <v/>
      </c>
      <c r="F24">
        <f>(F17-E17)*fm_pes</f>
        <v/>
      </c>
      <c r="G24">
        <f>(G17-F17)*fm_pes</f>
        <v/>
      </c>
      <c r="H24">
        <f>(H17-G17)*fm_pes</f>
        <v/>
      </c>
      <c r="I24">
        <f>(I17-H17)*fm_pes</f>
        <v/>
      </c>
      <c r="J24">
        <f>(J17-I17)*fm_pes</f>
        <v/>
      </c>
      <c r="K24">
        <f>(K17-J17)*fm_pes</f>
        <v/>
      </c>
      <c r="L24">
        <f>(L17-K17)*fm_pes</f>
        <v/>
      </c>
    </row>
    <row r="25">
      <c r="B25" t="inlineStr">
        <is>
          <t>SBC</t>
        </is>
      </c>
      <c r="C25">
        <f>C17*C15</f>
        <v/>
      </c>
      <c r="D25">
        <f>D17*D15</f>
        <v/>
      </c>
      <c r="E25">
        <f>E17*E15</f>
        <v/>
      </c>
      <c r="F25">
        <f>F17*F15</f>
        <v/>
      </c>
      <c r="G25">
        <f>G17*G15</f>
        <v/>
      </c>
      <c r="H25">
        <f>H17*H15</f>
        <v/>
      </c>
      <c r="I25">
        <f>I17*I15</f>
        <v/>
      </c>
      <c r="J25">
        <f>J17*J15</f>
        <v/>
      </c>
      <c r="K25">
        <f>K17*K15</f>
        <v/>
      </c>
      <c r="L25">
        <f>L17*L15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C21+C22-C23-C24-C26</f>
        <v/>
      </c>
      <c r="D27">
        <f>D21+D22-D23-D24-D26</f>
        <v/>
      </c>
      <c r="E27">
        <f>E21+E22-E23-E24-E26</f>
        <v/>
      </c>
      <c r="F27">
        <f>F21+F22-F23-F24-F26</f>
        <v/>
      </c>
      <c r="G27">
        <f>G21+G22-G23-G24-G26</f>
        <v/>
      </c>
      <c r="H27">
        <f>H21+H22-H23-H24-H26</f>
        <v/>
      </c>
      <c r="I27">
        <f>I21+I22-I23-I24-I26</f>
        <v/>
      </c>
      <c r="J27">
        <f>J21+J22-J23-J24-J26</f>
        <v/>
      </c>
      <c r="K27">
        <f>K21+K22-K23-K24-K26</f>
        <v/>
      </c>
      <c r="L27">
        <f>L21+L22-L23-L24-L26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IF(mitad_de_anio=1,fraccion-fraccion_flujo/2,fraccion)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(1+wacc_pes)^(-C29)</f>
        <v/>
      </c>
      <c r="D30">
        <f>(1+wacc_pes)^(-D29)</f>
        <v/>
      </c>
      <c r="E30">
        <f>(1+wacc_pes)^(-E29)</f>
        <v/>
      </c>
      <c r="F30">
        <f>(1+wacc_pes)^(-F29)</f>
        <v/>
      </c>
      <c r="G30">
        <f>(1+wacc_pes)^(-G29)</f>
        <v/>
      </c>
      <c r="H30">
        <f>(1+wacc_pes)^(-H29)</f>
        <v/>
      </c>
      <c r="I30">
        <f>(1+wacc_pes)^(-I29)</f>
        <v/>
      </c>
      <c r="J30">
        <f>(1+wacc_pes)^(-J29)</f>
        <v/>
      </c>
      <c r="K30">
        <f>(1+wacc_pes)^(-K29)</f>
        <v/>
      </c>
      <c r="L30">
        <f>(1+wacc_pes)^(-L29)</f>
        <v/>
      </c>
    </row>
    <row r="31">
      <c r="B31" t="inlineStr">
        <is>
          <t>Parte del año que cuenta</t>
        </is>
      </c>
      <c r="C31">
        <f>fraccion_flujo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suma_va_pes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vt_pes</t>
        </is>
      </c>
      <c r="B35" s="2" t="inlineStr">
        <is>
          <t>Valor terminal (value_driver)</t>
        </is>
      </c>
      <c r="C35">
        <f>L21*(1+g_pes)*(1-g_pes/ronic_pes)/(wacc_pes-g_pes)</f>
        <v/>
      </c>
    </row>
    <row r="36">
      <c r="A36" t="inlineStr">
        <is>
          <t>va_vt_pes</t>
        </is>
      </c>
      <c r="B36" s="2" t="inlineStr">
        <is>
          <t>Valor actual del valor terminal</t>
        </is>
      </c>
      <c r="C36">
        <f>C35*(1+wacc_pes)^(-(fraccion+10-1))</f>
        <v/>
      </c>
    </row>
    <row r="37">
      <c r="A37" t="inlineStr">
        <is>
          <t>ev_pes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fondos_propios_pes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acciones_valor_pes</t>
        </is>
      </c>
      <c r="B39" s="2" t="inlineStr">
        <is>
          <t>Acciones del valor por acción (+ las que pagan la SBC con «dilución»)</t>
        </is>
      </c>
      <c r="C39">
        <f>acciones_diluidas+(1-sbc_coste)*SUMPRODUCT(C25:L25,C31:L31)/precio</f>
        <v/>
      </c>
    </row>
    <row r="40">
      <c r="A40" t="inlineStr">
        <is>
          <t>valor_accion_pes</t>
        </is>
      </c>
      <c r="B40" s="2" t="inlineStr">
        <is>
          <t>Valor por acción hoy (V₀)</t>
        </is>
      </c>
      <c r="C40">
        <f>C38/C39</f>
        <v/>
      </c>
    </row>
    <row r="41">
      <c r="A41" t="inlineStr">
        <is>
          <t>valor_h_pes</t>
        </is>
      </c>
      <c r="B41" s="2" t="inlineStr">
        <is>
          <t>Valor por acción en el horizonte (V_h)</t>
        </is>
      </c>
      <c r="C41">
        <f>C40*(1+ke)^(horizonte_meses/12)-dpa_horizonte</f>
        <v/>
      </c>
    </row>
    <row r="43">
      <c r="B43" s="2" t="inlineStr">
        <is>
          <t>Contraste del valor terminal por los tres métodos</t>
        </is>
      </c>
    </row>
    <row r="44">
      <c r="A44" t="inlineStr">
        <is>
          <t>vt_value_driver_pes</t>
        </is>
      </c>
      <c r="B44" t="inlineStr">
        <is>
          <t>Value driver: NOPAT × (1 + g) × (1 − g / RONIC) / (WACC − g)</t>
        </is>
      </c>
      <c r="C44">
        <f>L21*(1+g_pes)*(1-g_pes/ronic_pes)/(wacc_pes-g_pes)</f>
        <v/>
      </c>
    </row>
    <row r="45">
      <c r="A45" t="inlineStr">
        <is>
          <t>vt_gordon_pes</t>
        </is>
      </c>
      <c r="B45" t="inlineStr">
        <is>
          <t>Gordon: FCFF × (1 + g) / (WACC − g)</t>
        </is>
      </c>
      <c r="C45">
        <f>L27*(1+g_pes)/(wacc_pes-g_pes)</f>
        <v/>
      </c>
    </row>
    <row r="46">
      <c r="A46" t="inlineStr">
        <is>
          <t>vt_multiplo_pes</t>
        </is>
      </c>
      <c r="B46" t="inlineStr">
        <is>
          <t>Múltiplo de salida: EBITDA × múltiplo</t>
        </is>
      </c>
      <c r="C46">
        <f>IF(ISNUMBER(multiplo_pes),L28*multiplo_pes,"")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base: fórmulas vivas del motor (05 §3–§7)</t>
        </is>
      </c>
    </row>
    <row r="2">
      <c r="A2" t="inlineStr">
        <is>
          <t>wacc_base</t>
        </is>
      </c>
      <c r="B2" t="inlineStr">
        <is>
          <t>WACC del escenario</t>
        </is>
      </c>
      <c r="C2" s="1" t="n">
        <v>0.104528734823824</v>
      </c>
    </row>
    <row r="3">
      <c r="A3" t="inlineStr">
        <is>
          <t>g_base</t>
        </is>
      </c>
      <c r="B3" t="inlineStr">
        <is>
          <t>Crecimiento terminal (g)</t>
        </is>
      </c>
      <c r="C3" s="1" t="n">
        <v>0.02</v>
      </c>
    </row>
    <row r="4">
      <c r="A4" t="inlineStr">
        <is>
          <t>peso_base</t>
        </is>
      </c>
      <c r="B4" t="inlineStr">
        <is>
          <t>Probabilidad</t>
        </is>
      </c>
      <c r="C4" s="1" t="n">
        <v>0.5</v>
      </c>
    </row>
    <row r="5">
      <c r="A5" t="inlineStr">
        <is>
          <t>ronic_base</t>
        </is>
      </c>
      <c r="B5" t="inlineStr">
        <is>
          <t>RONIC</t>
        </is>
      </c>
      <c r="C5" s="1" t="n">
        <v>0.12</v>
      </c>
    </row>
    <row r="6">
      <c r="A6" t="inlineStr">
        <is>
          <t>multiplo_base</t>
        </is>
      </c>
      <c r="B6" t="inlineStr">
        <is>
          <t>Múltiplo de salida</t>
        </is>
      </c>
      <c r="C6" s="1" t="n"/>
    </row>
    <row r="7">
      <c r="A7" t="inlineStr">
        <is>
          <t>fm_base</t>
        </is>
      </c>
      <c r="B7" t="inlineStr">
        <is>
          <t>ΔFM / Δingresos</t>
        </is>
      </c>
      <c r="C7" s="1" t="n">
        <v>0.08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0.16</v>
      </c>
      <c r="D10" s="1" t="n">
        <v>0.13</v>
      </c>
      <c r="E10" s="1" t="n">
        <v>0.11</v>
      </c>
      <c r="F10" s="1" t="n">
        <v>0.095</v>
      </c>
      <c r="G10" s="1" t="n">
        <v>0.08</v>
      </c>
      <c r="H10" s="1" t="n">
        <v>0.068</v>
      </c>
      <c r="I10" s="1" t="n">
        <v>0.056</v>
      </c>
      <c r="J10" s="1" t="n">
        <v>0.044</v>
      </c>
      <c r="K10" s="1" t="n">
        <v>0.032</v>
      </c>
      <c r="L10" s="1" t="n">
        <v>0.02</v>
      </c>
    </row>
    <row r="11">
      <c r="B11" t="inlineStr">
        <is>
          <t>margen</t>
        </is>
      </c>
      <c r="C11" s="1" t="n">
        <v>0.015</v>
      </c>
      <c r="D11" s="1" t="n">
        <v>0.035</v>
      </c>
      <c r="E11" s="1" t="n">
        <v>0.055</v>
      </c>
      <c r="F11" s="1" t="n">
        <v>0.0625</v>
      </c>
      <c r="G11" s="1" t="n">
        <v>0.07000000000000001</v>
      </c>
      <c r="H11" s="1" t="n">
        <v>0.07200000000000001</v>
      </c>
      <c r="I11" s="1" t="n">
        <v>0.07400000000000001</v>
      </c>
      <c r="J11" s="1" t="n">
        <v>0.076</v>
      </c>
      <c r="K11" s="1" t="n">
        <v>0.078</v>
      </c>
      <c r="L11" s="1" t="n">
        <v>0.08</v>
      </c>
    </row>
    <row r="12">
      <c r="B12" t="inlineStr">
        <is>
          <t>impuesto</t>
        </is>
      </c>
      <c r="C12" s="1" t="n">
        <v>0.05</v>
      </c>
      <c r="D12" s="1" t="n">
        <v>0.125</v>
      </c>
      <c r="E12" s="1" t="n">
        <v>0.2</v>
      </c>
      <c r="F12" s="1" t="n">
        <v>0.2071428571428572</v>
      </c>
      <c r="G12" s="1" t="n">
        <v>0.2142857142857143</v>
      </c>
      <c r="H12" s="1" t="n">
        <v>0.2214285714285714</v>
      </c>
      <c r="I12" s="1" t="n">
        <v>0.2285714285714286</v>
      </c>
      <c r="J12" s="1" t="n">
        <v>0.2357142857142857</v>
      </c>
      <c r="K12" s="1" t="n">
        <v>0.2428571428571429</v>
      </c>
      <c r="L12" s="1" t="n">
        <v>0.25</v>
      </c>
    </row>
    <row r="13">
      <c r="B13" t="inlineStr">
        <is>
          <t>da</t>
        </is>
      </c>
      <c r="C13" s="1" t="n">
        <v>0.04</v>
      </c>
      <c r="D13" s="1" t="n">
        <v>0.04</v>
      </c>
      <c r="E13" s="1" t="n">
        <v>0.04</v>
      </c>
      <c r="F13" s="1" t="n">
        <v>0.04</v>
      </c>
      <c r="G13" s="1" t="n">
        <v>0.04</v>
      </c>
      <c r="H13" s="1" t="n">
        <v>0.04</v>
      </c>
      <c r="I13" s="1" t="n">
        <v>0.04</v>
      </c>
      <c r="J13" s="1" t="n">
        <v>0.04</v>
      </c>
      <c r="K13" s="1" t="n">
        <v>0.04</v>
      </c>
      <c r="L13" s="1" t="n">
        <v>0.04</v>
      </c>
    </row>
    <row r="14">
      <c r="B14" t="inlineStr">
        <is>
          <t>capex</t>
        </is>
      </c>
      <c r="C14" s="1" t="n">
        <v>0.035</v>
      </c>
      <c r="D14" s="1" t="n">
        <v>0.03444444444444444</v>
      </c>
      <c r="E14" s="1" t="n">
        <v>0.03388888888888889</v>
      </c>
      <c r="F14" s="1" t="n">
        <v>0.03333333333333333</v>
      </c>
      <c r="G14" s="1" t="n">
        <v>0.03277777777777778</v>
      </c>
      <c r="H14" s="1" t="n">
        <v>0.03222222222222222</v>
      </c>
      <c r="I14" s="1" t="n">
        <v>0.03166666666666667</v>
      </c>
      <c r="J14" s="1" t="n">
        <v>0.03111111111111111</v>
      </c>
      <c r="K14" s="1" t="n">
        <v>0.03055555555555555</v>
      </c>
      <c r="L14" s="1" t="n">
        <v>0.03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C17*C11+(1-sbc_coste)*C25</f>
        <v/>
      </c>
      <c r="D18">
        <f>D17*D11+(1-sbc_coste)*D25</f>
        <v/>
      </c>
      <c r="E18">
        <f>E17*E11+(1-sbc_coste)*E25</f>
        <v/>
      </c>
      <c r="F18">
        <f>F17*F11+(1-sbc_coste)*F25</f>
        <v/>
      </c>
      <c r="G18">
        <f>G17*G11+(1-sbc_coste)*G25</f>
        <v/>
      </c>
      <c r="H18">
        <f>H17*H11+(1-sbc_coste)*H25</f>
        <v/>
      </c>
      <c r="I18">
        <f>I17*I11+(1-sbc_coste)*I25</f>
        <v/>
      </c>
      <c r="J18">
        <f>J17*J11+(1-sbc_coste)*J25</f>
        <v/>
      </c>
      <c r="K18">
        <f>K17*K11+(1-sbc_coste)*K25</f>
        <v/>
      </c>
      <c r="L18">
        <f>L17*L11+(1-sbc_coste)*L25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(C17-ingresos_base)*fm_base</f>
        <v/>
      </c>
      <c r="D24">
        <f>(D17-C17)*fm_base</f>
        <v/>
      </c>
      <c r="E24">
        <f>(E17-D17)*fm_base</f>
        <v/>
      </c>
      <c r="F24">
        <f>(F17-E17)*fm_base</f>
        <v/>
      </c>
      <c r="G24">
        <f>(G17-F17)*fm_base</f>
        <v/>
      </c>
      <c r="H24">
        <f>(H17-G17)*fm_base</f>
        <v/>
      </c>
      <c r="I24">
        <f>(I17-H17)*fm_base</f>
        <v/>
      </c>
      <c r="J24">
        <f>(J17-I17)*fm_base</f>
        <v/>
      </c>
      <c r="K24">
        <f>(K17-J17)*fm_base</f>
        <v/>
      </c>
      <c r="L24">
        <f>(L17-K17)*fm_base</f>
        <v/>
      </c>
    </row>
    <row r="25">
      <c r="B25" t="inlineStr">
        <is>
          <t>SBC</t>
        </is>
      </c>
      <c r="C25">
        <f>C17*C15</f>
        <v/>
      </c>
      <c r="D25">
        <f>D17*D15</f>
        <v/>
      </c>
      <c r="E25">
        <f>E17*E15</f>
        <v/>
      </c>
      <c r="F25">
        <f>F17*F15</f>
        <v/>
      </c>
      <c r="G25">
        <f>G17*G15</f>
        <v/>
      </c>
      <c r="H25">
        <f>H17*H15</f>
        <v/>
      </c>
      <c r="I25">
        <f>I17*I15</f>
        <v/>
      </c>
      <c r="J25">
        <f>J17*J15</f>
        <v/>
      </c>
      <c r="K25">
        <f>K17*K15</f>
        <v/>
      </c>
      <c r="L25">
        <f>L17*L15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C21+C22-C23-C24-C26</f>
        <v/>
      </c>
      <c r="D27">
        <f>D21+D22-D23-D24-D26</f>
        <v/>
      </c>
      <c r="E27">
        <f>E21+E22-E23-E24-E26</f>
        <v/>
      </c>
      <c r="F27">
        <f>F21+F22-F23-F24-F26</f>
        <v/>
      </c>
      <c r="G27">
        <f>G21+G22-G23-G24-G26</f>
        <v/>
      </c>
      <c r="H27">
        <f>H21+H22-H23-H24-H26</f>
        <v/>
      </c>
      <c r="I27">
        <f>I21+I22-I23-I24-I26</f>
        <v/>
      </c>
      <c r="J27">
        <f>J21+J22-J23-J24-J26</f>
        <v/>
      </c>
      <c r="K27">
        <f>K21+K22-K23-K24-K26</f>
        <v/>
      </c>
      <c r="L27">
        <f>L21+L22-L23-L24-L26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IF(mitad_de_anio=1,fraccion-fraccion_flujo/2,fraccion)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(1+wacc_base)^(-C29)</f>
        <v/>
      </c>
      <c r="D30">
        <f>(1+wacc_base)^(-D29)</f>
        <v/>
      </c>
      <c r="E30">
        <f>(1+wacc_base)^(-E29)</f>
        <v/>
      </c>
      <c r="F30">
        <f>(1+wacc_base)^(-F29)</f>
        <v/>
      </c>
      <c r="G30">
        <f>(1+wacc_base)^(-G29)</f>
        <v/>
      </c>
      <c r="H30">
        <f>(1+wacc_base)^(-H29)</f>
        <v/>
      </c>
      <c r="I30">
        <f>(1+wacc_base)^(-I29)</f>
        <v/>
      </c>
      <c r="J30">
        <f>(1+wacc_base)^(-J29)</f>
        <v/>
      </c>
      <c r="K30">
        <f>(1+wacc_base)^(-K29)</f>
        <v/>
      </c>
      <c r="L30">
        <f>(1+wacc_base)^(-L29)</f>
        <v/>
      </c>
    </row>
    <row r="31">
      <c r="B31" t="inlineStr">
        <is>
          <t>Parte del año que cuenta</t>
        </is>
      </c>
      <c r="C31">
        <f>fraccion_flujo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suma_va_base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vt_base</t>
        </is>
      </c>
      <c r="B35" s="2" t="inlineStr">
        <is>
          <t>Valor terminal (value_driver)</t>
        </is>
      </c>
      <c r="C35">
        <f>L21*(1+g_base)*(1-g_base/ronic_base)/(wacc_base-g_base)</f>
        <v/>
      </c>
    </row>
    <row r="36">
      <c r="A36" t="inlineStr">
        <is>
          <t>va_vt_base</t>
        </is>
      </c>
      <c r="B36" s="2" t="inlineStr">
        <is>
          <t>Valor actual del valor terminal</t>
        </is>
      </c>
      <c r="C36">
        <f>C35*(1+wacc_base)^(-(fraccion+10-1))</f>
        <v/>
      </c>
    </row>
    <row r="37">
      <c r="A37" t="inlineStr">
        <is>
          <t>ev_base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fondos_propios_base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acciones_valor_base</t>
        </is>
      </c>
      <c r="B39" s="2" t="inlineStr">
        <is>
          <t>Acciones del valor por acción (+ las que pagan la SBC con «dilución»)</t>
        </is>
      </c>
      <c r="C39">
        <f>acciones_diluidas+(1-sbc_coste)*SUMPRODUCT(C25:L25,C31:L31)/precio</f>
        <v/>
      </c>
    </row>
    <row r="40">
      <c r="A40" t="inlineStr">
        <is>
          <t>valor_accion_base</t>
        </is>
      </c>
      <c r="B40" s="2" t="inlineStr">
        <is>
          <t>Valor por acción hoy (V₀)</t>
        </is>
      </c>
      <c r="C40">
        <f>C38/C39</f>
        <v/>
      </c>
    </row>
    <row r="41">
      <c r="A41" t="inlineStr">
        <is>
          <t>valor_h_base</t>
        </is>
      </c>
      <c r="B41" s="2" t="inlineStr">
        <is>
          <t>Valor por acción en el horizonte (V_h)</t>
        </is>
      </c>
      <c r="C41">
        <f>C40*(1+ke)^(horizonte_meses/12)-dpa_horizonte</f>
        <v/>
      </c>
    </row>
    <row r="43">
      <c r="B43" s="2" t="inlineStr">
        <is>
          <t>Contraste del valor terminal por los tres métodos</t>
        </is>
      </c>
    </row>
    <row r="44">
      <c r="A44" t="inlineStr">
        <is>
          <t>vt_value_driver_base</t>
        </is>
      </c>
      <c r="B44" t="inlineStr">
        <is>
          <t>Value driver: NOPAT × (1 + g) × (1 − g / RONIC) / (WACC − g)</t>
        </is>
      </c>
      <c r="C44">
        <f>L21*(1+g_base)*(1-g_base/ronic_base)/(wacc_base-g_base)</f>
        <v/>
      </c>
    </row>
    <row r="45">
      <c r="A45" t="inlineStr">
        <is>
          <t>vt_gordon_base</t>
        </is>
      </c>
      <c r="B45" t="inlineStr">
        <is>
          <t>Gordon: FCFF × (1 + g) / (WACC − g)</t>
        </is>
      </c>
      <c r="C45">
        <f>L27*(1+g_base)/(wacc_base-g_base)</f>
        <v/>
      </c>
    </row>
    <row r="46">
      <c r="A46" t="inlineStr">
        <is>
          <t>vt_multiplo_base</t>
        </is>
      </c>
      <c r="B46" t="inlineStr">
        <is>
          <t>Múltiplo de salida: EBITDA × múltiplo</t>
        </is>
      </c>
      <c r="C46">
        <f>IF(ISNUMBER(multiplo_base),L28*multiplo_base,"")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optimista: fórmulas vivas del motor (05 §3–§7)</t>
        </is>
      </c>
    </row>
    <row r="2">
      <c r="A2" t="inlineStr">
        <is>
          <t>wacc_opt</t>
        </is>
      </c>
      <c r="B2" t="inlineStr">
        <is>
          <t>WACC del escenario</t>
        </is>
      </c>
      <c r="C2" s="1" t="n">
        <v>0.104528734823824</v>
      </c>
    </row>
    <row r="3">
      <c r="A3" t="inlineStr">
        <is>
          <t>g_opt</t>
        </is>
      </c>
      <c r="B3" t="inlineStr">
        <is>
          <t>Crecimiento terminal (g)</t>
        </is>
      </c>
      <c r="C3" s="1" t="n">
        <v>0.025</v>
      </c>
    </row>
    <row r="4">
      <c r="A4" t="inlineStr">
        <is>
          <t>peso_opt</t>
        </is>
      </c>
      <c r="B4" t="inlineStr">
        <is>
          <t>Probabilidad</t>
        </is>
      </c>
      <c r="C4" s="1" t="n">
        <v>0.2</v>
      </c>
    </row>
    <row r="5">
      <c r="A5" t="inlineStr">
        <is>
          <t>ronic_opt</t>
        </is>
      </c>
      <c r="B5" t="inlineStr">
        <is>
          <t>RONIC</t>
        </is>
      </c>
      <c r="C5" s="1" t="n">
        <v>0.15</v>
      </c>
    </row>
    <row r="6">
      <c r="A6" t="inlineStr">
        <is>
          <t>multiplo_opt</t>
        </is>
      </c>
      <c r="B6" t="inlineStr">
        <is>
          <t>Múltiplo de salida</t>
        </is>
      </c>
      <c r="C6" s="1" t="n"/>
    </row>
    <row r="7">
      <c r="A7" t="inlineStr">
        <is>
          <t>fm_opt</t>
        </is>
      </c>
      <c r="B7" t="inlineStr">
        <is>
          <t>ΔFM / Δingresos</t>
        </is>
      </c>
      <c r="C7" s="1" t="n">
        <v>0.05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0.18</v>
      </c>
      <c r="D10" s="1" t="n">
        <v>0.16</v>
      </c>
      <c r="E10" s="1" t="n">
        <v>0.14</v>
      </c>
      <c r="F10" s="1" t="n">
        <v>0.12</v>
      </c>
      <c r="G10" s="1" t="n">
        <v>0.1</v>
      </c>
      <c r="H10" s="1" t="n">
        <v>0.08500000000000001</v>
      </c>
      <c r="I10" s="1" t="n">
        <v>0.07000000000000001</v>
      </c>
      <c r="J10" s="1" t="n">
        <v>0.055</v>
      </c>
      <c r="K10" s="1" t="n">
        <v>0.03999999999999999</v>
      </c>
      <c r="L10" s="1" t="n">
        <v>0.025</v>
      </c>
    </row>
    <row r="11">
      <c r="B11" t="inlineStr">
        <is>
          <t>margen</t>
        </is>
      </c>
      <c r="C11" s="1" t="n">
        <v>0.03</v>
      </c>
      <c r="D11" s="1" t="n">
        <v>0.07000000000000001</v>
      </c>
      <c r="E11" s="1" t="n">
        <v>0.11</v>
      </c>
      <c r="F11" s="1" t="n">
        <v>0.12</v>
      </c>
      <c r="G11" s="1" t="n">
        <v>0.13</v>
      </c>
      <c r="H11" s="1" t="n">
        <v>0.13</v>
      </c>
      <c r="I11" s="1" t="n">
        <v>0.13</v>
      </c>
      <c r="J11" s="1" t="n">
        <v>0.13</v>
      </c>
      <c r="K11" s="1" t="n">
        <v>0.13</v>
      </c>
      <c r="L11" s="1" t="n">
        <v>0.13</v>
      </c>
    </row>
    <row r="12">
      <c r="B12" t="inlineStr">
        <is>
          <t>impuesto</t>
        </is>
      </c>
      <c r="C12" s="1" t="n">
        <v>0.1</v>
      </c>
      <c r="D12" s="1" t="n">
        <v>0.16</v>
      </c>
      <c r="E12" s="1" t="n">
        <v>0.22</v>
      </c>
      <c r="F12" s="1" t="n">
        <v>0.2242857142857143</v>
      </c>
      <c r="G12" s="1" t="n">
        <v>0.2285714285714286</v>
      </c>
      <c r="H12" s="1" t="n">
        <v>0.2328571428571428</v>
      </c>
      <c r="I12" s="1" t="n">
        <v>0.2371428571428572</v>
      </c>
      <c r="J12" s="1" t="n">
        <v>0.2414285714285714</v>
      </c>
      <c r="K12" s="1" t="n">
        <v>0.2457142857142857</v>
      </c>
      <c r="L12" s="1" t="n">
        <v>0.25</v>
      </c>
    </row>
    <row r="13">
      <c r="B13" t="inlineStr">
        <is>
          <t>da</t>
        </is>
      </c>
      <c r="C13" s="1" t="n">
        <v>0.04</v>
      </c>
      <c r="D13" s="1" t="n">
        <v>0.04</v>
      </c>
      <c r="E13" s="1" t="n">
        <v>0.04</v>
      </c>
      <c r="F13" s="1" t="n">
        <v>0.04</v>
      </c>
      <c r="G13" s="1" t="n">
        <v>0.04</v>
      </c>
      <c r="H13" s="1" t="n">
        <v>0.04</v>
      </c>
      <c r="I13" s="1" t="n">
        <v>0.04</v>
      </c>
      <c r="J13" s="1" t="n">
        <v>0.04</v>
      </c>
      <c r="K13" s="1" t="n">
        <v>0.04</v>
      </c>
      <c r="L13" s="1" t="n">
        <v>0.04</v>
      </c>
    </row>
    <row r="14">
      <c r="B14" t="inlineStr">
        <is>
          <t>capex</t>
        </is>
      </c>
      <c r="C14" s="1" t="n">
        <v>0.035</v>
      </c>
      <c r="D14" s="1" t="n">
        <v>0.03444444444444444</v>
      </c>
      <c r="E14" s="1" t="n">
        <v>0.03388888888888889</v>
      </c>
      <c r="F14" s="1" t="n">
        <v>0.03333333333333333</v>
      </c>
      <c r="G14" s="1" t="n">
        <v>0.03277777777777778</v>
      </c>
      <c r="H14" s="1" t="n">
        <v>0.03222222222222222</v>
      </c>
      <c r="I14" s="1" t="n">
        <v>0.03166666666666667</v>
      </c>
      <c r="J14" s="1" t="n">
        <v>0.03111111111111111</v>
      </c>
      <c r="K14" s="1" t="n">
        <v>0.03055555555555555</v>
      </c>
      <c r="L14" s="1" t="n">
        <v>0.03</v>
      </c>
    </row>
    <row r="15">
      <c r="B15" t="inlineStr">
        <is>
          <t>sbc</t>
        </is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C17*C11+(1-sbc_coste)*C25</f>
        <v/>
      </c>
      <c r="D18">
        <f>D17*D11+(1-sbc_coste)*D25</f>
        <v/>
      </c>
      <c r="E18">
        <f>E17*E11+(1-sbc_coste)*E25</f>
        <v/>
      </c>
      <c r="F18">
        <f>F17*F11+(1-sbc_coste)*F25</f>
        <v/>
      </c>
      <c r="G18">
        <f>G17*G11+(1-sbc_coste)*G25</f>
        <v/>
      </c>
      <c r="H18">
        <f>H17*H11+(1-sbc_coste)*H25</f>
        <v/>
      </c>
      <c r="I18">
        <f>I17*I11+(1-sbc_coste)*I25</f>
        <v/>
      </c>
      <c r="J18">
        <f>J17*J11+(1-sbc_coste)*J25</f>
        <v/>
      </c>
      <c r="K18">
        <f>K17*K11+(1-sbc_coste)*K25</f>
        <v/>
      </c>
      <c r="L18">
        <f>L17*L11+(1-sbc_coste)*L25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(C17-ingresos_base)*fm_opt</f>
        <v/>
      </c>
      <c r="D24">
        <f>(D17-C17)*fm_opt</f>
        <v/>
      </c>
      <c r="E24">
        <f>(E17-D17)*fm_opt</f>
        <v/>
      </c>
      <c r="F24">
        <f>(F17-E17)*fm_opt</f>
        <v/>
      </c>
      <c r="G24">
        <f>(G17-F17)*fm_opt</f>
        <v/>
      </c>
      <c r="H24">
        <f>(H17-G17)*fm_opt</f>
        <v/>
      </c>
      <c r="I24">
        <f>(I17-H17)*fm_opt</f>
        <v/>
      </c>
      <c r="J24">
        <f>(J17-I17)*fm_opt</f>
        <v/>
      </c>
      <c r="K24">
        <f>(K17-J17)*fm_opt</f>
        <v/>
      </c>
      <c r="L24">
        <f>(L17-K17)*fm_opt</f>
        <v/>
      </c>
    </row>
    <row r="25">
      <c r="B25" t="inlineStr">
        <is>
          <t>SBC</t>
        </is>
      </c>
      <c r="C25">
        <f>C17*C15</f>
        <v/>
      </c>
      <c r="D25">
        <f>D17*D15</f>
        <v/>
      </c>
      <c r="E25">
        <f>E17*E15</f>
        <v/>
      </c>
      <c r="F25">
        <f>F17*F15</f>
        <v/>
      </c>
      <c r="G25">
        <f>G17*G15</f>
        <v/>
      </c>
      <c r="H25">
        <f>H17*H15</f>
        <v/>
      </c>
      <c r="I25">
        <f>I17*I15</f>
        <v/>
      </c>
      <c r="J25">
        <f>J17*J15</f>
        <v/>
      </c>
      <c r="K25">
        <f>K17*K15</f>
        <v/>
      </c>
      <c r="L25">
        <f>L17*L15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C21+C22-C23-C24-C26</f>
        <v/>
      </c>
      <c r="D27">
        <f>D21+D22-D23-D24-D26</f>
        <v/>
      </c>
      <c r="E27">
        <f>E21+E22-E23-E24-E26</f>
        <v/>
      </c>
      <c r="F27">
        <f>F21+F22-F23-F24-F26</f>
        <v/>
      </c>
      <c r="G27">
        <f>G21+G22-G23-G24-G26</f>
        <v/>
      </c>
      <c r="H27">
        <f>H21+H22-H23-H24-H26</f>
        <v/>
      </c>
      <c r="I27">
        <f>I21+I22-I23-I24-I26</f>
        <v/>
      </c>
      <c r="J27">
        <f>J21+J22-J23-J24-J26</f>
        <v/>
      </c>
      <c r="K27">
        <f>K21+K22-K23-K24-K26</f>
        <v/>
      </c>
      <c r="L27">
        <f>L21+L22-L23-L24-L26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IF(mitad_de_anio=1,fraccion-fraccion_flujo/2,fraccion)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(1+wacc_opt)^(-C29)</f>
        <v/>
      </c>
      <c r="D30">
        <f>(1+wacc_opt)^(-D29)</f>
        <v/>
      </c>
      <c r="E30">
        <f>(1+wacc_opt)^(-E29)</f>
        <v/>
      </c>
      <c r="F30">
        <f>(1+wacc_opt)^(-F29)</f>
        <v/>
      </c>
      <c r="G30">
        <f>(1+wacc_opt)^(-G29)</f>
        <v/>
      </c>
      <c r="H30">
        <f>(1+wacc_opt)^(-H29)</f>
        <v/>
      </c>
      <c r="I30">
        <f>(1+wacc_opt)^(-I29)</f>
        <v/>
      </c>
      <c r="J30">
        <f>(1+wacc_opt)^(-J29)</f>
        <v/>
      </c>
      <c r="K30">
        <f>(1+wacc_opt)^(-K29)</f>
        <v/>
      </c>
      <c r="L30">
        <f>(1+wacc_opt)^(-L29)</f>
        <v/>
      </c>
    </row>
    <row r="31">
      <c r="B31" t="inlineStr">
        <is>
          <t>Parte del año que cuenta</t>
        </is>
      </c>
      <c r="C31">
        <f>fraccion_flujo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suma_va_opt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vt_opt</t>
        </is>
      </c>
      <c r="B35" s="2" t="inlineStr">
        <is>
          <t>Valor terminal (value_driver)</t>
        </is>
      </c>
      <c r="C35">
        <f>L21*(1+g_opt)*(1-g_opt/ronic_opt)/(wacc_opt-g_opt)</f>
        <v/>
      </c>
    </row>
    <row r="36">
      <c r="A36" t="inlineStr">
        <is>
          <t>va_vt_opt</t>
        </is>
      </c>
      <c r="B36" s="2" t="inlineStr">
        <is>
          <t>Valor actual del valor terminal</t>
        </is>
      </c>
      <c r="C36">
        <f>C35*(1+wacc_opt)^(-(fraccion+10-1))</f>
        <v/>
      </c>
    </row>
    <row r="37">
      <c r="A37" t="inlineStr">
        <is>
          <t>ev_opt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fondos_propios_opt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acciones_valor_opt</t>
        </is>
      </c>
      <c r="B39" s="2" t="inlineStr">
        <is>
          <t>Acciones del valor por acción (+ las que pagan la SBC con «dilución»)</t>
        </is>
      </c>
      <c r="C39">
        <f>acciones_diluidas+(1-sbc_coste)*SUMPRODUCT(C25:L25,C31:L31)/precio</f>
        <v/>
      </c>
    </row>
    <row r="40">
      <c r="A40" t="inlineStr">
        <is>
          <t>valor_accion_opt</t>
        </is>
      </c>
      <c r="B40" s="2" t="inlineStr">
        <is>
          <t>Valor por acción hoy (V₀)</t>
        </is>
      </c>
      <c r="C40">
        <f>C38/C39</f>
        <v/>
      </c>
    </row>
    <row r="41">
      <c r="A41" t="inlineStr">
        <is>
          <t>valor_h_opt</t>
        </is>
      </c>
      <c r="B41" s="2" t="inlineStr">
        <is>
          <t>Valor por acción en el horizonte (V_h)</t>
        </is>
      </c>
      <c r="C41">
        <f>C40*(1+ke)^(horizonte_meses/12)-dpa_horizonte</f>
        <v/>
      </c>
    </row>
    <row r="43">
      <c r="B43" s="2" t="inlineStr">
        <is>
          <t>Contraste del valor terminal por los tres métodos</t>
        </is>
      </c>
    </row>
    <row r="44">
      <c r="A44" t="inlineStr">
        <is>
          <t>vt_value_driver_opt</t>
        </is>
      </c>
      <c r="B44" t="inlineStr">
        <is>
          <t>Value driver: NOPAT × (1 + g) × (1 − g / RONIC) / (WACC − g)</t>
        </is>
      </c>
      <c r="C44">
        <f>L21*(1+g_opt)*(1-g_opt/ronic_opt)/(wacc_opt-g_opt)</f>
        <v/>
      </c>
    </row>
    <row r="45">
      <c r="A45" t="inlineStr">
        <is>
          <t>vt_gordon_opt</t>
        </is>
      </c>
      <c r="B45" t="inlineStr">
        <is>
          <t>Gordon: FCFF × (1 + g) / (WACC − g)</t>
        </is>
      </c>
      <c r="C45">
        <f>L27*(1+g_opt)/(wacc_opt-g_opt)</f>
        <v/>
      </c>
    </row>
    <row r="46">
      <c r="A46" t="inlineStr">
        <is>
          <t>vt_multiplo_opt</t>
        </is>
      </c>
      <c r="B46" t="inlineStr">
        <is>
          <t>Múltiplo de salida: EBITDA × múltiplo</t>
        </is>
      </c>
      <c r="C46">
        <f>IF(ISNUMBER(multiplo_opt),L28*multiplo_opt,"")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V₀ del escenario base: WACC (filas) × g (columnas)</t>
        </is>
      </c>
    </row>
    <row r="2">
      <c r="B2" t="n">
        <v>0.015</v>
      </c>
      <c r="C2" t="n">
        <v>0.0175</v>
      </c>
      <c r="D2" t="n">
        <v>0.02</v>
      </c>
      <c r="E2" t="n">
        <v>0.0225</v>
      </c>
      <c r="F2" t="n">
        <v>0.025</v>
      </c>
    </row>
    <row r="3">
      <c r="A3" t="n">
        <v>0.094528734823824</v>
      </c>
      <c r="B3">
        <f>IF($A3-B$2&lt;=0,"",(SUMPRODUCT(Base!$C$27:$L$27,Base!$C$31:$L$31,(1+$A3)^(-Base!$C$29:$L$29))+Base!$L$21*(1+B$2)*(1-B$2/0.12)/($A3-B$2)*(1+$A3)^(-(fraccion+10-1))+ajuste_puente)/acciones_valor_base)</f>
        <v/>
      </c>
      <c r="C3">
        <f>IF($A3-C$2&lt;=0,"",(SUMPRODUCT(Base!$C$27:$L$27,Base!$C$31:$L$31,(1+$A3)^(-Base!$C$29:$L$29))+Base!$L$21*(1+C$2)*(1-C$2/0.12)/($A3-C$2)*(1+$A3)^(-(fraccion+10-1))+ajuste_puente)/acciones_valor_base)</f>
        <v/>
      </c>
      <c r="D3">
        <f>IF($A3-D$2&lt;=0,"",(SUMPRODUCT(Base!$C$27:$L$27,Base!$C$31:$L$31,(1+$A3)^(-Base!$C$29:$L$29))+Base!$L$21*(1+D$2)*(1-D$2/0.12)/($A3-D$2)*(1+$A3)^(-(fraccion+10-1))+ajuste_puente)/acciones_valor_base)</f>
        <v/>
      </c>
      <c r="E3">
        <f>IF($A3-E$2&lt;=0,"",(SUMPRODUCT(Base!$C$27:$L$27,Base!$C$31:$L$31,(1+$A3)^(-Base!$C$29:$L$29))+Base!$L$21*(1+E$2)*(1-E$2/0.12)/($A3-E$2)*(1+$A3)^(-(fraccion+10-1))+ajuste_puente)/acciones_valor_base)</f>
        <v/>
      </c>
      <c r="F3">
        <f>IF($A3-F$2&lt;=0,"",(SUMPRODUCT(Base!$C$27:$L$27,Base!$C$31:$L$31,(1+$A3)^(-Base!$C$29:$L$29))+Base!$L$21*(1+F$2)*(1-F$2/0.12)/($A3-F$2)*(1+$A3)^(-(fraccion+10-1))+ajuste_puente)/acciones_valor_base)</f>
        <v/>
      </c>
    </row>
    <row r="4">
      <c r="A4" t="n">
        <v>0.09952873482382399</v>
      </c>
      <c r="B4">
        <f>IF($A4-B$2&lt;=0,"",(SUMPRODUCT(Base!$C$27:$L$27,Base!$C$31:$L$31,(1+$A4)^(-Base!$C$29:$L$29))+Base!$L$21*(1+B$2)*(1-B$2/0.12)/($A4-B$2)*(1+$A4)^(-(fraccion+10-1))+ajuste_puente)/acciones_valor_base)</f>
        <v/>
      </c>
      <c r="C4">
        <f>IF($A4-C$2&lt;=0,"",(SUMPRODUCT(Base!$C$27:$L$27,Base!$C$31:$L$31,(1+$A4)^(-Base!$C$29:$L$29))+Base!$L$21*(1+C$2)*(1-C$2/0.12)/($A4-C$2)*(1+$A4)^(-(fraccion+10-1))+ajuste_puente)/acciones_valor_base)</f>
        <v/>
      </c>
      <c r="D4">
        <f>IF($A4-D$2&lt;=0,"",(SUMPRODUCT(Base!$C$27:$L$27,Base!$C$31:$L$31,(1+$A4)^(-Base!$C$29:$L$29))+Base!$L$21*(1+D$2)*(1-D$2/0.12)/($A4-D$2)*(1+$A4)^(-(fraccion+10-1))+ajuste_puente)/acciones_valor_base)</f>
        <v/>
      </c>
      <c r="E4">
        <f>IF($A4-E$2&lt;=0,"",(SUMPRODUCT(Base!$C$27:$L$27,Base!$C$31:$L$31,(1+$A4)^(-Base!$C$29:$L$29))+Base!$L$21*(1+E$2)*(1-E$2/0.12)/($A4-E$2)*(1+$A4)^(-(fraccion+10-1))+ajuste_puente)/acciones_valor_base)</f>
        <v/>
      </c>
      <c r="F4">
        <f>IF($A4-F$2&lt;=0,"",(SUMPRODUCT(Base!$C$27:$L$27,Base!$C$31:$L$31,(1+$A4)^(-Base!$C$29:$L$29))+Base!$L$21*(1+F$2)*(1-F$2/0.12)/($A4-F$2)*(1+$A4)^(-(fraccion+10-1))+ajuste_puente)/acciones_valor_base)</f>
        <v/>
      </c>
    </row>
    <row r="5">
      <c r="A5" t="n">
        <v>0.104528734823824</v>
      </c>
      <c r="B5">
        <f>IF($A5-B$2&lt;=0,"",(SUMPRODUCT(Base!$C$27:$L$27,Base!$C$31:$L$31,(1+$A5)^(-Base!$C$29:$L$29))+Base!$L$21*(1+B$2)*(1-B$2/0.12)/($A5-B$2)*(1+$A5)^(-(fraccion+10-1))+ajuste_puente)/acciones_valor_base)</f>
        <v/>
      </c>
      <c r="C5">
        <f>IF($A5-C$2&lt;=0,"",(SUMPRODUCT(Base!$C$27:$L$27,Base!$C$31:$L$31,(1+$A5)^(-Base!$C$29:$L$29))+Base!$L$21*(1+C$2)*(1-C$2/0.12)/($A5-C$2)*(1+$A5)^(-(fraccion+10-1))+ajuste_puente)/acciones_valor_base)</f>
        <v/>
      </c>
      <c r="D5">
        <f>IF($A5-D$2&lt;=0,"",(SUMPRODUCT(Base!$C$27:$L$27,Base!$C$31:$L$31,(1+$A5)^(-Base!$C$29:$L$29))+Base!$L$21*(1+D$2)*(1-D$2/0.12)/($A5-D$2)*(1+$A5)^(-(fraccion+10-1))+ajuste_puente)/acciones_valor_base)</f>
        <v/>
      </c>
      <c r="E5">
        <f>IF($A5-E$2&lt;=0,"",(SUMPRODUCT(Base!$C$27:$L$27,Base!$C$31:$L$31,(1+$A5)^(-Base!$C$29:$L$29))+Base!$L$21*(1+E$2)*(1-E$2/0.12)/($A5-E$2)*(1+$A5)^(-(fraccion+10-1))+ajuste_puente)/acciones_valor_base)</f>
        <v/>
      </c>
      <c r="F5">
        <f>IF($A5-F$2&lt;=0,"",(SUMPRODUCT(Base!$C$27:$L$27,Base!$C$31:$L$31,(1+$A5)^(-Base!$C$29:$L$29))+Base!$L$21*(1+F$2)*(1-F$2/0.12)/($A5-F$2)*(1+$A5)^(-(fraccion+10-1))+ajuste_puente)/acciones_valor_base)</f>
        <v/>
      </c>
    </row>
    <row r="6">
      <c r="A6" t="n">
        <v>0.109528734823824</v>
      </c>
      <c r="B6">
        <f>IF($A6-B$2&lt;=0,"",(SUMPRODUCT(Base!$C$27:$L$27,Base!$C$31:$L$31,(1+$A6)^(-Base!$C$29:$L$29))+Base!$L$21*(1+B$2)*(1-B$2/0.12)/($A6-B$2)*(1+$A6)^(-(fraccion+10-1))+ajuste_puente)/acciones_valor_base)</f>
        <v/>
      </c>
      <c r="C6">
        <f>IF($A6-C$2&lt;=0,"",(SUMPRODUCT(Base!$C$27:$L$27,Base!$C$31:$L$31,(1+$A6)^(-Base!$C$29:$L$29))+Base!$L$21*(1+C$2)*(1-C$2/0.12)/($A6-C$2)*(1+$A6)^(-(fraccion+10-1))+ajuste_puente)/acciones_valor_base)</f>
        <v/>
      </c>
      <c r="D6">
        <f>IF($A6-D$2&lt;=0,"",(SUMPRODUCT(Base!$C$27:$L$27,Base!$C$31:$L$31,(1+$A6)^(-Base!$C$29:$L$29))+Base!$L$21*(1+D$2)*(1-D$2/0.12)/($A6-D$2)*(1+$A6)^(-(fraccion+10-1))+ajuste_puente)/acciones_valor_base)</f>
        <v/>
      </c>
      <c r="E6">
        <f>IF($A6-E$2&lt;=0,"",(SUMPRODUCT(Base!$C$27:$L$27,Base!$C$31:$L$31,(1+$A6)^(-Base!$C$29:$L$29))+Base!$L$21*(1+E$2)*(1-E$2/0.12)/($A6-E$2)*(1+$A6)^(-(fraccion+10-1))+ajuste_puente)/acciones_valor_base)</f>
        <v/>
      </c>
      <c r="F6">
        <f>IF($A6-F$2&lt;=0,"",(SUMPRODUCT(Base!$C$27:$L$27,Base!$C$31:$L$31,(1+$A6)^(-Base!$C$29:$L$29))+Base!$L$21*(1+F$2)*(1-F$2/0.12)/($A6-F$2)*(1+$A6)^(-(fraccion+10-1))+ajuste_puente)/acciones_valor_base)</f>
        <v/>
      </c>
    </row>
    <row r="7">
      <c r="A7" t="n">
        <v>0.114528734823824</v>
      </c>
      <c r="B7">
        <f>IF($A7-B$2&lt;=0,"",(SUMPRODUCT(Base!$C$27:$L$27,Base!$C$31:$L$31,(1+$A7)^(-Base!$C$29:$L$29))+Base!$L$21*(1+B$2)*(1-B$2/0.12)/($A7-B$2)*(1+$A7)^(-(fraccion+10-1))+ajuste_puente)/acciones_valor_base)</f>
        <v/>
      </c>
      <c r="C7">
        <f>IF($A7-C$2&lt;=0,"",(SUMPRODUCT(Base!$C$27:$L$27,Base!$C$31:$L$31,(1+$A7)^(-Base!$C$29:$L$29))+Base!$L$21*(1+C$2)*(1-C$2/0.12)/($A7-C$2)*(1+$A7)^(-(fraccion+10-1))+ajuste_puente)/acciones_valor_base)</f>
        <v/>
      </c>
      <c r="D7">
        <f>IF($A7-D$2&lt;=0,"",(SUMPRODUCT(Base!$C$27:$L$27,Base!$C$31:$L$31,(1+$A7)^(-Base!$C$29:$L$29))+Base!$L$21*(1+D$2)*(1-D$2/0.12)/($A7-D$2)*(1+$A7)^(-(fraccion+10-1))+ajuste_puente)/acciones_valor_base)</f>
        <v/>
      </c>
      <c r="E7">
        <f>IF($A7-E$2&lt;=0,"",(SUMPRODUCT(Base!$C$27:$L$27,Base!$C$31:$L$31,(1+$A7)^(-Base!$C$29:$L$29))+Base!$L$21*(1+E$2)*(1-E$2/0.12)/($A7-E$2)*(1+$A7)^(-(fraccion+10-1))+ajuste_puente)/acciones_valor_base)</f>
        <v/>
      </c>
      <c r="F7">
        <f>IF($A7-F$2&lt;=0,"",(SUMPRODUCT(Base!$C$27:$L$27,Base!$C$31:$L$31,(1+$A7)^(-Base!$C$29:$L$29))+Base!$L$21*(1+F$2)*(1-F$2/0.12)/($A7-F$2)*(1+$A7)^(-(fraccion+10-1))+ajuste_puente)/acciones_valor_base)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inverso: qué crecimiento constante del FCFF hace que V₀ del escenario base sea el precio</t>
        </is>
      </c>
      <c r="E1" t="inlineStr">
        <is>
          <t>Crecimiento constante del FCFF implícito</t>
        </is>
      </c>
      <c r="F1">
        <f>IFERROR(INDEX($A$4:$A$154,MATCH(precio,$B$4:$B$154,1))+(precio-INDEX($B$4:$B$154,MATCH(precio,$B$4:$B$154,1)))*(INDEX($A$4:$A$154,MATCH(precio,$B$4:$B$154,1)+1)-INDEX($A$4:$A$154,MATCH(precio,$B$4:$B$154,1)))/(INDEX($B$4:$B$154,MATCH(precio,$B$4:$B$154,1)+1)-INDEX($B$4:$B$154,MATCH(precio,$B$4:$B$154,1))),"fuera del rango")</f>
        <v/>
      </c>
    </row>
    <row r="3">
      <c r="A3" t="inlineStr">
        <is>
          <t>Crecimiento del FCFF</t>
        </is>
      </c>
      <c r="B3" t="inlineStr">
        <is>
          <t>V₀ (base)</t>
        </is>
      </c>
      <c r="C3" t="inlineStr">
        <is>
          <t>FCFF año 1</t>
        </is>
      </c>
      <c r="D3" t="inlineStr">
        <is>
          <t>FCFF año 2</t>
        </is>
      </c>
      <c r="E3" t="inlineStr">
        <is>
          <t>FCFF año 3</t>
        </is>
      </c>
      <c r="F3" t="inlineStr">
        <is>
          <t>FCFF año 4</t>
        </is>
      </c>
      <c r="G3" t="inlineStr">
        <is>
          <t>FCFF año 5</t>
        </is>
      </c>
      <c r="H3" t="inlineStr">
        <is>
          <t>FCFF año 6</t>
        </is>
      </c>
      <c r="I3" t="inlineStr">
        <is>
          <t>FCFF año 7</t>
        </is>
      </c>
      <c r="J3" t="inlineStr">
        <is>
          <t>FCFF año 8</t>
        </is>
      </c>
      <c r="K3" t="inlineStr">
        <is>
          <t>FCFF año 9</t>
        </is>
      </c>
      <c r="L3" t="inlineStr">
        <is>
          <t>FCFF año 10</t>
        </is>
      </c>
    </row>
    <row r="4">
      <c r="A4" t="n">
        <v>-0.5</v>
      </c>
      <c r="B4">
        <f>(SUMPRODUCT(C4:L4,Base!$C$30:$L$30,Base!$C$31:$L$31)+L4*(1+g_base)/(wacc_base-g_base)*(1+wacc_base)^(-(fraccion+10-1))+ajuste_puente)/acciones_valor_base</f>
        <v/>
      </c>
      <c r="C4">
        <f>Base!$C$27*(1+$A4)^0</f>
        <v/>
      </c>
      <c r="D4">
        <f>Base!$C$27*(1+$A4)^1</f>
        <v/>
      </c>
      <c r="E4">
        <f>Base!$C$27*(1+$A4)^2</f>
        <v/>
      </c>
      <c r="F4">
        <f>Base!$C$27*(1+$A4)^3</f>
        <v/>
      </c>
      <c r="G4">
        <f>Base!$C$27*(1+$A4)^4</f>
        <v/>
      </c>
      <c r="H4">
        <f>Base!$C$27*(1+$A4)^5</f>
        <v/>
      </c>
      <c r="I4">
        <f>Base!$C$27*(1+$A4)^6</f>
        <v/>
      </c>
      <c r="J4">
        <f>Base!$C$27*(1+$A4)^7</f>
        <v/>
      </c>
      <c r="K4">
        <f>Base!$C$27*(1+$A4)^8</f>
        <v/>
      </c>
      <c r="L4">
        <f>Base!$C$27*(1+$A4)^9</f>
        <v/>
      </c>
    </row>
    <row r="5">
      <c r="A5" t="n">
        <v>-0.49</v>
      </c>
      <c r="B5">
        <f>(SUMPRODUCT(C5:L5,Base!$C$30:$L$30,Base!$C$31:$L$31)+L5*(1+g_base)/(wacc_base-g_base)*(1+wacc_base)^(-(fraccion+10-1))+ajuste_puente)/acciones_valor_base</f>
        <v/>
      </c>
      <c r="C5">
        <f>Base!$C$27*(1+$A5)^0</f>
        <v/>
      </c>
      <c r="D5">
        <f>Base!$C$27*(1+$A5)^1</f>
        <v/>
      </c>
      <c r="E5">
        <f>Base!$C$27*(1+$A5)^2</f>
        <v/>
      </c>
      <c r="F5">
        <f>Base!$C$27*(1+$A5)^3</f>
        <v/>
      </c>
      <c r="G5">
        <f>Base!$C$27*(1+$A5)^4</f>
        <v/>
      </c>
      <c r="H5">
        <f>Base!$C$27*(1+$A5)^5</f>
        <v/>
      </c>
      <c r="I5">
        <f>Base!$C$27*(1+$A5)^6</f>
        <v/>
      </c>
      <c r="J5">
        <f>Base!$C$27*(1+$A5)^7</f>
        <v/>
      </c>
      <c r="K5">
        <f>Base!$C$27*(1+$A5)^8</f>
        <v/>
      </c>
      <c r="L5">
        <f>Base!$C$27*(1+$A5)^9</f>
        <v/>
      </c>
    </row>
    <row r="6">
      <c r="A6" t="n">
        <v>-0.48</v>
      </c>
      <c r="B6">
        <f>(SUMPRODUCT(C6:L6,Base!$C$30:$L$30,Base!$C$31:$L$31)+L6*(1+g_base)/(wacc_base-g_base)*(1+wacc_base)^(-(fraccion+10-1))+ajuste_puente)/acciones_valor_base</f>
        <v/>
      </c>
      <c r="C6">
        <f>Base!$C$27*(1+$A6)^0</f>
        <v/>
      </c>
      <c r="D6">
        <f>Base!$C$27*(1+$A6)^1</f>
        <v/>
      </c>
      <c r="E6">
        <f>Base!$C$27*(1+$A6)^2</f>
        <v/>
      </c>
      <c r="F6">
        <f>Base!$C$27*(1+$A6)^3</f>
        <v/>
      </c>
      <c r="G6">
        <f>Base!$C$27*(1+$A6)^4</f>
        <v/>
      </c>
      <c r="H6">
        <f>Base!$C$27*(1+$A6)^5</f>
        <v/>
      </c>
      <c r="I6">
        <f>Base!$C$27*(1+$A6)^6</f>
        <v/>
      </c>
      <c r="J6">
        <f>Base!$C$27*(1+$A6)^7</f>
        <v/>
      </c>
      <c r="K6">
        <f>Base!$C$27*(1+$A6)^8</f>
        <v/>
      </c>
      <c r="L6">
        <f>Base!$C$27*(1+$A6)^9</f>
        <v/>
      </c>
    </row>
    <row r="7">
      <c r="A7" t="n">
        <v>-0.47</v>
      </c>
      <c r="B7">
        <f>(SUMPRODUCT(C7:L7,Base!$C$30:$L$30,Base!$C$31:$L$31)+L7*(1+g_base)/(wacc_base-g_base)*(1+wacc_base)^(-(fraccion+10-1))+ajuste_puente)/acciones_valor_base</f>
        <v/>
      </c>
      <c r="C7">
        <f>Base!$C$27*(1+$A7)^0</f>
        <v/>
      </c>
      <c r="D7">
        <f>Base!$C$27*(1+$A7)^1</f>
        <v/>
      </c>
      <c r="E7">
        <f>Base!$C$27*(1+$A7)^2</f>
        <v/>
      </c>
      <c r="F7">
        <f>Base!$C$27*(1+$A7)^3</f>
        <v/>
      </c>
      <c r="G7">
        <f>Base!$C$27*(1+$A7)^4</f>
        <v/>
      </c>
      <c r="H7">
        <f>Base!$C$27*(1+$A7)^5</f>
        <v/>
      </c>
      <c r="I7">
        <f>Base!$C$27*(1+$A7)^6</f>
        <v/>
      </c>
      <c r="J7">
        <f>Base!$C$27*(1+$A7)^7</f>
        <v/>
      </c>
      <c r="K7">
        <f>Base!$C$27*(1+$A7)^8</f>
        <v/>
      </c>
      <c r="L7">
        <f>Base!$C$27*(1+$A7)^9</f>
        <v/>
      </c>
    </row>
    <row r="8">
      <c r="A8" t="n">
        <v>-0.46</v>
      </c>
      <c r="B8">
        <f>(SUMPRODUCT(C8:L8,Base!$C$30:$L$30,Base!$C$31:$L$31)+L8*(1+g_base)/(wacc_base-g_base)*(1+wacc_base)^(-(fraccion+10-1))+ajuste_puente)/acciones_valor_base</f>
        <v/>
      </c>
      <c r="C8">
        <f>Base!$C$27*(1+$A8)^0</f>
        <v/>
      </c>
      <c r="D8">
        <f>Base!$C$27*(1+$A8)^1</f>
        <v/>
      </c>
      <c r="E8">
        <f>Base!$C$27*(1+$A8)^2</f>
        <v/>
      </c>
      <c r="F8">
        <f>Base!$C$27*(1+$A8)^3</f>
        <v/>
      </c>
      <c r="G8">
        <f>Base!$C$27*(1+$A8)^4</f>
        <v/>
      </c>
      <c r="H8">
        <f>Base!$C$27*(1+$A8)^5</f>
        <v/>
      </c>
      <c r="I8">
        <f>Base!$C$27*(1+$A8)^6</f>
        <v/>
      </c>
      <c r="J8">
        <f>Base!$C$27*(1+$A8)^7</f>
        <v/>
      </c>
      <c r="K8">
        <f>Base!$C$27*(1+$A8)^8</f>
        <v/>
      </c>
      <c r="L8">
        <f>Base!$C$27*(1+$A8)^9</f>
        <v/>
      </c>
    </row>
    <row r="9">
      <c r="A9" t="n">
        <v>-0.45</v>
      </c>
      <c r="B9">
        <f>(SUMPRODUCT(C9:L9,Base!$C$30:$L$30,Base!$C$31:$L$31)+L9*(1+g_base)/(wacc_base-g_base)*(1+wacc_base)^(-(fraccion+10-1))+ajuste_puente)/acciones_valor_base</f>
        <v/>
      </c>
      <c r="C9">
        <f>Base!$C$27*(1+$A9)^0</f>
        <v/>
      </c>
      <c r="D9">
        <f>Base!$C$27*(1+$A9)^1</f>
        <v/>
      </c>
      <c r="E9">
        <f>Base!$C$27*(1+$A9)^2</f>
        <v/>
      </c>
      <c r="F9">
        <f>Base!$C$27*(1+$A9)^3</f>
        <v/>
      </c>
      <c r="G9">
        <f>Base!$C$27*(1+$A9)^4</f>
        <v/>
      </c>
      <c r="H9">
        <f>Base!$C$27*(1+$A9)^5</f>
        <v/>
      </c>
      <c r="I9">
        <f>Base!$C$27*(1+$A9)^6</f>
        <v/>
      </c>
      <c r="J9">
        <f>Base!$C$27*(1+$A9)^7</f>
        <v/>
      </c>
      <c r="K9">
        <f>Base!$C$27*(1+$A9)^8</f>
        <v/>
      </c>
      <c r="L9">
        <f>Base!$C$27*(1+$A9)^9</f>
        <v/>
      </c>
    </row>
    <row r="10">
      <c r="A10" t="n">
        <v>-0.44</v>
      </c>
      <c r="B10">
        <f>(SUMPRODUCT(C10:L10,Base!$C$30:$L$30,Base!$C$31:$L$31)+L10*(1+g_base)/(wacc_base-g_base)*(1+wacc_base)^(-(fraccion+10-1))+ajuste_puente)/acciones_valor_base</f>
        <v/>
      </c>
      <c r="C10">
        <f>Base!$C$27*(1+$A10)^0</f>
        <v/>
      </c>
      <c r="D10">
        <f>Base!$C$27*(1+$A10)^1</f>
        <v/>
      </c>
      <c r="E10">
        <f>Base!$C$27*(1+$A10)^2</f>
        <v/>
      </c>
      <c r="F10">
        <f>Base!$C$27*(1+$A10)^3</f>
        <v/>
      </c>
      <c r="G10">
        <f>Base!$C$27*(1+$A10)^4</f>
        <v/>
      </c>
      <c r="H10">
        <f>Base!$C$27*(1+$A10)^5</f>
        <v/>
      </c>
      <c r="I10">
        <f>Base!$C$27*(1+$A10)^6</f>
        <v/>
      </c>
      <c r="J10">
        <f>Base!$C$27*(1+$A10)^7</f>
        <v/>
      </c>
      <c r="K10">
        <f>Base!$C$27*(1+$A10)^8</f>
        <v/>
      </c>
      <c r="L10">
        <f>Base!$C$27*(1+$A10)^9</f>
        <v/>
      </c>
    </row>
    <row r="11">
      <c r="A11" t="n">
        <v>-0.43</v>
      </c>
      <c r="B11">
        <f>(SUMPRODUCT(C11:L11,Base!$C$30:$L$30,Base!$C$31:$L$31)+L11*(1+g_base)/(wacc_base-g_base)*(1+wacc_base)^(-(fraccion+10-1))+ajuste_puente)/acciones_valor_base</f>
        <v/>
      </c>
      <c r="C11">
        <f>Base!$C$27*(1+$A11)^0</f>
        <v/>
      </c>
      <c r="D11">
        <f>Base!$C$27*(1+$A11)^1</f>
        <v/>
      </c>
      <c r="E11">
        <f>Base!$C$27*(1+$A11)^2</f>
        <v/>
      </c>
      <c r="F11">
        <f>Base!$C$27*(1+$A11)^3</f>
        <v/>
      </c>
      <c r="G11">
        <f>Base!$C$27*(1+$A11)^4</f>
        <v/>
      </c>
      <c r="H11">
        <f>Base!$C$27*(1+$A11)^5</f>
        <v/>
      </c>
      <c r="I11">
        <f>Base!$C$27*(1+$A11)^6</f>
        <v/>
      </c>
      <c r="J11">
        <f>Base!$C$27*(1+$A11)^7</f>
        <v/>
      </c>
      <c r="K11">
        <f>Base!$C$27*(1+$A11)^8</f>
        <v/>
      </c>
      <c r="L11">
        <f>Base!$C$27*(1+$A11)^9</f>
        <v/>
      </c>
    </row>
    <row r="12">
      <c r="A12" t="n">
        <v>-0.42</v>
      </c>
      <c r="B12">
        <f>(SUMPRODUCT(C12:L12,Base!$C$30:$L$30,Base!$C$31:$L$31)+L12*(1+g_base)/(wacc_base-g_base)*(1+wacc_base)^(-(fraccion+10-1))+ajuste_puente)/acciones_valor_base</f>
        <v/>
      </c>
      <c r="C12">
        <f>Base!$C$27*(1+$A12)^0</f>
        <v/>
      </c>
      <c r="D12">
        <f>Base!$C$27*(1+$A12)^1</f>
        <v/>
      </c>
      <c r="E12">
        <f>Base!$C$27*(1+$A12)^2</f>
        <v/>
      </c>
      <c r="F12">
        <f>Base!$C$27*(1+$A12)^3</f>
        <v/>
      </c>
      <c r="G12">
        <f>Base!$C$27*(1+$A12)^4</f>
        <v/>
      </c>
      <c r="H12">
        <f>Base!$C$27*(1+$A12)^5</f>
        <v/>
      </c>
      <c r="I12">
        <f>Base!$C$27*(1+$A12)^6</f>
        <v/>
      </c>
      <c r="J12">
        <f>Base!$C$27*(1+$A12)^7</f>
        <v/>
      </c>
      <c r="K12">
        <f>Base!$C$27*(1+$A12)^8</f>
        <v/>
      </c>
      <c r="L12">
        <f>Base!$C$27*(1+$A12)^9</f>
        <v/>
      </c>
    </row>
    <row r="13">
      <c r="A13" t="n">
        <v>-0.41</v>
      </c>
      <c r="B13">
        <f>(SUMPRODUCT(C13:L13,Base!$C$30:$L$30,Base!$C$31:$L$31)+L13*(1+g_base)/(wacc_base-g_base)*(1+wacc_base)^(-(fraccion+10-1))+ajuste_puente)/acciones_valor_base</f>
        <v/>
      </c>
      <c r="C13">
        <f>Base!$C$27*(1+$A13)^0</f>
        <v/>
      </c>
      <c r="D13">
        <f>Base!$C$27*(1+$A13)^1</f>
        <v/>
      </c>
      <c r="E13">
        <f>Base!$C$27*(1+$A13)^2</f>
        <v/>
      </c>
      <c r="F13">
        <f>Base!$C$27*(1+$A13)^3</f>
        <v/>
      </c>
      <c r="G13">
        <f>Base!$C$27*(1+$A13)^4</f>
        <v/>
      </c>
      <c r="H13">
        <f>Base!$C$27*(1+$A13)^5</f>
        <v/>
      </c>
      <c r="I13">
        <f>Base!$C$27*(1+$A13)^6</f>
        <v/>
      </c>
      <c r="J13">
        <f>Base!$C$27*(1+$A13)^7</f>
        <v/>
      </c>
      <c r="K13">
        <f>Base!$C$27*(1+$A13)^8</f>
        <v/>
      </c>
      <c r="L13">
        <f>Base!$C$27*(1+$A13)^9</f>
        <v/>
      </c>
    </row>
    <row r="14">
      <c r="A14" t="n">
        <v>-0.4</v>
      </c>
      <c r="B14">
        <f>(SUMPRODUCT(C14:L14,Base!$C$30:$L$30,Base!$C$31:$L$31)+L14*(1+g_base)/(wacc_base-g_base)*(1+wacc_base)^(-(fraccion+10-1))+ajuste_puente)/acciones_valor_base</f>
        <v/>
      </c>
      <c r="C14">
        <f>Base!$C$27*(1+$A14)^0</f>
        <v/>
      </c>
      <c r="D14">
        <f>Base!$C$27*(1+$A14)^1</f>
        <v/>
      </c>
      <c r="E14">
        <f>Base!$C$27*(1+$A14)^2</f>
        <v/>
      </c>
      <c r="F14">
        <f>Base!$C$27*(1+$A14)^3</f>
        <v/>
      </c>
      <c r="G14">
        <f>Base!$C$27*(1+$A14)^4</f>
        <v/>
      </c>
      <c r="H14">
        <f>Base!$C$27*(1+$A14)^5</f>
        <v/>
      </c>
      <c r="I14">
        <f>Base!$C$27*(1+$A14)^6</f>
        <v/>
      </c>
      <c r="J14">
        <f>Base!$C$27*(1+$A14)^7</f>
        <v/>
      </c>
      <c r="K14">
        <f>Base!$C$27*(1+$A14)^8</f>
        <v/>
      </c>
      <c r="L14">
        <f>Base!$C$27*(1+$A14)^9</f>
        <v/>
      </c>
    </row>
    <row r="15">
      <c r="A15" t="n">
        <v>-0.39</v>
      </c>
      <c r="B15">
        <f>(SUMPRODUCT(C15:L15,Base!$C$30:$L$30,Base!$C$31:$L$31)+L15*(1+g_base)/(wacc_base-g_base)*(1+wacc_base)^(-(fraccion+10-1))+ajuste_puente)/acciones_valor_base</f>
        <v/>
      </c>
      <c r="C15">
        <f>Base!$C$27*(1+$A15)^0</f>
        <v/>
      </c>
      <c r="D15">
        <f>Base!$C$27*(1+$A15)^1</f>
        <v/>
      </c>
      <c r="E15">
        <f>Base!$C$27*(1+$A15)^2</f>
        <v/>
      </c>
      <c r="F15">
        <f>Base!$C$27*(1+$A15)^3</f>
        <v/>
      </c>
      <c r="G15">
        <f>Base!$C$27*(1+$A15)^4</f>
        <v/>
      </c>
      <c r="H15">
        <f>Base!$C$27*(1+$A15)^5</f>
        <v/>
      </c>
      <c r="I15">
        <f>Base!$C$27*(1+$A15)^6</f>
        <v/>
      </c>
      <c r="J15">
        <f>Base!$C$27*(1+$A15)^7</f>
        <v/>
      </c>
      <c r="K15">
        <f>Base!$C$27*(1+$A15)^8</f>
        <v/>
      </c>
      <c r="L15">
        <f>Base!$C$27*(1+$A15)^9</f>
        <v/>
      </c>
    </row>
    <row r="16">
      <c r="A16" t="n">
        <v>-0.38</v>
      </c>
      <c r="B16">
        <f>(SUMPRODUCT(C16:L16,Base!$C$30:$L$30,Base!$C$31:$L$31)+L16*(1+g_base)/(wacc_base-g_base)*(1+wacc_base)^(-(fraccion+10-1))+ajuste_puente)/acciones_valor_base</f>
        <v/>
      </c>
      <c r="C16">
        <f>Base!$C$27*(1+$A16)^0</f>
        <v/>
      </c>
      <c r="D16">
        <f>Base!$C$27*(1+$A16)^1</f>
        <v/>
      </c>
      <c r="E16">
        <f>Base!$C$27*(1+$A16)^2</f>
        <v/>
      </c>
      <c r="F16">
        <f>Base!$C$27*(1+$A16)^3</f>
        <v/>
      </c>
      <c r="G16">
        <f>Base!$C$27*(1+$A16)^4</f>
        <v/>
      </c>
      <c r="H16">
        <f>Base!$C$27*(1+$A16)^5</f>
        <v/>
      </c>
      <c r="I16">
        <f>Base!$C$27*(1+$A16)^6</f>
        <v/>
      </c>
      <c r="J16">
        <f>Base!$C$27*(1+$A16)^7</f>
        <v/>
      </c>
      <c r="K16">
        <f>Base!$C$27*(1+$A16)^8</f>
        <v/>
      </c>
      <c r="L16">
        <f>Base!$C$27*(1+$A16)^9</f>
        <v/>
      </c>
    </row>
    <row r="17">
      <c r="A17" t="n">
        <v>-0.37</v>
      </c>
      <c r="B17">
        <f>(SUMPRODUCT(C17:L17,Base!$C$30:$L$30,Base!$C$31:$L$31)+L17*(1+g_base)/(wacc_base-g_base)*(1+wacc_base)^(-(fraccion+10-1))+ajuste_puente)/acciones_valor_base</f>
        <v/>
      </c>
      <c r="C17">
        <f>Base!$C$27*(1+$A17)^0</f>
        <v/>
      </c>
      <c r="D17">
        <f>Base!$C$27*(1+$A17)^1</f>
        <v/>
      </c>
      <c r="E17">
        <f>Base!$C$27*(1+$A17)^2</f>
        <v/>
      </c>
      <c r="F17">
        <f>Base!$C$27*(1+$A17)^3</f>
        <v/>
      </c>
      <c r="G17">
        <f>Base!$C$27*(1+$A17)^4</f>
        <v/>
      </c>
      <c r="H17">
        <f>Base!$C$27*(1+$A17)^5</f>
        <v/>
      </c>
      <c r="I17">
        <f>Base!$C$27*(1+$A17)^6</f>
        <v/>
      </c>
      <c r="J17">
        <f>Base!$C$27*(1+$A17)^7</f>
        <v/>
      </c>
      <c r="K17">
        <f>Base!$C$27*(1+$A17)^8</f>
        <v/>
      </c>
      <c r="L17">
        <f>Base!$C$27*(1+$A17)^9</f>
        <v/>
      </c>
    </row>
    <row r="18">
      <c r="A18" t="n">
        <v>-0.36</v>
      </c>
      <c r="B18">
        <f>(SUMPRODUCT(C18:L18,Base!$C$30:$L$30,Base!$C$31:$L$31)+L18*(1+g_base)/(wacc_base-g_base)*(1+wacc_base)^(-(fraccion+10-1))+ajuste_puente)/acciones_valor_base</f>
        <v/>
      </c>
      <c r="C18">
        <f>Base!$C$27*(1+$A18)^0</f>
        <v/>
      </c>
      <c r="D18">
        <f>Base!$C$27*(1+$A18)^1</f>
        <v/>
      </c>
      <c r="E18">
        <f>Base!$C$27*(1+$A18)^2</f>
        <v/>
      </c>
      <c r="F18">
        <f>Base!$C$27*(1+$A18)^3</f>
        <v/>
      </c>
      <c r="G18">
        <f>Base!$C$27*(1+$A18)^4</f>
        <v/>
      </c>
      <c r="H18">
        <f>Base!$C$27*(1+$A18)^5</f>
        <v/>
      </c>
      <c r="I18">
        <f>Base!$C$27*(1+$A18)^6</f>
        <v/>
      </c>
      <c r="J18">
        <f>Base!$C$27*(1+$A18)^7</f>
        <v/>
      </c>
      <c r="K18">
        <f>Base!$C$27*(1+$A18)^8</f>
        <v/>
      </c>
      <c r="L18">
        <f>Base!$C$27*(1+$A18)^9</f>
        <v/>
      </c>
    </row>
    <row r="19">
      <c r="A19" t="n">
        <v>-0.35</v>
      </c>
      <c r="B19">
        <f>(SUMPRODUCT(C19:L19,Base!$C$30:$L$30,Base!$C$31:$L$31)+L19*(1+g_base)/(wacc_base-g_base)*(1+wacc_base)^(-(fraccion+10-1))+ajuste_puente)/acciones_valor_base</f>
        <v/>
      </c>
      <c r="C19">
        <f>Base!$C$27*(1+$A19)^0</f>
        <v/>
      </c>
      <c r="D19">
        <f>Base!$C$27*(1+$A19)^1</f>
        <v/>
      </c>
      <c r="E19">
        <f>Base!$C$27*(1+$A19)^2</f>
        <v/>
      </c>
      <c r="F19">
        <f>Base!$C$27*(1+$A19)^3</f>
        <v/>
      </c>
      <c r="G19">
        <f>Base!$C$27*(1+$A19)^4</f>
        <v/>
      </c>
      <c r="H19">
        <f>Base!$C$27*(1+$A19)^5</f>
        <v/>
      </c>
      <c r="I19">
        <f>Base!$C$27*(1+$A19)^6</f>
        <v/>
      </c>
      <c r="J19">
        <f>Base!$C$27*(1+$A19)^7</f>
        <v/>
      </c>
      <c r="K19">
        <f>Base!$C$27*(1+$A19)^8</f>
        <v/>
      </c>
      <c r="L19">
        <f>Base!$C$27*(1+$A19)^9</f>
        <v/>
      </c>
    </row>
    <row r="20">
      <c r="A20" t="n">
        <v>-0.34</v>
      </c>
      <c r="B20">
        <f>(SUMPRODUCT(C20:L20,Base!$C$30:$L$30,Base!$C$31:$L$31)+L20*(1+g_base)/(wacc_base-g_base)*(1+wacc_base)^(-(fraccion+10-1))+ajuste_puente)/acciones_valor_base</f>
        <v/>
      </c>
      <c r="C20">
        <f>Base!$C$27*(1+$A20)^0</f>
        <v/>
      </c>
      <c r="D20">
        <f>Base!$C$27*(1+$A20)^1</f>
        <v/>
      </c>
      <c r="E20">
        <f>Base!$C$27*(1+$A20)^2</f>
        <v/>
      </c>
      <c r="F20">
        <f>Base!$C$27*(1+$A20)^3</f>
        <v/>
      </c>
      <c r="G20">
        <f>Base!$C$27*(1+$A20)^4</f>
        <v/>
      </c>
      <c r="H20">
        <f>Base!$C$27*(1+$A20)^5</f>
        <v/>
      </c>
      <c r="I20">
        <f>Base!$C$27*(1+$A20)^6</f>
        <v/>
      </c>
      <c r="J20">
        <f>Base!$C$27*(1+$A20)^7</f>
        <v/>
      </c>
      <c r="K20">
        <f>Base!$C$27*(1+$A20)^8</f>
        <v/>
      </c>
      <c r="L20">
        <f>Base!$C$27*(1+$A20)^9</f>
        <v/>
      </c>
    </row>
    <row r="21">
      <c r="A21" t="n">
        <v>-0.33</v>
      </c>
      <c r="B21">
        <f>(SUMPRODUCT(C21:L21,Base!$C$30:$L$30,Base!$C$31:$L$31)+L21*(1+g_base)/(wacc_base-g_base)*(1+wacc_base)^(-(fraccion+10-1))+ajuste_puente)/acciones_valor_base</f>
        <v/>
      </c>
      <c r="C21">
        <f>Base!$C$27*(1+$A21)^0</f>
        <v/>
      </c>
      <c r="D21">
        <f>Base!$C$27*(1+$A21)^1</f>
        <v/>
      </c>
      <c r="E21">
        <f>Base!$C$27*(1+$A21)^2</f>
        <v/>
      </c>
      <c r="F21">
        <f>Base!$C$27*(1+$A21)^3</f>
        <v/>
      </c>
      <c r="G21">
        <f>Base!$C$27*(1+$A21)^4</f>
        <v/>
      </c>
      <c r="H21">
        <f>Base!$C$27*(1+$A21)^5</f>
        <v/>
      </c>
      <c r="I21">
        <f>Base!$C$27*(1+$A21)^6</f>
        <v/>
      </c>
      <c r="J21">
        <f>Base!$C$27*(1+$A21)^7</f>
        <v/>
      </c>
      <c r="K21">
        <f>Base!$C$27*(1+$A21)^8</f>
        <v/>
      </c>
      <c r="L21">
        <f>Base!$C$27*(1+$A21)^9</f>
        <v/>
      </c>
    </row>
    <row r="22">
      <c r="A22" t="n">
        <v>-0.32</v>
      </c>
      <c r="B22">
        <f>(SUMPRODUCT(C22:L22,Base!$C$30:$L$30,Base!$C$31:$L$31)+L22*(1+g_base)/(wacc_base-g_base)*(1+wacc_base)^(-(fraccion+10-1))+ajuste_puente)/acciones_valor_base</f>
        <v/>
      </c>
      <c r="C22">
        <f>Base!$C$27*(1+$A22)^0</f>
        <v/>
      </c>
      <c r="D22">
        <f>Base!$C$27*(1+$A22)^1</f>
        <v/>
      </c>
      <c r="E22">
        <f>Base!$C$27*(1+$A22)^2</f>
        <v/>
      </c>
      <c r="F22">
        <f>Base!$C$27*(1+$A22)^3</f>
        <v/>
      </c>
      <c r="G22">
        <f>Base!$C$27*(1+$A22)^4</f>
        <v/>
      </c>
      <c r="H22">
        <f>Base!$C$27*(1+$A22)^5</f>
        <v/>
      </c>
      <c r="I22">
        <f>Base!$C$27*(1+$A22)^6</f>
        <v/>
      </c>
      <c r="J22">
        <f>Base!$C$27*(1+$A22)^7</f>
        <v/>
      </c>
      <c r="K22">
        <f>Base!$C$27*(1+$A22)^8</f>
        <v/>
      </c>
      <c r="L22">
        <f>Base!$C$27*(1+$A22)^9</f>
        <v/>
      </c>
    </row>
    <row r="23">
      <c r="A23" t="n">
        <v>-0.31</v>
      </c>
      <c r="B23">
        <f>(SUMPRODUCT(C23:L23,Base!$C$30:$L$30,Base!$C$31:$L$31)+L23*(1+g_base)/(wacc_base-g_base)*(1+wacc_base)^(-(fraccion+10-1))+ajuste_puente)/acciones_valor_base</f>
        <v/>
      </c>
      <c r="C23">
        <f>Base!$C$27*(1+$A23)^0</f>
        <v/>
      </c>
      <c r="D23">
        <f>Base!$C$27*(1+$A23)^1</f>
        <v/>
      </c>
      <c r="E23">
        <f>Base!$C$27*(1+$A23)^2</f>
        <v/>
      </c>
      <c r="F23">
        <f>Base!$C$27*(1+$A23)^3</f>
        <v/>
      </c>
      <c r="G23">
        <f>Base!$C$27*(1+$A23)^4</f>
        <v/>
      </c>
      <c r="H23">
        <f>Base!$C$27*(1+$A23)^5</f>
        <v/>
      </c>
      <c r="I23">
        <f>Base!$C$27*(1+$A23)^6</f>
        <v/>
      </c>
      <c r="J23">
        <f>Base!$C$27*(1+$A23)^7</f>
        <v/>
      </c>
      <c r="K23">
        <f>Base!$C$27*(1+$A23)^8</f>
        <v/>
      </c>
      <c r="L23">
        <f>Base!$C$27*(1+$A23)^9</f>
        <v/>
      </c>
    </row>
    <row r="24">
      <c r="A24" t="n">
        <v>-0.3</v>
      </c>
      <c r="B24">
        <f>(SUMPRODUCT(C24:L24,Base!$C$30:$L$30,Base!$C$31:$L$31)+L24*(1+g_base)/(wacc_base-g_base)*(1+wacc_base)^(-(fraccion+10-1))+ajuste_puente)/acciones_valor_base</f>
        <v/>
      </c>
      <c r="C24">
        <f>Base!$C$27*(1+$A24)^0</f>
        <v/>
      </c>
      <c r="D24">
        <f>Base!$C$27*(1+$A24)^1</f>
        <v/>
      </c>
      <c r="E24">
        <f>Base!$C$27*(1+$A24)^2</f>
        <v/>
      </c>
      <c r="F24">
        <f>Base!$C$27*(1+$A24)^3</f>
        <v/>
      </c>
      <c r="G24">
        <f>Base!$C$27*(1+$A24)^4</f>
        <v/>
      </c>
      <c r="H24">
        <f>Base!$C$27*(1+$A24)^5</f>
        <v/>
      </c>
      <c r="I24">
        <f>Base!$C$27*(1+$A24)^6</f>
        <v/>
      </c>
      <c r="J24">
        <f>Base!$C$27*(1+$A24)^7</f>
        <v/>
      </c>
      <c r="K24">
        <f>Base!$C$27*(1+$A24)^8</f>
        <v/>
      </c>
      <c r="L24">
        <f>Base!$C$27*(1+$A24)^9</f>
        <v/>
      </c>
    </row>
    <row r="25">
      <c r="A25" t="n">
        <v>-0.29</v>
      </c>
      <c r="B25">
        <f>(SUMPRODUCT(C25:L25,Base!$C$30:$L$30,Base!$C$31:$L$31)+L25*(1+g_base)/(wacc_base-g_base)*(1+wacc_base)^(-(fraccion+10-1))+ajuste_puente)/acciones_valor_base</f>
        <v/>
      </c>
      <c r="C25">
        <f>Base!$C$27*(1+$A25)^0</f>
        <v/>
      </c>
      <c r="D25">
        <f>Base!$C$27*(1+$A25)^1</f>
        <v/>
      </c>
      <c r="E25">
        <f>Base!$C$27*(1+$A25)^2</f>
        <v/>
      </c>
      <c r="F25">
        <f>Base!$C$27*(1+$A25)^3</f>
        <v/>
      </c>
      <c r="G25">
        <f>Base!$C$27*(1+$A25)^4</f>
        <v/>
      </c>
      <c r="H25">
        <f>Base!$C$27*(1+$A25)^5</f>
        <v/>
      </c>
      <c r="I25">
        <f>Base!$C$27*(1+$A25)^6</f>
        <v/>
      </c>
      <c r="J25">
        <f>Base!$C$27*(1+$A25)^7</f>
        <v/>
      </c>
      <c r="K25">
        <f>Base!$C$27*(1+$A25)^8</f>
        <v/>
      </c>
      <c r="L25">
        <f>Base!$C$27*(1+$A25)^9</f>
        <v/>
      </c>
    </row>
    <row r="26">
      <c r="A26" t="n">
        <v>-0.28</v>
      </c>
      <c r="B26">
        <f>(SUMPRODUCT(C26:L26,Base!$C$30:$L$30,Base!$C$31:$L$31)+L26*(1+g_base)/(wacc_base-g_base)*(1+wacc_base)^(-(fraccion+10-1))+ajuste_puente)/acciones_valor_base</f>
        <v/>
      </c>
      <c r="C26">
        <f>Base!$C$27*(1+$A26)^0</f>
        <v/>
      </c>
      <c r="D26">
        <f>Base!$C$27*(1+$A26)^1</f>
        <v/>
      </c>
      <c r="E26">
        <f>Base!$C$27*(1+$A26)^2</f>
        <v/>
      </c>
      <c r="F26">
        <f>Base!$C$27*(1+$A26)^3</f>
        <v/>
      </c>
      <c r="G26">
        <f>Base!$C$27*(1+$A26)^4</f>
        <v/>
      </c>
      <c r="H26">
        <f>Base!$C$27*(1+$A26)^5</f>
        <v/>
      </c>
      <c r="I26">
        <f>Base!$C$27*(1+$A26)^6</f>
        <v/>
      </c>
      <c r="J26">
        <f>Base!$C$27*(1+$A26)^7</f>
        <v/>
      </c>
      <c r="K26">
        <f>Base!$C$27*(1+$A26)^8</f>
        <v/>
      </c>
      <c r="L26">
        <f>Base!$C$27*(1+$A26)^9</f>
        <v/>
      </c>
    </row>
    <row r="27">
      <c r="A27" t="n">
        <v>-0.27</v>
      </c>
      <c r="B27">
        <f>(SUMPRODUCT(C27:L27,Base!$C$30:$L$30,Base!$C$31:$L$31)+L27*(1+g_base)/(wacc_base-g_base)*(1+wacc_base)^(-(fraccion+10-1))+ajuste_puente)/acciones_valor_base</f>
        <v/>
      </c>
      <c r="C27">
        <f>Base!$C$27*(1+$A27)^0</f>
        <v/>
      </c>
      <c r="D27">
        <f>Base!$C$27*(1+$A27)^1</f>
        <v/>
      </c>
      <c r="E27">
        <f>Base!$C$27*(1+$A27)^2</f>
        <v/>
      </c>
      <c r="F27">
        <f>Base!$C$27*(1+$A27)^3</f>
        <v/>
      </c>
      <c r="G27">
        <f>Base!$C$27*(1+$A27)^4</f>
        <v/>
      </c>
      <c r="H27">
        <f>Base!$C$27*(1+$A27)^5</f>
        <v/>
      </c>
      <c r="I27">
        <f>Base!$C$27*(1+$A27)^6</f>
        <v/>
      </c>
      <c r="J27">
        <f>Base!$C$27*(1+$A27)^7</f>
        <v/>
      </c>
      <c r="K27">
        <f>Base!$C$27*(1+$A27)^8</f>
        <v/>
      </c>
      <c r="L27">
        <f>Base!$C$27*(1+$A27)^9</f>
        <v/>
      </c>
    </row>
    <row r="28">
      <c r="A28" t="n">
        <v>-0.26</v>
      </c>
      <c r="B28">
        <f>(SUMPRODUCT(C28:L28,Base!$C$30:$L$30,Base!$C$31:$L$31)+L28*(1+g_base)/(wacc_base-g_base)*(1+wacc_base)^(-(fraccion+10-1))+ajuste_puente)/acciones_valor_base</f>
        <v/>
      </c>
      <c r="C28">
        <f>Base!$C$27*(1+$A28)^0</f>
        <v/>
      </c>
      <c r="D28">
        <f>Base!$C$27*(1+$A28)^1</f>
        <v/>
      </c>
      <c r="E28">
        <f>Base!$C$27*(1+$A28)^2</f>
        <v/>
      </c>
      <c r="F28">
        <f>Base!$C$27*(1+$A28)^3</f>
        <v/>
      </c>
      <c r="G28">
        <f>Base!$C$27*(1+$A28)^4</f>
        <v/>
      </c>
      <c r="H28">
        <f>Base!$C$27*(1+$A28)^5</f>
        <v/>
      </c>
      <c r="I28">
        <f>Base!$C$27*(1+$A28)^6</f>
        <v/>
      </c>
      <c r="J28">
        <f>Base!$C$27*(1+$A28)^7</f>
        <v/>
      </c>
      <c r="K28">
        <f>Base!$C$27*(1+$A28)^8</f>
        <v/>
      </c>
      <c r="L28">
        <f>Base!$C$27*(1+$A28)^9</f>
        <v/>
      </c>
    </row>
    <row r="29">
      <c r="A29" t="n">
        <v>-0.25</v>
      </c>
      <c r="B29">
        <f>(SUMPRODUCT(C29:L29,Base!$C$30:$L$30,Base!$C$31:$L$31)+L29*(1+g_base)/(wacc_base-g_base)*(1+wacc_base)^(-(fraccion+10-1))+ajuste_puente)/acciones_valor_base</f>
        <v/>
      </c>
      <c r="C29">
        <f>Base!$C$27*(1+$A29)^0</f>
        <v/>
      </c>
      <c r="D29">
        <f>Base!$C$27*(1+$A29)^1</f>
        <v/>
      </c>
      <c r="E29">
        <f>Base!$C$27*(1+$A29)^2</f>
        <v/>
      </c>
      <c r="F29">
        <f>Base!$C$27*(1+$A29)^3</f>
        <v/>
      </c>
      <c r="G29">
        <f>Base!$C$27*(1+$A29)^4</f>
        <v/>
      </c>
      <c r="H29">
        <f>Base!$C$27*(1+$A29)^5</f>
        <v/>
      </c>
      <c r="I29">
        <f>Base!$C$27*(1+$A29)^6</f>
        <v/>
      </c>
      <c r="J29">
        <f>Base!$C$27*(1+$A29)^7</f>
        <v/>
      </c>
      <c r="K29">
        <f>Base!$C$27*(1+$A29)^8</f>
        <v/>
      </c>
      <c r="L29">
        <f>Base!$C$27*(1+$A29)^9</f>
        <v/>
      </c>
    </row>
    <row r="30">
      <c r="A30" t="n">
        <v>-0.24</v>
      </c>
      <c r="B30">
        <f>(SUMPRODUCT(C30:L30,Base!$C$30:$L$30,Base!$C$31:$L$31)+L30*(1+g_base)/(wacc_base-g_base)*(1+wacc_base)^(-(fraccion+10-1))+ajuste_puente)/acciones_valor_base</f>
        <v/>
      </c>
      <c r="C30">
        <f>Base!$C$27*(1+$A30)^0</f>
        <v/>
      </c>
      <c r="D30">
        <f>Base!$C$27*(1+$A30)^1</f>
        <v/>
      </c>
      <c r="E30">
        <f>Base!$C$27*(1+$A30)^2</f>
        <v/>
      </c>
      <c r="F30">
        <f>Base!$C$27*(1+$A30)^3</f>
        <v/>
      </c>
      <c r="G30">
        <f>Base!$C$27*(1+$A30)^4</f>
        <v/>
      </c>
      <c r="H30">
        <f>Base!$C$27*(1+$A30)^5</f>
        <v/>
      </c>
      <c r="I30">
        <f>Base!$C$27*(1+$A30)^6</f>
        <v/>
      </c>
      <c r="J30">
        <f>Base!$C$27*(1+$A30)^7</f>
        <v/>
      </c>
      <c r="K30">
        <f>Base!$C$27*(1+$A30)^8</f>
        <v/>
      </c>
      <c r="L30">
        <f>Base!$C$27*(1+$A30)^9</f>
        <v/>
      </c>
    </row>
    <row r="31">
      <c r="A31" t="n">
        <v>-0.23</v>
      </c>
      <c r="B31">
        <f>(SUMPRODUCT(C31:L31,Base!$C$30:$L$30,Base!$C$31:$L$31)+L31*(1+g_base)/(wacc_base-g_base)*(1+wacc_base)^(-(fraccion+10-1))+ajuste_puente)/acciones_valor_base</f>
        <v/>
      </c>
      <c r="C31">
        <f>Base!$C$27*(1+$A31)^0</f>
        <v/>
      </c>
      <c r="D31">
        <f>Base!$C$27*(1+$A31)^1</f>
        <v/>
      </c>
      <c r="E31">
        <f>Base!$C$27*(1+$A31)^2</f>
        <v/>
      </c>
      <c r="F31">
        <f>Base!$C$27*(1+$A31)^3</f>
        <v/>
      </c>
      <c r="G31">
        <f>Base!$C$27*(1+$A31)^4</f>
        <v/>
      </c>
      <c r="H31">
        <f>Base!$C$27*(1+$A31)^5</f>
        <v/>
      </c>
      <c r="I31">
        <f>Base!$C$27*(1+$A31)^6</f>
        <v/>
      </c>
      <c r="J31">
        <f>Base!$C$27*(1+$A31)^7</f>
        <v/>
      </c>
      <c r="K31">
        <f>Base!$C$27*(1+$A31)^8</f>
        <v/>
      </c>
      <c r="L31">
        <f>Base!$C$27*(1+$A31)^9</f>
        <v/>
      </c>
    </row>
    <row r="32">
      <c r="A32" t="n">
        <v>-0.22</v>
      </c>
      <c r="B32">
        <f>(SUMPRODUCT(C32:L32,Base!$C$30:$L$30,Base!$C$31:$L$31)+L32*(1+g_base)/(wacc_base-g_base)*(1+wacc_base)^(-(fraccion+10-1))+ajuste_puente)/acciones_valor_base</f>
        <v/>
      </c>
      <c r="C32">
        <f>Base!$C$27*(1+$A32)^0</f>
        <v/>
      </c>
      <c r="D32">
        <f>Base!$C$27*(1+$A32)^1</f>
        <v/>
      </c>
      <c r="E32">
        <f>Base!$C$27*(1+$A32)^2</f>
        <v/>
      </c>
      <c r="F32">
        <f>Base!$C$27*(1+$A32)^3</f>
        <v/>
      </c>
      <c r="G32">
        <f>Base!$C$27*(1+$A32)^4</f>
        <v/>
      </c>
      <c r="H32">
        <f>Base!$C$27*(1+$A32)^5</f>
        <v/>
      </c>
      <c r="I32">
        <f>Base!$C$27*(1+$A32)^6</f>
        <v/>
      </c>
      <c r="J32">
        <f>Base!$C$27*(1+$A32)^7</f>
        <v/>
      </c>
      <c r="K32">
        <f>Base!$C$27*(1+$A32)^8</f>
        <v/>
      </c>
      <c r="L32">
        <f>Base!$C$27*(1+$A32)^9</f>
        <v/>
      </c>
    </row>
    <row r="33">
      <c r="A33" t="n">
        <v>-0.21</v>
      </c>
      <c r="B33">
        <f>(SUMPRODUCT(C33:L33,Base!$C$30:$L$30,Base!$C$31:$L$31)+L33*(1+g_base)/(wacc_base-g_base)*(1+wacc_base)^(-(fraccion+10-1))+ajuste_puente)/acciones_valor_base</f>
        <v/>
      </c>
      <c r="C33">
        <f>Base!$C$27*(1+$A33)^0</f>
        <v/>
      </c>
      <c r="D33">
        <f>Base!$C$27*(1+$A33)^1</f>
        <v/>
      </c>
      <c r="E33">
        <f>Base!$C$27*(1+$A33)^2</f>
        <v/>
      </c>
      <c r="F33">
        <f>Base!$C$27*(1+$A33)^3</f>
        <v/>
      </c>
      <c r="G33">
        <f>Base!$C$27*(1+$A33)^4</f>
        <v/>
      </c>
      <c r="H33">
        <f>Base!$C$27*(1+$A33)^5</f>
        <v/>
      </c>
      <c r="I33">
        <f>Base!$C$27*(1+$A33)^6</f>
        <v/>
      </c>
      <c r="J33">
        <f>Base!$C$27*(1+$A33)^7</f>
        <v/>
      </c>
      <c r="K33">
        <f>Base!$C$27*(1+$A33)^8</f>
        <v/>
      </c>
      <c r="L33">
        <f>Base!$C$27*(1+$A33)^9</f>
        <v/>
      </c>
    </row>
    <row r="34">
      <c r="A34" t="n">
        <v>-0.2</v>
      </c>
      <c r="B34">
        <f>(SUMPRODUCT(C34:L34,Base!$C$30:$L$30,Base!$C$31:$L$31)+L34*(1+g_base)/(wacc_base-g_base)*(1+wacc_base)^(-(fraccion+10-1))+ajuste_puente)/acciones_valor_base</f>
        <v/>
      </c>
      <c r="C34">
        <f>Base!$C$27*(1+$A34)^0</f>
        <v/>
      </c>
      <c r="D34">
        <f>Base!$C$27*(1+$A34)^1</f>
        <v/>
      </c>
      <c r="E34">
        <f>Base!$C$27*(1+$A34)^2</f>
        <v/>
      </c>
      <c r="F34">
        <f>Base!$C$27*(1+$A34)^3</f>
        <v/>
      </c>
      <c r="G34">
        <f>Base!$C$27*(1+$A34)^4</f>
        <v/>
      </c>
      <c r="H34">
        <f>Base!$C$27*(1+$A34)^5</f>
        <v/>
      </c>
      <c r="I34">
        <f>Base!$C$27*(1+$A34)^6</f>
        <v/>
      </c>
      <c r="J34">
        <f>Base!$C$27*(1+$A34)^7</f>
        <v/>
      </c>
      <c r="K34">
        <f>Base!$C$27*(1+$A34)^8</f>
        <v/>
      </c>
      <c r="L34">
        <f>Base!$C$27*(1+$A34)^9</f>
        <v/>
      </c>
    </row>
    <row r="35">
      <c r="A35" t="n">
        <v>-0.19</v>
      </c>
      <c r="B35">
        <f>(SUMPRODUCT(C35:L35,Base!$C$30:$L$30,Base!$C$31:$L$31)+L35*(1+g_base)/(wacc_base-g_base)*(1+wacc_base)^(-(fraccion+10-1))+ajuste_puente)/acciones_valor_base</f>
        <v/>
      </c>
      <c r="C35">
        <f>Base!$C$27*(1+$A35)^0</f>
        <v/>
      </c>
      <c r="D35">
        <f>Base!$C$27*(1+$A35)^1</f>
        <v/>
      </c>
      <c r="E35">
        <f>Base!$C$27*(1+$A35)^2</f>
        <v/>
      </c>
      <c r="F35">
        <f>Base!$C$27*(1+$A35)^3</f>
        <v/>
      </c>
      <c r="G35">
        <f>Base!$C$27*(1+$A35)^4</f>
        <v/>
      </c>
      <c r="H35">
        <f>Base!$C$27*(1+$A35)^5</f>
        <v/>
      </c>
      <c r="I35">
        <f>Base!$C$27*(1+$A35)^6</f>
        <v/>
      </c>
      <c r="J35">
        <f>Base!$C$27*(1+$A35)^7</f>
        <v/>
      </c>
      <c r="K35">
        <f>Base!$C$27*(1+$A35)^8</f>
        <v/>
      </c>
      <c r="L35">
        <f>Base!$C$27*(1+$A35)^9</f>
        <v/>
      </c>
    </row>
    <row r="36">
      <c r="A36" t="n">
        <v>-0.18</v>
      </c>
      <c r="B36">
        <f>(SUMPRODUCT(C36:L36,Base!$C$30:$L$30,Base!$C$31:$L$31)+L36*(1+g_base)/(wacc_base-g_base)*(1+wacc_base)^(-(fraccion+10-1))+ajuste_puente)/acciones_valor_base</f>
        <v/>
      </c>
      <c r="C36">
        <f>Base!$C$27*(1+$A36)^0</f>
        <v/>
      </c>
      <c r="D36">
        <f>Base!$C$27*(1+$A36)^1</f>
        <v/>
      </c>
      <c r="E36">
        <f>Base!$C$27*(1+$A36)^2</f>
        <v/>
      </c>
      <c r="F36">
        <f>Base!$C$27*(1+$A36)^3</f>
        <v/>
      </c>
      <c r="G36">
        <f>Base!$C$27*(1+$A36)^4</f>
        <v/>
      </c>
      <c r="H36">
        <f>Base!$C$27*(1+$A36)^5</f>
        <v/>
      </c>
      <c r="I36">
        <f>Base!$C$27*(1+$A36)^6</f>
        <v/>
      </c>
      <c r="J36">
        <f>Base!$C$27*(1+$A36)^7</f>
        <v/>
      </c>
      <c r="K36">
        <f>Base!$C$27*(1+$A36)^8</f>
        <v/>
      </c>
      <c r="L36">
        <f>Base!$C$27*(1+$A36)^9</f>
        <v/>
      </c>
    </row>
    <row r="37">
      <c r="A37" t="n">
        <v>-0.17</v>
      </c>
      <c r="B37">
        <f>(SUMPRODUCT(C37:L37,Base!$C$30:$L$30,Base!$C$31:$L$31)+L37*(1+g_base)/(wacc_base-g_base)*(1+wacc_base)^(-(fraccion+10-1))+ajuste_puente)/acciones_valor_base</f>
        <v/>
      </c>
      <c r="C37">
        <f>Base!$C$27*(1+$A37)^0</f>
        <v/>
      </c>
      <c r="D37">
        <f>Base!$C$27*(1+$A37)^1</f>
        <v/>
      </c>
      <c r="E37">
        <f>Base!$C$27*(1+$A37)^2</f>
        <v/>
      </c>
      <c r="F37">
        <f>Base!$C$27*(1+$A37)^3</f>
        <v/>
      </c>
      <c r="G37">
        <f>Base!$C$27*(1+$A37)^4</f>
        <v/>
      </c>
      <c r="H37">
        <f>Base!$C$27*(1+$A37)^5</f>
        <v/>
      </c>
      <c r="I37">
        <f>Base!$C$27*(1+$A37)^6</f>
        <v/>
      </c>
      <c r="J37">
        <f>Base!$C$27*(1+$A37)^7</f>
        <v/>
      </c>
      <c r="K37">
        <f>Base!$C$27*(1+$A37)^8</f>
        <v/>
      </c>
      <c r="L37">
        <f>Base!$C$27*(1+$A37)^9</f>
        <v/>
      </c>
    </row>
    <row r="38">
      <c r="A38" t="n">
        <v>-0.16</v>
      </c>
      <c r="B38">
        <f>(SUMPRODUCT(C38:L38,Base!$C$30:$L$30,Base!$C$31:$L$31)+L38*(1+g_base)/(wacc_base-g_base)*(1+wacc_base)^(-(fraccion+10-1))+ajuste_puente)/acciones_valor_base</f>
        <v/>
      </c>
      <c r="C38">
        <f>Base!$C$27*(1+$A38)^0</f>
        <v/>
      </c>
      <c r="D38">
        <f>Base!$C$27*(1+$A38)^1</f>
        <v/>
      </c>
      <c r="E38">
        <f>Base!$C$27*(1+$A38)^2</f>
        <v/>
      </c>
      <c r="F38">
        <f>Base!$C$27*(1+$A38)^3</f>
        <v/>
      </c>
      <c r="G38">
        <f>Base!$C$27*(1+$A38)^4</f>
        <v/>
      </c>
      <c r="H38">
        <f>Base!$C$27*(1+$A38)^5</f>
        <v/>
      </c>
      <c r="I38">
        <f>Base!$C$27*(1+$A38)^6</f>
        <v/>
      </c>
      <c r="J38">
        <f>Base!$C$27*(1+$A38)^7</f>
        <v/>
      </c>
      <c r="K38">
        <f>Base!$C$27*(1+$A38)^8</f>
        <v/>
      </c>
      <c r="L38">
        <f>Base!$C$27*(1+$A38)^9</f>
        <v/>
      </c>
    </row>
    <row r="39">
      <c r="A39" t="n">
        <v>-0.15</v>
      </c>
      <c r="B39">
        <f>(SUMPRODUCT(C39:L39,Base!$C$30:$L$30,Base!$C$31:$L$31)+L39*(1+g_base)/(wacc_base-g_base)*(1+wacc_base)^(-(fraccion+10-1))+ajuste_puente)/acciones_valor_base</f>
        <v/>
      </c>
      <c r="C39">
        <f>Base!$C$27*(1+$A39)^0</f>
        <v/>
      </c>
      <c r="D39">
        <f>Base!$C$27*(1+$A39)^1</f>
        <v/>
      </c>
      <c r="E39">
        <f>Base!$C$27*(1+$A39)^2</f>
        <v/>
      </c>
      <c r="F39">
        <f>Base!$C$27*(1+$A39)^3</f>
        <v/>
      </c>
      <c r="G39">
        <f>Base!$C$27*(1+$A39)^4</f>
        <v/>
      </c>
      <c r="H39">
        <f>Base!$C$27*(1+$A39)^5</f>
        <v/>
      </c>
      <c r="I39">
        <f>Base!$C$27*(1+$A39)^6</f>
        <v/>
      </c>
      <c r="J39">
        <f>Base!$C$27*(1+$A39)^7</f>
        <v/>
      </c>
      <c r="K39">
        <f>Base!$C$27*(1+$A39)^8</f>
        <v/>
      </c>
      <c r="L39">
        <f>Base!$C$27*(1+$A39)^9</f>
        <v/>
      </c>
    </row>
    <row r="40">
      <c r="A40" t="n">
        <v>-0.14</v>
      </c>
      <c r="B40">
        <f>(SUMPRODUCT(C40:L40,Base!$C$30:$L$30,Base!$C$31:$L$31)+L40*(1+g_base)/(wacc_base-g_base)*(1+wacc_base)^(-(fraccion+10-1))+ajuste_puente)/acciones_valor_base</f>
        <v/>
      </c>
      <c r="C40">
        <f>Base!$C$27*(1+$A40)^0</f>
        <v/>
      </c>
      <c r="D40">
        <f>Base!$C$27*(1+$A40)^1</f>
        <v/>
      </c>
      <c r="E40">
        <f>Base!$C$27*(1+$A40)^2</f>
        <v/>
      </c>
      <c r="F40">
        <f>Base!$C$27*(1+$A40)^3</f>
        <v/>
      </c>
      <c r="G40">
        <f>Base!$C$27*(1+$A40)^4</f>
        <v/>
      </c>
      <c r="H40">
        <f>Base!$C$27*(1+$A40)^5</f>
        <v/>
      </c>
      <c r="I40">
        <f>Base!$C$27*(1+$A40)^6</f>
        <v/>
      </c>
      <c r="J40">
        <f>Base!$C$27*(1+$A40)^7</f>
        <v/>
      </c>
      <c r="K40">
        <f>Base!$C$27*(1+$A40)^8</f>
        <v/>
      </c>
      <c r="L40">
        <f>Base!$C$27*(1+$A40)^9</f>
        <v/>
      </c>
    </row>
    <row r="41">
      <c r="A41" t="n">
        <v>-0.13</v>
      </c>
      <c r="B41">
        <f>(SUMPRODUCT(C41:L41,Base!$C$30:$L$30,Base!$C$31:$L$31)+L41*(1+g_base)/(wacc_base-g_base)*(1+wacc_base)^(-(fraccion+10-1))+ajuste_puente)/acciones_valor_base</f>
        <v/>
      </c>
      <c r="C41">
        <f>Base!$C$27*(1+$A41)^0</f>
        <v/>
      </c>
      <c r="D41">
        <f>Base!$C$27*(1+$A41)^1</f>
        <v/>
      </c>
      <c r="E41">
        <f>Base!$C$27*(1+$A41)^2</f>
        <v/>
      </c>
      <c r="F41">
        <f>Base!$C$27*(1+$A41)^3</f>
        <v/>
      </c>
      <c r="G41">
        <f>Base!$C$27*(1+$A41)^4</f>
        <v/>
      </c>
      <c r="H41">
        <f>Base!$C$27*(1+$A41)^5</f>
        <v/>
      </c>
      <c r="I41">
        <f>Base!$C$27*(1+$A41)^6</f>
        <v/>
      </c>
      <c r="J41">
        <f>Base!$C$27*(1+$A41)^7</f>
        <v/>
      </c>
      <c r="K41">
        <f>Base!$C$27*(1+$A41)^8</f>
        <v/>
      </c>
      <c r="L41">
        <f>Base!$C$27*(1+$A41)^9</f>
        <v/>
      </c>
    </row>
    <row r="42">
      <c r="A42" t="n">
        <v>-0.12</v>
      </c>
      <c r="B42">
        <f>(SUMPRODUCT(C42:L42,Base!$C$30:$L$30,Base!$C$31:$L$31)+L42*(1+g_base)/(wacc_base-g_base)*(1+wacc_base)^(-(fraccion+10-1))+ajuste_puente)/acciones_valor_base</f>
        <v/>
      </c>
      <c r="C42">
        <f>Base!$C$27*(1+$A42)^0</f>
        <v/>
      </c>
      <c r="D42">
        <f>Base!$C$27*(1+$A42)^1</f>
        <v/>
      </c>
      <c r="E42">
        <f>Base!$C$27*(1+$A42)^2</f>
        <v/>
      </c>
      <c r="F42">
        <f>Base!$C$27*(1+$A42)^3</f>
        <v/>
      </c>
      <c r="G42">
        <f>Base!$C$27*(1+$A42)^4</f>
        <v/>
      </c>
      <c r="H42">
        <f>Base!$C$27*(1+$A42)^5</f>
        <v/>
      </c>
      <c r="I42">
        <f>Base!$C$27*(1+$A42)^6</f>
        <v/>
      </c>
      <c r="J42">
        <f>Base!$C$27*(1+$A42)^7</f>
        <v/>
      </c>
      <c r="K42">
        <f>Base!$C$27*(1+$A42)^8</f>
        <v/>
      </c>
      <c r="L42">
        <f>Base!$C$27*(1+$A42)^9</f>
        <v/>
      </c>
    </row>
    <row r="43">
      <c r="A43" t="n">
        <v>-0.11</v>
      </c>
      <c r="B43">
        <f>(SUMPRODUCT(C43:L43,Base!$C$30:$L$30,Base!$C$31:$L$31)+L43*(1+g_base)/(wacc_base-g_base)*(1+wacc_base)^(-(fraccion+10-1))+ajuste_puente)/acciones_valor_base</f>
        <v/>
      </c>
      <c r="C43">
        <f>Base!$C$27*(1+$A43)^0</f>
        <v/>
      </c>
      <c r="D43">
        <f>Base!$C$27*(1+$A43)^1</f>
        <v/>
      </c>
      <c r="E43">
        <f>Base!$C$27*(1+$A43)^2</f>
        <v/>
      </c>
      <c r="F43">
        <f>Base!$C$27*(1+$A43)^3</f>
        <v/>
      </c>
      <c r="G43">
        <f>Base!$C$27*(1+$A43)^4</f>
        <v/>
      </c>
      <c r="H43">
        <f>Base!$C$27*(1+$A43)^5</f>
        <v/>
      </c>
      <c r="I43">
        <f>Base!$C$27*(1+$A43)^6</f>
        <v/>
      </c>
      <c r="J43">
        <f>Base!$C$27*(1+$A43)^7</f>
        <v/>
      </c>
      <c r="K43">
        <f>Base!$C$27*(1+$A43)^8</f>
        <v/>
      </c>
      <c r="L43">
        <f>Base!$C$27*(1+$A43)^9</f>
        <v/>
      </c>
    </row>
    <row r="44">
      <c r="A44" t="n">
        <v>-0.09999999999999998</v>
      </c>
      <c r="B44">
        <f>(SUMPRODUCT(C44:L44,Base!$C$30:$L$30,Base!$C$31:$L$31)+L44*(1+g_base)/(wacc_base-g_base)*(1+wacc_base)^(-(fraccion+10-1))+ajuste_puente)/acciones_valor_base</f>
        <v/>
      </c>
      <c r="C44">
        <f>Base!$C$27*(1+$A44)^0</f>
        <v/>
      </c>
      <c r="D44">
        <f>Base!$C$27*(1+$A44)^1</f>
        <v/>
      </c>
      <c r="E44">
        <f>Base!$C$27*(1+$A44)^2</f>
        <v/>
      </c>
      <c r="F44">
        <f>Base!$C$27*(1+$A44)^3</f>
        <v/>
      </c>
      <c r="G44">
        <f>Base!$C$27*(1+$A44)^4</f>
        <v/>
      </c>
      <c r="H44">
        <f>Base!$C$27*(1+$A44)^5</f>
        <v/>
      </c>
      <c r="I44">
        <f>Base!$C$27*(1+$A44)^6</f>
        <v/>
      </c>
      <c r="J44">
        <f>Base!$C$27*(1+$A44)^7</f>
        <v/>
      </c>
      <c r="K44">
        <f>Base!$C$27*(1+$A44)^8</f>
        <v/>
      </c>
      <c r="L44">
        <f>Base!$C$27*(1+$A44)^9</f>
        <v/>
      </c>
    </row>
    <row r="45">
      <c r="A45" t="n">
        <v>-0.09000000000000002</v>
      </c>
      <c r="B45">
        <f>(SUMPRODUCT(C45:L45,Base!$C$30:$L$30,Base!$C$31:$L$31)+L45*(1+g_base)/(wacc_base-g_base)*(1+wacc_base)^(-(fraccion+10-1))+ajuste_puente)/acciones_valor_base</f>
        <v/>
      </c>
      <c r="C45">
        <f>Base!$C$27*(1+$A45)^0</f>
        <v/>
      </c>
      <c r="D45">
        <f>Base!$C$27*(1+$A45)^1</f>
        <v/>
      </c>
      <c r="E45">
        <f>Base!$C$27*(1+$A45)^2</f>
        <v/>
      </c>
      <c r="F45">
        <f>Base!$C$27*(1+$A45)^3</f>
        <v/>
      </c>
      <c r="G45">
        <f>Base!$C$27*(1+$A45)^4</f>
        <v/>
      </c>
      <c r="H45">
        <f>Base!$C$27*(1+$A45)^5</f>
        <v/>
      </c>
      <c r="I45">
        <f>Base!$C$27*(1+$A45)^6</f>
        <v/>
      </c>
      <c r="J45">
        <f>Base!$C$27*(1+$A45)^7</f>
        <v/>
      </c>
      <c r="K45">
        <f>Base!$C$27*(1+$A45)^8</f>
        <v/>
      </c>
      <c r="L45">
        <f>Base!$C$27*(1+$A45)^9</f>
        <v/>
      </c>
    </row>
    <row r="46">
      <c r="A46" t="n">
        <v>-0.08000000000000002</v>
      </c>
      <c r="B46">
        <f>(SUMPRODUCT(C46:L46,Base!$C$30:$L$30,Base!$C$31:$L$31)+L46*(1+g_base)/(wacc_base-g_base)*(1+wacc_base)^(-(fraccion+10-1))+ajuste_puente)/acciones_valor_base</f>
        <v/>
      </c>
      <c r="C46">
        <f>Base!$C$27*(1+$A46)^0</f>
        <v/>
      </c>
      <c r="D46">
        <f>Base!$C$27*(1+$A46)^1</f>
        <v/>
      </c>
      <c r="E46">
        <f>Base!$C$27*(1+$A46)^2</f>
        <v/>
      </c>
      <c r="F46">
        <f>Base!$C$27*(1+$A46)^3</f>
        <v/>
      </c>
      <c r="G46">
        <f>Base!$C$27*(1+$A46)^4</f>
        <v/>
      </c>
      <c r="H46">
        <f>Base!$C$27*(1+$A46)^5</f>
        <v/>
      </c>
      <c r="I46">
        <f>Base!$C$27*(1+$A46)^6</f>
        <v/>
      </c>
      <c r="J46">
        <f>Base!$C$27*(1+$A46)^7</f>
        <v/>
      </c>
      <c r="K46">
        <f>Base!$C$27*(1+$A46)^8</f>
        <v/>
      </c>
      <c r="L46">
        <f>Base!$C$27*(1+$A46)^9</f>
        <v/>
      </c>
    </row>
    <row r="47">
      <c r="A47" t="n">
        <v>-0.07000000000000001</v>
      </c>
      <c r="B47">
        <f>(SUMPRODUCT(C47:L47,Base!$C$30:$L$30,Base!$C$31:$L$31)+L47*(1+g_base)/(wacc_base-g_base)*(1+wacc_base)^(-(fraccion+10-1))+ajuste_puente)/acciones_valor_base</f>
        <v/>
      </c>
      <c r="C47">
        <f>Base!$C$27*(1+$A47)^0</f>
        <v/>
      </c>
      <c r="D47">
        <f>Base!$C$27*(1+$A47)^1</f>
        <v/>
      </c>
      <c r="E47">
        <f>Base!$C$27*(1+$A47)^2</f>
        <v/>
      </c>
      <c r="F47">
        <f>Base!$C$27*(1+$A47)^3</f>
        <v/>
      </c>
      <c r="G47">
        <f>Base!$C$27*(1+$A47)^4</f>
        <v/>
      </c>
      <c r="H47">
        <f>Base!$C$27*(1+$A47)^5</f>
        <v/>
      </c>
      <c r="I47">
        <f>Base!$C$27*(1+$A47)^6</f>
        <v/>
      </c>
      <c r="J47">
        <f>Base!$C$27*(1+$A47)^7</f>
        <v/>
      </c>
      <c r="K47">
        <f>Base!$C$27*(1+$A47)^8</f>
        <v/>
      </c>
      <c r="L47">
        <f>Base!$C$27*(1+$A47)^9</f>
        <v/>
      </c>
    </row>
    <row r="48">
      <c r="A48" t="n">
        <v>-0.06</v>
      </c>
      <c r="B48">
        <f>(SUMPRODUCT(C48:L48,Base!$C$30:$L$30,Base!$C$31:$L$31)+L48*(1+g_base)/(wacc_base-g_base)*(1+wacc_base)^(-(fraccion+10-1))+ajuste_puente)/acciones_valor_base</f>
        <v/>
      </c>
      <c r="C48">
        <f>Base!$C$27*(1+$A48)^0</f>
        <v/>
      </c>
      <c r="D48">
        <f>Base!$C$27*(1+$A48)^1</f>
        <v/>
      </c>
      <c r="E48">
        <f>Base!$C$27*(1+$A48)^2</f>
        <v/>
      </c>
      <c r="F48">
        <f>Base!$C$27*(1+$A48)^3</f>
        <v/>
      </c>
      <c r="G48">
        <f>Base!$C$27*(1+$A48)^4</f>
        <v/>
      </c>
      <c r="H48">
        <f>Base!$C$27*(1+$A48)^5</f>
        <v/>
      </c>
      <c r="I48">
        <f>Base!$C$27*(1+$A48)^6</f>
        <v/>
      </c>
      <c r="J48">
        <f>Base!$C$27*(1+$A48)^7</f>
        <v/>
      </c>
      <c r="K48">
        <f>Base!$C$27*(1+$A48)^8</f>
        <v/>
      </c>
      <c r="L48">
        <f>Base!$C$27*(1+$A48)^9</f>
        <v/>
      </c>
    </row>
    <row r="49">
      <c r="A49" t="n">
        <v>-0.04999999999999999</v>
      </c>
      <c r="B49">
        <f>(SUMPRODUCT(C49:L49,Base!$C$30:$L$30,Base!$C$31:$L$31)+L49*(1+g_base)/(wacc_base-g_base)*(1+wacc_base)^(-(fraccion+10-1))+ajuste_puente)/acciones_valor_base</f>
        <v/>
      </c>
      <c r="C49">
        <f>Base!$C$27*(1+$A49)^0</f>
        <v/>
      </c>
      <c r="D49">
        <f>Base!$C$27*(1+$A49)^1</f>
        <v/>
      </c>
      <c r="E49">
        <f>Base!$C$27*(1+$A49)^2</f>
        <v/>
      </c>
      <c r="F49">
        <f>Base!$C$27*(1+$A49)^3</f>
        <v/>
      </c>
      <c r="G49">
        <f>Base!$C$27*(1+$A49)^4</f>
        <v/>
      </c>
      <c r="H49">
        <f>Base!$C$27*(1+$A49)^5</f>
        <v/>
      </c>
      <c r="I49">
        <f>Base!$C$27*(1+$A49)^6</f>
        <v/>
      </c>
      <c r="J49">
        <f>Base!$C$27*(1+$A49)^7</f>
        <v/>
      </c>
      <c r="K49">
        <f>Base!$C$27*(1+$A49)^8</f>
        <v/>
      </c>
      <c r="L49">
        <f>Base!$C$27*(1+$A49)^9</f>
        <v/>
      </c>
    </row>
    <row r="50">
      <c r="A50" t="n">
        <v>-0.03999999999999998</v>
      </c>
      <c r="B50">
        <f>(SUMPRODUCT(C50:L50,Base!$C$30:$L$30,Base!$C$31:$L$31)+L50*(1+g_base)/(wacc_base-g_base)*(1+wacc_base)^(-(fraccion+10-1))+ajuste_puente)/acciones_valor_base</f>
        <v/>
      </c>
      <c r="C50">
        <f>Base!$C$27*(1+$A50)^0</f>
        <v/>
      </c>
      <c r="D50">
        <f>Base!$C$27*(1+$A50)^1</f>
        <v/>
      </c>
      <c r="E50">
        <f>Base!$C$27*(1+$A50)^2</f>
        <v/>
      </c>
      <c r="F50">
        <f>Base!$C$27*(1+$A50)^3</f>
        <v/>
      </c>
      <c r="G50">
        <f>Base!$C$27*(1+$A50)^4</f>
        <v/>
      </c>
      <c r="H50">
        <f>Base!$C$27*(1+$A50)^5</f>
        <v/>
      </c>
      <c r="I50">
        <f>Base!$C$27*(1+$A50)^6</f>
        <v/>
      </c>
      <c r="J50">
        <f>Base!$C$27*(1+$A50)^7</f>
        <v/>
      </c>
      <c r="K50">
        <f>Base!$C$27*(1+$A50)^8</f>
        <v/>
      </c>
      <c r="L50">
        <f>Base!$C$27*(1+$A50)^9</f>
        <v/>
      </c>
    </row>
    <row r="51">
      <c r="A51" t="n">
        <v>-0.03000000000000003</v>
      </c>
      <c r="B51">
        <f>(SUMPRODUCT(C51:L51,Base!$C$30:$L$30,Base!$C$31:$L$31)+L51*(1+g_base)/(wacc_base-g_base)*(1+wacc_base)^(-(fraccion+10-1))+ajuste_puente)/acciones_valor_base</f>
        <v/>
      </c>
      <c r="C51">
        <f>Base!$C$27*(1+$A51)^0</f>
        <v/>
      </c>
      <c r="D51">
        <f>Base!$C$27*(1+$A51)^1</f>
        <v/>
      </c>
      <c r="E51">
        <f>Base!$C$27*(1+$A51)^2</f>
        <v/>
      </c>
      <c r="F51">
        <f>Base!$C$27*(1+$A51)^3</f>
        <v/>
      </c>
      <c r="G51">
        <f>Base!$C$27*(1+$A51)^4</f>
        <v/>
      </c>
      <c r="H51">
        <f>Base!$C$27*(1+$A51)^5</f>
        <v/>
      </c>
      <c r="I51">
        <f>Base!$C$27*(1+$A51)^6</f>
        <v/>
      </c>
      <c r="J51">
        <f>Base!$C$27*(1+$A51)^7</f>
        <v/>
      </c>
      <c r="K51">
        <f>Base!$C$27*(1+$A51)^8</f>
        <v/>
      </c>
      <c r="L51">
        <f>Base!$C$27*(1+$A51)^9</f>
        <v/>
      </c>
    </row>
    <row r="52">
      <c r="A52" t="n">
        <v>-0.02000000000000002</v>
      </c>
      <c r="B52">
        <f>(SUMPRODUCT(C52:L52,Base!$C$30:$L$30,Base!$C$31:$L$31)+L52*(1+g_base)/(wacc_base-g_base)*(1+wacc_base)^(-(fraccion+10-1))+ajuste_puente)/acciones_valor_base</f>
        <v/>
      </c>
      <c r="C52">
        <f>Base!$C$27*(1+$A52)^0</f>
        <v/>
      </c>
      <c r="D52">
        <f>Base!$C$27*(1+$A52)^1</f>
        <v/>
      </c>
      <c r="E52">
        <f>Base!$C$27*(1+$A52)^2</f>
        <v/>
      </c>
      <c r="F52">
        <f>Base!$C$27*(1+$A52)^3</f>
        <v/>
      </c>
      <c r="G52">
        <f>Base!$C$27*(1+$A52)^4</f>
        <v/>
      </c>
      <c r="H52">
        <f>Base!$C$27*(1+$A52)^5</f>
        <v/>
      </c>
      <c r="I52">
        <f>Base!$C$27*(1+$A52)^6</f>
        <v/>
      </c>
      <c r="J52">
        <f>Base!$C$27*(1+$A52)^7</f>
        <v/>
      </c>
      <c r="K52">
        <f>Base!$C$27*(1+$A52)^8</f>
        <v/>
      </c>
      <c r="L52">
        <f>Base!$C$27*(1+$A52)^9</f>
        <v/>
      </c>
    </row>
    <row r="53">
      <c r="A53" t="n">
        <v>-0.01000000000000001</v>
      </c>
      <c r="B53">
        <f>(SUMPRODUCT(C53:L53,Base!$C$30:$L$30,Base!$C$31:$L$31)+L53*(1+g_base)/(wacc_base-g_base)*(1+wacc_base)^(-(fraccion+10-1))+ajuste_puente)/acciones_valor_base</f>
        <v/>
      </c>
      <c r="C53">
        <f>Base!$C$27*(1+$A53)^0</f>
        <v/>
      </c>
      <c r="D53">
        <f>Base!$C$27*(1+$A53)^1</f>
        <v/>
      </c>
      <c r="E53">
        <f>Base!$C$27*(1+$A53)^2</f>
        <v/>
      </c>
      <c r="F53">
        <f>Base!$C$27*(1+$A53)^3</f>
        <v/>
      </c>
      <c r="G53">
        <f>Base!$C$27*(1+$A53)^4</f>
        <v/>
      </c>
      <c r="H53">
        <f>Base!$C$27*(1+$A53)^5</f>
        <v/>
      </c>
      <c r="I53">
        <f>Base!$C$27*(1+$A53)^6</f>
        <v/>
      </c>
      <c r="J53">
        <f>Base!$C$27*(1+$A53)^7</f>
        <v/>
      </c>
      <c r="K53">
        <f>Base!$C$27*(1+$A53)^8</f>
        <v/>
      </c>
      <c r="L53">
        <f>Base!$C$27*(1+$A53)^9</f>
        <v/>
      </c>
    </row>
    <row r="54">
      <c r="A54" t="n">
        <v>0</v>
      </c>
      <c r="B54">
        <f>(SUMPRODUCT(C54:L54,Base!$C$30:$L$30,Base!$C$31:$L$31)+L54*(1+g_base)/(wacc_base-g_base)*(1+wacc_base)^(-(fraccion+10-1))+ajuste_puente)/acciones_valor_base</f>
        <v/>
      </c>
      <c r="C54">
        <f>Base!$C$27*(1+$A54)^0</f>
        <v/>
      </c>
      <c r="D54">
        <f>Base!$C$27*(1+$A54)^1</f>
        <v/>
      </c>
      <c r="E54">
        <f>Base!$C$27*(1+$A54)^2</f>
        <v/>
      </c>
      <c r="F54">
        <f>Base!$C$27*(1+$A54)^3</f>
        <v/>
      </c>
      <c r="G54">
        <f>Base!$C$27*(1+$A54)^4</f>
        <v/>
      </c>
      <c r="H54">
        <f>Base!$C$27*(1+$A54)^5</f>
        <v/>
      </c>
      <c r="I54">
        <f>Base!$C$27*(1+$A54)^6</f>
        <v/>
      </c>
      <c r="J54">
        <f>Base!$C$27*(1+$A54)^7</f>
        <v/>
      </c>
      <c r="K54">
        <f>Base!$C$27*(1+$A54)^8</f>
        <v/>
      </c>
      <c r="L54">
        <f>Base!$C$27*(1+$A54)^9</f>
        <v/>
      </c>
    </row>
    <row r="55">
      <c r="A55" t="n">
        <v>0.01000000000000001</v>
      </c>
      <c r="B55">
        <f>(SUMPRODUCT(C55:L55,Base!$C$30:$L$30,Base!$C$31:$L$31)+L55*(1+g_base)/(wacc_base-g_base)*(1+wacc_base)^(-(fraccion+10-1))+ajuste_puente)/acciones_valor_base</f>
        <v/>
      </c>
      <c r="C55">
        <f>Base!$C$27*(1+$A55)^0</f>
        <v/>
      </c>
      <c r="D55">
        <f>Base!$C$27*(1+$A55)^1</f>
        <v/>
      </c>
      <c r="E55">
        <f>Base!$C$27*(1+$A55)^2</f>
        <v/>
      </c>
      <c r="F55">
        <f>Base!$C$27*(1+$A55)^3</f>
        <v/>
      </c>
      <c r="G55">
        <f>Base!$C$27*(1+$A55)^4</f>
        <v/>
      </c>
      <c r="H55">
        <f>Base!$C$27*(1+$A55)^5</f>
        <v/>
      </c>
      <c r="I55">
        <f>Base!$C$27*(1+$A55)^6</f>
        <v/>
      </c>
      <c r="J55">
        <f>Base!$C$27*(1+$A55)^7</f>
        <v/>
      </c>
      <c r="K55">
        <f>Base!$C$27*(1+$A55)^8</f>
        <v/>
      </c>
      <c r="L55">
        <f>Base!$C$27*(1+$A55)^9</f>
        <v/>
      </c>
    </row>
    <row r="56">
      <c r="A56" t="n">
        <v>0.02000000000000002</v>
      </c>
      <c r="B56">
        <f>(SUMPRODUCT(C56:L56,Base!$C$30:$L$30,Base!$C$31:$L$31)+L56*(1+g_base)/(wacc_base-g_base)*(1+wacc_base)^(-(fraccion+10-1))+ajuste_puente)/acciones_valor_base</f>
        <v/>
      </c>
      <c r="C56">
        <f>Base!$C$27*(1+$A56)^0</f>
        <v/>
      </c>
      <c r="D56">
        <f>Base!$C$27*(1+$A56)^1</f>
        <v/>
      </c>
      <c r="E56">
        <f>Base!$C$27*(1+$A56)^2</f>
        <v/>
      </c>
      <c r="F56">
        <f>Base!$C$27*(1+$A56)^3</f>
        <v/>
      </c>
      <c r="G56">
        <f>Base!$C$27*(1+$A56)^4</f>
        <v/>
      </c>
      <c r="H56">
        <f>Base!$C$27*(1+$A56)^5</f>
        <v/>
      </c>
      <c r="I56">
        <f>Base!$C$27*(1+$A56)^6</f>
        <v/>
      </c>
      <c r="J56">
        <f>Base!$C$27*(1+$A56)^7</f>
        <v/>
      </c>
      <c r="K56">
        <f>Base!$C$27*(1+$A56)^8</f>
        <v/>
      </c>
      <c r="L56">
        <f>Base!$C$27*(1+$A56)^9</f>
        <v/>
      </c>
    </row>
    <row r="57">
      <c r="A57" t="n">
        <v>0.03000000000000003</v>
      </c>
      <c r="B57">
        <f>(SUMPRODUCT(C57:L57,Base!$C$30:$L$30,Base!$C$31:$L$31)+L57*(1+g_base)/(wacc_base-g_base)*(1+wacc_base)^(-(fraccion+10-1))+ajuste_puente)/acciones_valor_base</f>
        <v/>
      </c>
      <c r="C57">
        <f>Base!$C$27*(1+$A57)^0</f>
        <v/>
      </c>
      <c r="D57">
        <f>Base!$C$27*(1+$A57)^1</f>
        <v/>
      </c>
      <c r="E57">
        <f>Base!$C$27*(1+$A57)^2</f>
        <v/>
      </c>
      <c r="F57">
        <f>Base!$C$27*(1+$A57)^3</f>
        <v/>
      </c>
      <c r="G57">
        <f>Base!$C$27*(1+$A57)^4</f>
        <v/>
      </c>
      <c r="H57">
        <f>Base!$C$27*(1+$A57)^5</f>
        <v/>
      </c>
      <c r="I57">
        <f>Base!$C$27*(1+$A57)^6</f>
        <v/>
      </c>
      <c r="J57">
        <f>Base!$C$27*(1+$A57)^7</f>
        <v/>
      </c>
      <c r="K57">
        <f>Base!$C$27*(1+$A57)^8</f>
        <v/>
      </c>
      <c r="L57">
        <f>Base!$C$27*(1+$A57)^9</f>
        <v/>
      </c>
    </row>
    <row r="58">
      <c r="A58" t="n">
        <v>0.04000000000000004</v>
      </c>
      <c r="B58">
        <f>(SUMPRODUCT(C58:L58,Base!$C$30:$L$30,Base!$C$31:$L$31)+L58*(1+g_base)/(wacc_base-g_base)*(1+wacc_base)^(-(fraccion+10-1))+ajuste_puente)/acciones_valor_base</f>
        <v/>
      </c>
      <c r="C58">
        <f>Base!$C$27*(1+$A58)^0</f>
        <v/>
      </c>
      <c r="D58">
        <f>Base!$C$27*(1+$A58)^1</f>
        <v/>
      </c>
      <c r="E58">
        <f>Base!$C$27*(1+$A58)^2</f>
        <v/>
      </c>
      <c r="F58">
        <f>Base!$C$27*(1+$A58)^3</f>
        <v/>
      </c>
      <c r="G58">
        <f>Base!$C$27*(1+$A58)^4</f>
        <v/>
      </c>
      <c r="H58">
        <f>Base!$C$27*(1+$A58)^5</f>
        <v/>
      </c>
      <c r="I58">
        <f>Base!$C$27*(1+$A58)^6</f>
        <v/>
      </c>
      <c r="J58">
        <f>Base!$C$27*(1+$A58)^7</f>
        <v/>
      </c>
      <c r="K58">
        <f>Base!$C$27*(1+$A58)^8</f>
        <v/>
      </c>
      <c r="L58">
        <f>Base!$C$27*(1+$A58)^9</f>
        <v/>
      </c>
    </row>
    <row r="59">
      <c r="A59" t="n">
        <v>0.05000000000000004</v>
      </c>
      <c r="B59">
        <f>(SUMPRODUCT(C59:L59,Base!$C$30:$L$30,Base!$C$31:$L$31)+L59*(1+g_base)/(wacc_base-g_base)*(1+wacc_base)^(-(fraccion+10-1))+ajuste_puente)/acciones_valor_base</f>
        <v/>
      </c>
      <c r="C59">
        <f>Base!$C$27*(1+$A59)^0</f>
        <v/>
      </c>
      <c r="D59">
        <f>Base!$C$27*(1+$A59)^1</f>
        <v/>
      </c>
      <c r="E59">
        <f>Base!$C$27*(1+$A59)^2</f>
        <v/>
      </c>
      <c r="F59">
        <f>Base!$C$27*(1+$A59)^3</f>
        <v/>
      </c>
      <c r="G59">
        <f>Base!$C$27*(1+$A59)^4</f>
        <v/>
      </c>
      <c r="H59">
        <f>Base!$C$27*(1+$A59)^5</f>
        <v/>
      </c>
      <c r="I59">
        <f>Base!$C$27*(1+$A59)^6</f>
        <v/>
      </c>
      <c r="J59">
        <f>Base!$C$27*(1+$A59)^7</f>
        <v/>
      </c>
      <c r="K59">
        <f>Base!$C$27*(1+$A59)^8</f>
        <v/>
      </c>
      <c r="L59">
        <f>Base!$C$27*(1+$A59)^9</f>
        <v/>
      </c>
    </row>
    <row r="60">
      <c r="A60" t="n">
        <v>0.06000000000000005</v>
      </c>
      <c r="B60">
        <f>(SUMPRODUCT(C60:L60,Base!$C$30:$L$30,Base!$C$31:$L$31)+L60*(1+g_base)/(wacc_base-g_base)*(1+wacc_base)^(-(fraccion+10-1))+ajuste_puente)/acciones_valor_base</f>
        <v/>
      </c>
      <c r="C60">
        <f>Base!$C$27*(1+$A60)^0</f>
        <v/>
      </c>
      <c r="D60">
        <f>Base!$C$27*(1+$A60)^1</f>
        <v/>
      </c>
      <c r="E60">
        <f>Base!$C$27*(1+$A60)^2</f>
        <v/>
      </c>
      <c r="F60">
        <f>Base!$C$27*(1+$A60)^3</f>
        <v/>
      </c>
      <c r="G60">
        <f>Base!$C$27*(1+$A60)^4</f>
        <v/>
      </c>
      <c r="H60">
        <f>Base!$C$27*(1+$A60)^5</f>
        <v/>
      </c>
      <c r="I60">
        <f>Base!$C$27*(1+$A60)^6</f>
        <v/>
      </c>
      <c r="J60">
        <f>Base!$C$27*(1+$A60)^7</f>
        <v/>
      </c>
      <c r="K60">
        <f>Base!$C$27*(1+$A60)^8</f>
        <v/>
      </c>
      <c r="L60">
        <f>Base!$C$27*(1+$A60)^9</f>
        <v/>
      </c>
    </row>
    <row r="61">
      <c r="A61" t="n">
        <v>0.06999999999999995</v>
      </c>
      <c r="B61">
        <f>(SUMPRODUCT(C61:L61,Base!$C$30:$L$30,Base!$C$31:$L$31)+L61*(1+g_base)/(wacc_base-g_base)*(1+wacc_base)^(-(fraccion+10-1))+ajuste_puente)/acciones_valor_base</f>
        <v/>
      </c>
      <c r="C61">
        <f>Base!$C$27*(1+$A61)^0</f>
        <v/>
      </c>
      <c r="D61">
        <f>Base!$C$27*(1+$A61)^1</f>
        <v/>
      </c>
      <c r="E61">
        <f>Base!$C$27*(1+$A61)^2</f>
        <v/>
      </c>
      <c r="F61">
        <f>Base!$C$27*(1+$A61)^3</f>
        <v/>
      </c>
      <c r="G61">
        <f>Base!$C$27*(1+$A61)^4</f>
        <v/>
      </c>
      <c r="H61">
        <f>Base!$C$27*(1+$A61)^5</f>
        <v/>
      </c>
      <c r="I61">
        <f>Base!$C$27*(1+$A61)^6</f>
        <v/>
      </c>
      <c r="J61">
        <f>Base!$C$27*(1+$A61)^7</f>
        <v/>
      </c>
      <c r="K61">
        <f>Base!$C$27*(1+$A61)^8</f>
        <v/>
      </c>
      <c r="L61">
        <f>Base!$C$27*(1+$A61)^9</f>
        <v/>
      </c>
    </row>
    <row r="62">
      <c r="A62" t="n">
        <v>0.07999999999999996</v>
      </c>
      <c r="B62">
        <f>(SUMPRODUCT(C62:L62,Base!$C$30:$L$30,Base!$C$31:$L$31)+L62*(1+g_base)/(wacc_base-g_base)*(1+wacc_base)^(-(fraccion+10-1))+ajuste_puente)/acciones_valor_base</f>
        <v/>
      </c>
      <c r="C62">
        <f>Base!$C$27*(1+$A62)^0</f>
        <v/>
      </c>
      <c r="D62">
        <f>Base!$C$27*(1+$A62)^1</f>
        <v/>
      </c>
      <c r="E62">
        <f>Base!$C$27*(1+$A62)^2</f>
        <v/>
      </c>
      <c r="F62">
        <f>Base!$C$27*(1+$A62)^3</f>
        <v/>
      </c>
      <c r="G62">
        <f>Base!$C$27*(1+$A62)^4</f>
        <v/>
      </c>
      <c r="H62">
        <f>Base!$C$27*(1+$A62)^5</f>
        <v/>
      </c>
      <c r="I62">
        <f>Base!$C$27*(1+$A62)^6</f>
        <v/>
      </c>
      <c r="J62">
        <f>Base!$C$27*(1+$A62)^7</f>
        <v/>
      </c>
      <c r="K62">
        <f>Base!$C$27*(1+$A62)^8</f>
        <v/>
      </c>
      <c r="L62">
        <f>Base!$C$27*(1+$A62)^9</f>
        <v/>
      </c>
    </row>
    <row r="63">
      <c r="A63" t="n">
        <v>0.08999999999999997</v>
      </c>
      <c r="B63">
        <f>(SUMPRODUCT(C63:L63,Base!$C$30:$L$30,Base!$C$31:$L$31)+L63*(1+g_base)/(wacc_base-g_base)*(1+wacc_base)^(-(fraccion+10-1))+ajuste_puente)/acciones_valor_base</f>
        <v/>
      </c>
      <c r="C63">
        <f>Base!$C$27*(1+$A63)^0</f>
        <v/>
      </c>
      <c r="D63">
        <f>Base!$C$27*(1+$A63)^1</f>
        <v/>
      </c>
      <c r="E63">
        <f>Base!$C$27*(1+$A63)^2</f>
        <v/>
      </c>
      <c r="F63">
        <f>Base!$C$27*(1+$A63)^3</f>
        <v/>
      </c>
      <c r="G63">
        <f>Base!$C$27*(1+$A63)^4</f>
        <v/>
      </c>
      <c r="H63">
        <f>Base!$C$27*(1+$A63)^5</f>
        <v/>
      </c>
      <c r="I63">
        <f>Base!$C$27*(1+$A63)^6</f>
        <v/>
      </c>
      <c r="J63">
        <f>Base!$C$27*(1+$A63)^7</f>
        <v/>
      </c>
      <c r="K63">
        <f>Base!$C$27*(1+$A63)^8</f>
        <v/>
      </c>
      <c r="L63">
        <f>Base!$C$27*(1+$A63)^9</f>
        <v/>
      </c>
    </row>
    <row r="64">
      <c r="A64" t="n">
        <v>0.09999999999999998</v>
      </c>
      <c r="B64">
        <f>(SUMPRODUCT(C64:L64,Base!$C$30:$L$30,Base!$C$31:$L$31)+L64*(1+g_base)/(wacc_base-g_base)*(1+wacc_base)^(-(fraccion+10-1))+ajuste_puente)/acciones_valor_base</f>
        <v/>
      </c>
      <c r="C64">
        <f>Base!$C$27*(1+$A64)^0</f>
        <v/>
      </c>
      <c r="D64">
        <f>Base!$C$27*(1+$A64)^1</f>
        <v/>
      </c>
      <c r="E64">
        <f>Base!$C$27*(1+$A64)^2</f>
        <v/>
      </c>
      <c r="F64">
        <f>Base!$C$27*(1+$A64)^3</f>
        <v/>
      </c>
      <c r="G64">
        <f>Base!$C$27*(1+$A64)^4</f>
        <v/>
      </c>
      <c r="H64">
        <f>Base!$C$27*(1+$A64)^5</f>
        <v/>
      </c>
      <c r="I64">
        <f>Base!$C$27*(1+$A64)^6</f>
        <v/>
      </c>
      <c r="J64">
        <f>Base!$C$27*(1+$A64)^7</f>
        <v/>
      </c>
      <c r="K64">
        <f>Base!$C$27*(1+$A64)^8</f>
        <v/>
      </c>
      <c r="L64">
        <f>Base!$C$27*(1+$A64)^9</f>
        <v/>
      </c>
    </row>
    <row r="65">
      <c r="A65" t="n">
        <v>0.11</v>
      </c>
      <c r="B65">
        <f>(SUMPRODUCT(C65:L65,Base!$C$30:$L$30,Base!$C$31:$L$31)+L65*(1+g_base)/(wacc_base-g_base)*(1+wacc_base)^(-(fraccion+10-1))+ajuste_puente)/acciones_valor_base</f>
        <v/>
      </c>
      <c r="C65">
        <f>Base!$C$27*(1+$A65)^0</f>
        <v/>
      </c>
      <c r="D65">
        <f>Base!$C$27*(1+$A65)^1</f>
        <v/>
      </c>
      <c r="E65">
        <f>Base!$C$27*(1+$A65)^2</f>
        <v/>
      </c>
      <c r="F65">
        <f>Base!$C$27*(1+$A65)^3</f>
        <v/>
      </c>
      <c r="G65">
        <f>Base!$C$27*(1+$A65)^4</f>
        <v/>
      </c>
      <c r="H65">
        <f>Base!$C$27*(1+$A65)^5</f>
        <v/>
      </c>
      <c r="I65">
        <f>Base!$C$27*(1+$A65)^6</f>
        <v/>
      </c>
      <c r="J65">
        <f>Base!$C$27*(1+$A65)^7</f>
        <v/>
      </c>
      <c r="K65">
        <f>Base!$C$27*(1+$A65)^8</f>
        <v/>
      </c>
      <c r="L65">
        <f>Base!$C$27*(1+$A65)^9</f>
        <v/>
      </c>
    </row>
    <row r="66">
      <c r="A66" t="n">
        <v>0.12</v>
      </c>
      <c r="B66">
        <f>(SUMPRODUCT(C66:L66,Base!$C$30:$L$30,Base!$C$31:$L$31)+L66*(1+g_base)/(wacc_base-g_base)*(1+wacc_base)^(-(fraccion+10-1))+ajuste_puente)/acciones_valor_base</f>
        <v/>
      </c>
      <c r="C66">
        <f>Base!$C$27*(1+$A66)^0</f>
        <v/>
      </c>
      <c r="D66">
        <f>Base!$C$27*(1+$A66)^1</f>
        <v/>
      </c>
      <c r="E66">
        <f>Base!$C$27*(1+$A66)^2</f>
        <v/>
      </c>
      <c r="F66">
        <f>Base!$C$27*(1+$A66)^3</f>
        <v/>
      </c>
      <c r="G66">
        <f>Base!$C$27*(1+$A66)^4</f>
        <v/>
      </c>
      <c r="H66">
        <f>Base!$C$27*(1+$A66)^5</f>
        <v/>
      </c>
      <c r="I66">
        <f>Base!$C$27*(1+$A66)^6</f>
        <v/>
      </c>
      <c r="J66">
        <f>Base!$C$27*(1+$A66)^7</f>
        <v/>
      </c>
      <c r="K66">
        <f>Base!$C$27*(1+$A66)^8</f>
        <v/>
      </c>
      <c r="L66">
        <f>Base!$C$27*(1+$A66)^9</f>
        <v/>
      </c>
    </row>
    <row r="67">
      <c r="A67" t="n">
        <v>0.13</v>
      </c>
      <c r="B67">
        <f>(SUMPRODUCT(C67:L67,Base!$C$30:$L$30,Base!$C$31:$L$31)+L67*(1+g_base)/(wacc_base-g_base)*(1+wacc_base)^(-(fraccion+10-1))+ajuste_puente)/acciones_valor_base</f>
        <v/>
      </c>
      <c r="C67">
        <f>Base!$C$27*(1+$A67)^0</f>
        <v/>
      </c>
      <c r="D67">
        <f>Base!$C$27*(1+$A67)^1</f>
        <v/>
      </c>
      <c r="E67">
        <f>Base!$C$27*(1+$A67)^2</f>
        <v/>
      </c>
      <c r="F67">
        <f>Base!$C$27*(1+$A67)^3</f>
        <v/>
      </c>
      <c r="G67">
        <f>Base!$C$27*(1+$A67)^4</f>
        <v/>
      </c>
      <c r="H67">
        <f>Base!$C$27*(1+$A67)^5</f>
        <v/>
      </c>
      <c r="I67">
        <f>Base!$C$27*(1+$A67)^6</f>
        <v/>
      </c>
      <c r="J67">
        <f>Base!$C$27*(1+$A67)^7</f>
        <v/>
      </c>
      <c r="K67">
        <f>Base!$C$27*(1+$A67)^8</f>
        <v/>
      </c>
      <c r="L67">
        <f>Base!$C$27*(1+$A67)^9</f>
        <v/>
      </c>
    </row>
    <row r="68">
      <c r="A68" t="n">
        <v>0.14</v>
      </c>
      <c r="B68">
        <f>(SUMPRODUCT(C68:L68,Base!$C$30:$L$30,Base!$C$31:$L$31)+L68*(1+g_base)/(wacc_base-g_base)*(1+wacc_base)^(-(fraccion+10-1))+ajuste_puente)/acciones_valor_base</f>
        <v/>
      </c>
      <c r="C68">
        <f>Base!$C$27*(1+$A68)^0</f>
        <v/>
      </c>
      <c r="D68">
        <f>Base!$C$27*(1+$A68)^1</f>
        <v/>
      </c>
      <c r="E68">
        <f>Base!$C$27*(1+$A68)^2</f>
        <v/>
      </c>
      <c r="F68">
        <f>Base!$C$27*(1+$A68)^3</f>
        <v/>
      </c>
      <c r="G68">
        <f>Base!$C$27*(1+$A68)^4</f>
        <v/>
      </c>
      <c r="H68">
        <f>Base!$C$27*(1+$A68)^5</f>
        <v/>
      </c>
      <c r="I68">
        <f>Base!$C$27*(1+$A68)^6</f>
        <v/>
      </c>
      <c r="J68">
        <f>Base!$C$27*(1+$A68)^7</f>
        <v/>
      </c>
      <c r="K68">
        <f>Base!$C$27*(1+$A68)^8</f>
        <v/>
      </c>
      <c r="L68">
        <f>Base!$C$27*(1+$A68)^9</f>
        <v/>
      </c>
    </row>
    <row r="69">
      <c r="A69" t="n">
        <v>0.15</v>
      </c>
      <c r="B69">
        <f>(SUMPRODUCT(C69:L69,Base!$C$30:$L$30,Base!$C$31:$L$31)+L69*(1+g_base)/(wacc_base-g_base)*(1+wacc_base)^(-(fraccion+10-1))+ajuste_puente)/acciones_valor_base</f>
        <v/>
      </c>
      <c r="C69">
        <f>Base!$C$27*(1+$A69)^0</f>
        <v/>
      </c>
      <c r="D69">
        <f>Base!$C$27*(1+$A69)^1</f>
        <v/>
      </c>
      <c r="E69">
        <f>Base!$C$27*(1+$A69)^2</f>
        <v/>
      </c>
      <c r="F69">
        <f>Base!$C$27*(1+$A69)^3</f>
        <v/>
      </c>
      <c r="G69">
        <f>Base!$C$27*(1+$A69)^4</f>
        <v/>
      </c>
      <c r="H69">
        <f>Base!$C$27*(1+$A69)^5</f>
        <v/>
      </c>
      <c r="I69">
        <f>Base!$C$27*(1+$A69)^6</f>
        <v/>
      </c>
      <c r="J69">
        <f>Base!$C$27*(1+$A69)^7</f>
        <v/>
      </c>
      <c r="K69">
        <f>Base!$C$27*(1+$A69)^8</f>
        <v/>
      </c>
      <c r="L69">
        <f>Base!$C$27*(1+$A69)^9</f>
        <v/>
      </c>
    </row>
    <row r="70">
      <c r="A70" t="n">
        <v>0.16</v>
      </c>
      <c r="B70">
        <f>(SUMPRODUCT(C70:L70,Base!$C$30:$L$30,Base!$C$31:$L$31)+L70*(1+g_base)/(wacc_base-g_base)*(1+wacc_base)^(-(fraccion+10-1))+ajuste_puente)/acciones_valor_base</f>
        <v/>
      </c>
      <c r="C70">
        <f>Base!$C$27*(1+$A70)^0</f>
        <v/>
      </c>
      <c r="D70">
        <f>Base!$C$27*(1+$A70)^1</f>
        <v/>
      </c>
      <c r="E70">
        <f>Base!$C$27*(1+$A70)^2</f>
        <v/>
      </c>
      <c r="F70">
        <f>Base!$C$27*(1+$A70)^3</f>
        <v/>
      </c>
      <c r="G70">
        <f>Base!$C$27*(1+$A70)^4</f>
        <v/>
      </c>
      <c r="H70">
        <f>Base!$C$27*(1+$A70)^5</f>
        <v/>
      </c>
      <c r="I70">
        <f>Base!$C$27*(1+$A70)^6</f>
        <v/>
      </c>
      <c r="J70">
        <f>Base!$C$27*(1+$A70)^7</f>
        <v/>
      </c>
      <c r="K70">
        <f>Base!$C$27*(1+$A70)^8</f>
        <v/>
      </c>
      <c r="L70">
        <f>Base!$C$27*(1+$A70)^9</f>
        <v/>
      </c>
    </row>
    <row r="71">
      <c r="A71" t="n">
        <v>0.17</v>
      </c>
      <c r="B71">
        <f>(SUMPRODUCT(C71:L71,Base!$C$30:$L$30,Base!$C$31:$L$31)+L71*(1+g_base)/(wacc_base-g_base)*(1+wacc_base)^(-(fraccion+10-1))+ajuste_puente)/acciones_valor_base</f>
        <v/>
      </c>
      <c r="C71">
        <f>Base!$C$27*(1+$A71)^0</f>
        <v/>
      </c>
      <c r="D71">
        <f>Base!$C$27*(1+$A71)^1</f>
        <v/>
      </c>
      <c r="E71">
        <f>Base!$C$27*(1+$A71)^2</f>
        <v/>
      </c>
      <c r="F71">
        <f>Base!$C$27*(1+$A71)^3</f>
        <v/>
      </c>
      <c r="G71">
        <f>Base!$C$27*(1+$A71)^4</f>
        <v/>
      </c>
      <c r="H71">
        <f>Base!$C$27*(1+$A71)^5</f>
        <v/>
      </c>
      <c r="I71">
        <f>Base!$C$27*(1+$A71)^6</f>
        <v/>
      </c>
      <c r="J71">
        <f>Base!$C$27*(1+$A71)^7</f>
        <v/>
      </c>
      <c r="K71">
        <f>Base!$C$27*(1+$A71)^8</f>
        <v/>
      </c>
      <c r="L71">
        <f>Base!$C$27*(1+$A71)^9</f>
        <v/>
      </c>
    </row>
    <row r="72">
      <c r="A72" t="n">
        <v>0.18</v>
      </c>
      <c r="B72">
        <f>(SUMPRODUCT(C72:L72,Base!$C$30:$L$30,Base!$C$31:$L$31)+L72*(1+g_base)/(wacc_base-g_base)*(1+wacc_base)^(-(fraccion+10-1))+ajuste_puente)/acciones_valor_base</f>
        <v/>
      </c>
      <c r="C72">
        <f>Base!$C$27*(1+$A72)^0</f>
        <v/>
      </c>
      <c r="D72">
        <f>Base!$C$27*(1+$A72)^1</f>
        <v/>
      </c>
      <c r="E72">
        <f>Base!$C$27*(1+$A72)^2</f>
        <v/>
      </c>
      <c r="F72">
        <f>Base!$C$27*(1+$A72)^3</f>
        <v/>
      </c>
      <c r="G72">
        <f>Base!$C$27*(1+$A72)^4</f>
        <v/>
      </c>
      <c r="H72">
        <f>Base!$C$27*(1+$A72)^5</f>
        <v/>
      </c>
      <c r="I72">
        <f>Base!$C$27*(1+$A72)^6</f>
        <v/>
      </c>
      <c r="J72">
        <f>Base!$C$27*(1+$A72)^7</f>
        <v/>
      </c>
      <c r="K72">
        <f>Base!$C$27*(1+$A72)^8</f>
        <v/>
      </c>
      <c r="L72">
        <f>Base!$C$27*(1+$A72)^9</f>
        <v/>
      </c>
    </row>
    <row r="73">
      <c r="A73" t="n">
        <v>0.1899999999999999</v>
      </c>
      <c r="B73">
        <f>(SUMPRODUCT(C73:L73,Base!$C$30:$L$30,Base!$C$31:$L$31)+L73*(1+g_base)/(wacc_base-g_base)*(1+wacc_base)^(-(fraccion+10-1))+ajuste_puente)/acciones_valor_base</f>
        <v/>
      </c>
      <c r="C73">
        <f>Base!$C$27*(1+$A73)^0</f>
        <v/>
      </c>
      <c r="D73">
        <f>Base!$C$27*(1+$A73)^1</f>
        <v/>
      </c>
      <c r="E73">
        <f>Base!$C$27*(1+$A73)^2</f>
        <v/>
      </c>
      <c r="F73">
        <f>Base!$C$27*(1+$A73)^3</f>
        <v/>
      </c>
      <c r="G73">
        <f>Base!$C$27*(1+$A73)^4</f>
        <v/>
      </c>
      <c r="H73">
        <f>Base!$C$27*(1+$A73)^5</f>
        <v/>
      </c>
      <c r="I73">
        <f>Base!$C$27*(1+$A73)^6</f>
        <v/>
      </c>
      <c r="J73">
        <f>Base!$C$27*(1+$A73)^7</f>
        <v/>
      </c>
      <c r="K73">
        <f>Base!$C$27*(1+$A73)^8</f>
        <v/>
      </c>
      <c r="L73">
        <f>Base!$C$27*(1+$A73)^9</f>
        <v/>
      </c>
    </row>
    <row r="74">
      <c r="A74" t="n">
        <v>0.2</v>
      </c>
      <c r="B74">
        <f>(SUMPRODUCT(C74:L74,Base!$C$30:$L$30,Base!$C$31:$L$31)+L74*(1+g_base)/(wacc_base-g_base)*(1+wacc_base)^(-(fraccion+10-1))+ajuste_puente)/acciones_valor_base</f>
        <v/>
      </c>
      <c r="C74">
        <f>Base!$C$27*(1+$A74)^0</f>
        <v/>
      </c>
      <c r="D74">
        <f>Base!$C$27*(1+$A74)^1</f>
        <v/>
      </c>
      <c r="E74">
        <f>Base!$C$27*(1+$A74)^2</f>
        <v/>
      </c>
      <c r="F74">
        <f>Base!$C$27*(1+$A74)^3</f>
        <v/>
      </c>
      <c r="G74">
        <f>Base!$C$27*(1+$A74)^4</f>
        <v/>
      </c>
      <c r="H74">
        <f>Base!$C$27*(1+$A74)^5</f>
        <v/>
      </c>
      <c r="I74">
        <f>Base!$C$27*(1+$A74)^6</f>
        <v/>
      </c>
      <c r="J74">
        <f>Base!$C$27*(1+$A74)^7</f>
        <v/>
      </c>
      <c r="K74">
        <f>Base!$C$27*(1+$A74)^8</f>
        <v/>
      </c>
      <c r="L74">
        <f>Base!$C$27*(1+$A74)^9</f>
        <v/>
      </c>
    </row>
    <row r="75">
      <c r="A75" t="n">
        <v>0.21</v>
      </c>
      <c r="B75">
        <f>(SUMPRODUCT(C75:L75,Base!$C$30:$L$30,Base!$C$31:$L$31)+L75*(1+g_base)/(wacc_base-g_base)*(1+wacc_base)^(-(fraccion+10-1))+ajuste_puente)/acciones_valor_base</f>
        <v/>
      </c>
      <c r="C75">
        <f>Base!$C$27*(1+$A75)^0</f>
        <v/>
      </c>
      <c r="D75">
        <f>Base!$C$27*(1+$A75)^1</f>
        <v/>
      </c>
      <c r="E75">
        <f>Base!$C$27*(1+$A75)^2</f>
        <v/>
      </c>
      <c r="F75">
        <f>Base!$C$27*(1+$A75)^3</f>
        <v/>
      </c>
      <c r="G75">
        <f>Base!$C$27*(1+$A75)^4</f>
        <v/>
      </c>
      <c r="H75">
        <f>Base!$C$27*(1+$A75)^5</f>
        <v/>
      </c>
      <c r="I75">
        <f>Base!$C$27*(1+$A75)^6</f>
        <v/>
      </c>
      <c r="J75">
        <f>Base!$C$27*(1+$A75)^7</f>
        <v/>
      </c>
      <c r="K75">
        <f>Base!$C$27*(1+$A75)^8</f>
        <v/>
      </c>
      <c r="L75">
        <f>Base!$C$27*(1+$A75)^9</f>
        <v/>
      </c>
    </row>
    <row r="76">
      <c r="A76" t="n">
        <v>0.22</v>
      </c>
      <c r="B76">
        <f>(SUMPRODUCT(C76:L76,Base!$C$30:$L$30,Base!$C$31:$L$31)+L76*(1+g_base)/(wacc_base-g_base)*(1+wacc_base)^(-(fraccion+10-1))+ajuste_puente)/acciones_valor_base</f>
        <v/>
      </c>
      <c r="C76">
        <f>Base!$C$27*(1+$A76)^0</f>
        <v/>
      </c>
      <c r="D76">
        <f>Base!$C$27*(1+$A76)^1</f>
        <v/>
      </c>
      <c r="E76">
        <f>Base!$C$27*(1+$A76)^2</f>
        <v/>
      </c>
      <c r="F76">
        <f>Base!$C$27*(1+$A76)^3</f>
        <v/>
      </c>
      <c r="G76">
        <f>Base!$C$27*(1+$A76)^4</f>
        <v/>
      </c>
      <c r="H76">
        <f>Base!$C$27*(1+$A76)^5</f>
        <v/>
      </c>
      <c r="I76">
        <f>Base!$C$27*(1+$A76)^6</f>
        <v/>
      </c>
      <c r="J76">
        <f>Base!$C$27*(1+$A76)^7</f>
        <v/>
      </c>
      <c r="K76">
        <f>Base!$C$27*(1+$A76)^8</f>
        <v/>
      </c>
      <c r="L76">
        <f>Base!$C$27*(1+$A76)^9</f>
        <v/>
      </c>
    </row>
    <row r="77">
      <c r="A77" t="n">
        <v>0.23</v>
      </c>
      <c r="B77">
        <f>(SUMPRODUCT(C77:L77,Base!$C$30:$L$30,Base!$C$31:$L$31)+L77*(1+g_base)/(wacc_base-g_base)*(1+wacc_base)^(-(fraccion+10-1))+ajuste_puente)/acciones_valor_base</f>
        <v/>
      </c>
      <c r="C77">
        <f>Base!$C$27*(1+$A77)^0</f>
        <v/>
      </c>
      <c r="D77">
        <f>Base!$C$27*(1+$A77)^1</f>
        <v/>
      </c>
      <c r="E77">
        <f>Base!$C$27*(1+$A77)^2</f>
        <v/>
      </c>
      <c r="F77">
        <f>Base!$C$27*(1+$A77)^3</f>
        <v/>
      </c>
      <c r="G77">
        <f>Base!$C$27*(1+$A77)^4</f>
        <v/>
      </c>
      <c r="H77">
        <f>Base!$C$27*(1+$A77)^5</f>
        <v/>
      </c>
      <c r="I77">
        <f>Base!$C$27*(1+$A77)^6</f>
        <v/>
      </c>
      <c r="J77">
        <f>Base!$C$27*(1+$A77)^7</f>
        <v/>
      </c>
      <c r="K77">
        <f>Base!$C$27*(1+$A77)^8</f>
        <v/>
      </c>
      <c r="L77">
        <f>Base!$C$27*(1+$A77)^9</f>
        <v/>
      </c>
    </row>
    <row r="78">
      <c r="A78" t="n">
        <v>0.24</v>
      </c>
      <c r="B78">
        <f>(SUMPRODUCT(C78:L78,Base!$C$30:$L$30,Base!$C$31:$L$31)+L78*(1+g_base)/(wacc_base-g_base)*(1+wacc_base)^(-(fraccion+10-1))+ajuste_puente)/acciones_valor_base</f>
        <v/>
      </c>
      <c r="C78">
        <f>Base!$C$27*(1+$A78)^0</f>
        <v/>
      </c>
      <c r="D78">
        <f>Base!$C$27*(1+$A78)^1</f>
        <v/>
      </c>
      <c r="E78">
        <f>Base!$C$27*(1+$A78)^2</f>
        <v/>
      </c>
      <c r="F78">
        <f>Base!$C$27*(1+$A78)^3</f>
        <v/>
      </c>
      <c r="G78">
        <f>Base!$C$27*(1+$A78)^4</f>
        <v/>
      </c>
      <c r="H78">
        <f>Base!$C$27*(1+$A78)^5</f>
        <v/>
      </c>
      <c r="I78">
        <f>Base!$C$27*(1+$A78)^6</f>
        <v/>
      </c>
      <c r="J78">
        <f>Base!$C$27*(1+$A78)^7</f>
        <v/>
      </c>
      <c r="K78">
        <f>Base!$C$27*(1+$A78)^8</f>
        <v/>
      </c>
      <c r="L78">
        <f>Base!$C$27*(1+$A78)^9</f>
        <v/>
      </c>
    </row>
    <row r="79">
      <c r="A79" t="n">
        <v>0.25</v>
      </c>
      <c r="B79">
        <f>(SUMPRODUCT(C79:L79,Base!$C$30:$L$30,Base!$C$31:$L$31)+L79*(1+g_base)/(wacc_base-g_base)*(1+wacc_base)^(-(fraccion+10-1))+ajuste_puente)/acciones_valor_base</f>
        <v/>
      </c>
      <c r="C79">
        <f>Base!$C$27*(1+$A79)^0</f>
        <v/>
      </c>
      <c r="D79">
        <f>Base!$C$27*(1+$A79)^1</f>
        <v/>
      </c>
      <c r="E79">
        <f>Base!$C$27*(1+$A79)^2</f>
        <v/>
      </c>
      <c r="F79">
        <f>Base!$C$27*(1+$A79)^3</f>
        <v/>
      </c>
      <c r="G79">
        <f>Base!$C$27*(1+$A79)^4</f>
        <v/>
      </c>
      <c r="H79">
        <f>Base!$C$27*(1+$A79)^5</f>
        <v/>
      </c>
      <c r="I79">
        <f>Base!$C$27*(1+$A79)^6</f>
        <v/>
      </c>
      <c r="J79">
        <f>Base!$C$27*(1+$A79)^7</f>
        <v/>
      </c>
      <c r="K79">
        <f>Base!$C$27*(1+$A79)^8</f>
        <v/>
      </c>
      <c r="L79">
        <f>Base!$C$27*(1+$A79)^9</f>
        <v/>
      </c>
    </row>
    <row r="80">
      <c r="A80" t="n">
        <v>0.26</v>
      </c>
      <c r="B80">
        <f>(SUMPRODUCT(C80:L80,Base!$C$30:$L$30,Base!$C$31:$L$31)+L80*(1+g_base)/(wacc_base-g_base)*(1+wacc_base)^(-(fraccion+10-1))+ajuste_puente)/acciones_valor_base</f>
        <v/>
      </c>
      <c r="C80">
        <f>Base!$C$27*(1+$A80)^0</f>
        <v/>
      </c>
      <c r="D80">
        <f>Base!$C$27*(1+$A80)^1</f>
        <v/>
      </c>
      <c r="E80">
        <f>Base!$C$27*(1+$A80)^2</f>
        <v/>
      </c>
      <c r="F80">
        <f>Base!$C$27*(1+$A80)^3</f>
        <v/>
      </c>
      <c r="G80">
        <f>Base!$C$27*(1+$A80)^4</f>
        <v/>
      </c>
      <c r="H80">
        <f>Base!$C$27*(1+$A80)^5</f>
        <v/>
      </c>
      <c r="I80">
        <f>Base!$C$27*(1+$A80)^6</f>
        <v/>
      </c>
      <c r="J80">
        <f>Base!$C$27*(1+$A80)^7</f>
        <v/>
      </c>
      <c r="K80">
        <f>Base!$C$27*(1+$A80)^8</f>
        <v/>
      </c>
      <c r="L80">
        <f>Base!$C$27*(1+$A80)^9</f>
        <v/>
      </c>
    </row>
    <row r="81">
      <c r="A81" t="n">
        <v>0.27</v>
      </c>
      <c r="B81">
        <f>(SUMPRODUCT(C81:L81,Base!$C$30:$L$30,Base!$C$31:$L$31)+L81*(1+g_base)/(wacc_base-g_base)*(1+wacc_base)^(-(fraccion+10-1))+ajuste_puente)/acciones_valor_base</f>
        <v/>
      </c>
      <c r="C81">
        <f>Base!$C$27*(1+$A81)^0</f>
        <v/>
      </c>
      <c r="D81">
        <f>Base!$C$27*(1+$A81)^1</f>
        <v/>
      </c>
      <c r="E81">
        <f>Base!$C$27*(1+$A81)^2</f>
        <v/>
      </c>
      <c r="F81">
        <f>Base!$C$27*(1+$A81)^3</f>
        <v/>
      </c>
      <c r="G81">
        <f>Base!$C$27*(1+$A81)^4</f>
        <v/>
      </c>
      <c r="H81">
        <f>Base!$C$27*(1+$A81)^5</f>
        <v/>
      </c>
      <c r="I81">
        <f>Base!$C$27*(1+$A81)^6</f>
        <v/>
      </c>
      <c r="J81">
        <f>Base!$C$27*(1+$A81)^7</f>
        <v/>
      </c>
      <c r="K81">
        <f>Base!$C$27*(1+$A81)^8</f>
        <v/>
      </c>
      <c r="L81">
        <f>Base!$C$27*(1+$A81)^9</f>
        <v/>
      </c>
    </row>
    <row r="82">
      <c r="A82" t="n">
        <v>0.28</v>
      </c>
      <c r="B82">
        <f>(SUMPRODUCT(C82:L82,Base!$C$30:$L$30,Base!$C$31:$L$31)+L82*(1+g_base)/(wacc_base-g_base)*(1+wacc_base)^(-(fraccion+10-1))+ajuste_puente)/acciones_valor_base</f>
        <v/>
      </c>
      <c r="C82">
        <f>Base!$C$27*(1+$A82)^0</f>
        <v/>
      </c>
      <c r="D82">
        <f>Base!$C$27*(1+$A82)^1</f>
        <v/>
      </c>
      <c r="E82">
        <f>Base!$C$27*(1+$A82)^2</f>
        <v/>
      </c>
      <c r="F82">
        <f>Base!$C$27*(1+$A82)^3</f>
        <v/>
      </c>
      <c r="G82">
        <f>Base!$C$27*(1+$A82)^4</f>
        <v/>
      </c>
      <c r="H82">
        <f>Base!$C$27*(1+$A82)^5</f>
        <v/>
      </c>
      <c r="I82">
        <f>Base!$C$27*(1+$A82)^6</f>
        <v/>
      </c>
      <c r="J82">
        <f>Base!$C$27*(1+$A82)^7</f>
        <v/>
      </c>
      <c r="K82">
        <f>Base!$C$27*(1+$A82)^8</f>
        <v/>
      </c>
      <c r="L82">
        <f>Base!$C$27*(1+$A82)^9</f>
        <v/>
      </c>
    </row>
    <row r="83">
      <c r="A83" t="n">
        <v>0.29</v>
      </c>
      <c r="B83">
        <f>(SUMPRODUCT(C83:L83,Base!$C$30:$L$30,Base!$C$31:$L$31)+L83*(1+g_base)/(wacc_base-g_base)*(1+wacc_base)^(-(fraccion+10-1))+ajuste_puente)/acciones_valor_base</f>
        <v/>
      </c>
      <c r="C83">
        <f>Base!$C$27*(1+$A83)^0</f>
        <v/>
      </c>
      <c r="D83">
        <f>Base!$C$27*(1+$A83)^1</f>
        <v/>
      </c>
      <c r="E83">
        <f>Base!$C$27*(1+$A83)^2</f>
        <v/>
      </c>
      <c r="F83">
        <f>Base!$C$27*(1+$A83)^3</f>
        <v/>
      </c>
      <c r="G83">
        <f>Base!$C$27*(1+$A83)^4</f>
        <v/>
      </c>
      <c r="H83">
        <f>Base!$C$27*(1+$A83)^5</f>
        <v/>
      </c>
      <c r="I83">
        <f>Base!$C$27*(1+$A83)^6</f>
        <v/>
      </c>
      <c r="J83">
        <f>Base!$C$27*(1+$A83)^7</f>
        <v/>
      </c>
      <c r="K83">
        <f>Base!$C$27*(1+$A83)^8</f>
        <v/>
      </c>
      <c r="L83">
        <f>Base!$C$27*(1+$A83)^9</f>
        <v/>
      </c>
    </row>
    <row r="84">
      <c r="A84" t="n">
        <v>0.3</v>
      </c>
      <c r="B84">
        <f>(SUMPRODUCT(C84:L84,Base!$C$30:$L$30,Base!$C$31:$L$31)+L84*(1+g_base)/(wacc_base-g_base)*(1+wacc_base)^(-(fraccion+10-1))+ajuste_puente)/acciones_valor_base</f>
        <v/>
      </c>
      <c r="C84">
        <f>Base!$C$27*(1+$A84)^0</f>
        <v/>
      </c>
      <c r="D84">
        <f>Base!$C$27*(1+$A84)^1</f>
        <v/>
      </c>
      <c r="E84">
        <f>Base!$C$27*(1+$A84)^2</f>
        <v/>
      </c>
      <c r="F84">
        <f>Base!$C$27*(1+$A84)^3</f>
        <v/>
      </c>
      <c r="G84">
        <f>Base!$C$27*(1+$A84)^4</f>
        <v/>
      </c>
      <c r="H84">
        <f>Base!$C$27*(1+$A84)^5</f>
        <v/>
      </c>
      <c r="I84">
        <f>Base!$C$27*(1+$A84)^6</f>
        <v/>
      </c>
      <c r="J84">
        <f>Base!$C$27*(1+$A84)^7</f>
        <v/>
      </c>
      <c r="K84">
        <f>Base!$C$27*(1+$A84)^8</f>
        <v/>
      </c>
      <c r="L84">
        <f>Base!$C$27*(1+$A84)^9</f>
        <v/>
      </c>
    </row>
    <row r="85">
      <c r="A85" t="n">
        <v>0.3100000000000001</v>
      </c>
      <c r="B85">
        <f>(SUMPRODUCT(C85:L85,Base!$C$30:$L$30,Base!$C$31:$L$31)+L85*(1+g_base)/(wacc_base-g_base)*(1+wacc_base)^(-(fraccion+10-1))+ajuste_puente)/acciones_valor_base</f>
        <v/>
      </c>
      <c r="C85">
        <f>Base!$C$27*(1+$A85)^0</f>
        <v/>
      </c>
      <c r="D85">
        <f>Base!$C$27*(1+$A85)^1</f>
        <v/>
      </c>
      <c r="E85">
        <f>Base!$C$27*(1+$A85)^2</f>
        <v/>
      </c>
      <c r="F85">
        <f>Base!$C$27*(1+$A85)^3</f>
        <v/>
      </c>
      <c r="G85">
        <f>Base!$C$27*(1+$A85)^4</f>
        <v/>
      </c>
      <c r="H85">
        <f>Base!$C$27*(1+$A85)^5</f>
        <v/>
      </c>
      <c r="I85">
        <f>Base!$C$27*(1+$A85)^6</f>
        <v/>
      </c>
      <c r="J85">
        <f>Base!$C$27*(1+$A85)^7</f>
        <v/>
      </c>
      <c r="K85">
        <f>Base!$C$27*(1+$A85)^8</f>
        <v/>
      </c>
      <c r="L85">
        <f>Base!$C$27*(1+$A85)^9</f>
        <v/>
      </c>
    </row>
    <row r="86">
      <c r="A86" t="n">
        <v>0.32</v>
      </c>
      <c r="B86">
        <f>(SUMPRODUCT(C86:L86,Base!$C$30:$L$30,Base!$C$31:$L$31)+L86*(1+g_base)/(wacc_base-g_base)*(1+wacc_base)^(-(fraccion+10-1))+ajuste_puente)/acciones_valor_base</f>
        <v/>
      </c>
      <c r="C86">
        <f>Base!$C$27*(1+$A86)^0</f>
        <v/>
      </c>
      <c r="D86">
        <f>Base!$C$27*(1+$A86)^1</f>
        <v/>
      </c>
      <c r="E86">
        <f>Base!$C$27*(1+$A86)^2</f>
        <v/>
      </c>
      <c r="F86">
        <f>Base!$C$27*(1+$A86)^3</f>
        <v/>
      </c>
      <c r="G86">
        <f>Base!$C$27*(1+$A86)^4</f>
        <v/>
      </c>
      <c r="H86">
        <f>Base!$C$27*(1+$A86)^5</f>
        <v/>
      </c>
      <c r="I86">
        <f>Base!$C$27*(1+$A86)^6</f>
        <v/>
      </c>
      <c r="J86">
        <f>Base!$C$27*(1+$A86)^7</f>
        <v/>
      </c>
      <c r="K86">
        <f>Base!$C$27*(1+$A86)^8</f>
        <v/>
      </c>
      <c r="L86">
        <f>Base!$C$27*(1+$A86)^9</f>
        <v/>
      </c>
    </row>
    <row r="87">
      <c r="A87" t="n">
        <v>0.33</v>
      </c>
      <c r="B87">
        <f>(SUMPRODUCT(C87:L87,Base!$C$30:$L$30,Base!$C$31:$L$31)+L87*(1+g_base)/(wacc_base-g_base)*(1+wacc_base)^(-(fraccion+10-1))+ajuste_puente)/acciones_valor_base</f>
        <v/>
      </c>
      <c r="C87">
        <f>Base!$C$27*(1+$A87)^0</f>
        <v/>
      </c>
      <c r="D87">
        <f>Base!$C$27*(1+$A87)^1</f>
        <v/>
      </c>
      <c r="E87">
        <f>Base!$C$27*(1+$A87)^2</f>
        <v/>
      </c>
      <c r="F87">
        <f>Base!$C$27*(1+$A87)^3</f>
        <v/>
      </c>
      <c r="G87">
        <f>Base!$C$27*(1+$A87)^4</f>
        <v/>
      </c>
      <c r="H87">
        <f>Base!$C$27*(1+$A87)^5</f>
        <v/>
      </c>
      <c r="I87">
        <f>Base!$C$27*(1+$A87)^6</f>
        <v/>
      </c>
      <c r="J87">
        <f>Base!$C$27*(1+$A87)^7</f>
        <v/>
      </c>
      <c r="K87">
        <f>Base!$C$27*(1+$A87)^8</f>
        <v/>
      </c>
      <c r="L87">
        <f>Base!$C$27*(1+$A87)^9</f>
        <v/>
      </c>
    </row>
    <row r="88">
      <c r="A88" t="n">
        <v>0.34</v>
      </c>
      <c r="B88">
        <f>(SUMPRODUCT(C88:L88,Base!$C$30:$L$30,Base!$C$31:$L$31)+L88*(1+g_base)/(wacc_base-g_base)*(1+wacc_base)^(-(fraccion+10-1))+ajuste_puente)/acciones_valor_base</f>
        <v/>
      </c>
      <c r="C88">
        <f>Base!$C$27*(1+$A88)^0</f>
        <v/>
      </c>
      <c r="D88">
        <f>Base!$C$27*(1+$A88)^1</f>
        <v/>
      </c>
      <c r="E88">
        <f>Base!$C$27*(1+$A88)^2</f>
        <v/>
      </c>
      <c r="F88">
        <f>Base!$C$27*(1+$A88)^3</f>
        <v/>
      </c>
      <c r="G88">
        <f>Base!$C$27*(1+$A88)^4</f>
        <v/>
      </c>
      <c r="H88">
        <f>Base!$C$27*(1+$A88)^5</f>
        <v/>
      </c>
      <c r="I88">
        <f>Base!$C$27*(1+$A88)^6</f>
        <v/>
      </c>
      <c r="J88">
        <f>Base!$C$27*(1+$A88)^7</f>
        <v/>
      </c>
      <c r="K88">
        <f>Base!$C$27*(1+$A88)^8</f>
        <v/>
      </c>
      <c r="L88">
        <f>Base!$C$27*(1+$A88)^9</f>
        <v/>
      </c>
    </row>
    <row r="89">
      <c r="A89" t="n">
        <v>0.35</v>
      </c>
      <c r="B89">
        <f>(SUMPRODUCT(C89:L89,Base!$C$30:$L$30,Base!$C$31:$L$31)+L89*(1+g_base)/(wacc_base-g_base)*(1+wacc_base)^(-(fraccion+10-1))+ajuste_puente)/acciones_valor_base</f>
        <v/>
      </c>
      <c r="C89">
        <f>Base!$C$27*(1+$A89)^0</f>
        <v/>
      </c>
      <c r="D89">
        <f>Base!$C$27*(1+$A89)^1</f>
        <v/>
      </c>
      <c r="E89">
        <f>Base!$C$27*(1+$A89)^2</f>
        <v/>
      </c>
      <c r="F89">
        <f>Base!$C$27*(1+$A89)^3</f>
        <v/>
      </c>
      <c r="G89">
        <f>Base!$C$27*(1+$A89)^4</f>
        <v/>
      </c>
      <c r="H89">
        <f>Base!$C$27*(1+$A89)^5</f>
        <v/>
      </c>
      <c r="I89">
        <f>Base!$C$27*(1+$A89)^6</f>
        <v/>
      </c>
      <c r="J89">
        <f>Base!$C$27*(1+$A89)^7</f>
        <v/>
      </c>
      <c r="K89">
        <f>Base!$C$27*(1+$A89)^8</f>
        <v/>
      </c>
      <c r="L89">
        <f>Base!$C$27*(1+$A89)^9</f>
        <v/>
      </c>
    </row>
    <row r="90">
      <c r="A90" t="n">
        <v>0.36</v>
      </c>
      <c r="B90">
        <f>(SUMPRODUCT(C90:L90,Base!$C$30:$L$30,Base!$C$31:$L$31)+L90*(1+g_base)/(wacc_base-g_base)*(1+wacc_base)^(-(fraccion+10-1))+ajuste_puente)/acciones_valor_base</f>
        <v/>
      </c>
      <c r="C90">
        <f>Base!$C$27*(1+$A90)^0</f>
        <v/>
      </c>
      <c r="D90">
        <f>Base!$C$27*(1+$A90)^1</f>
        <v/>
      </c>
      <c r="E90">
        <f>Base!$C$27*(1+$A90)^2</f>
        <v/>
      </c>
      <c r="F90">
        <f>Base!$C$27*(1+$A90)^3</f>
        <v/>
      </c>
      <c r="G90">
        <f>Base!$C$27*(1+$A90)^4</f>
        <v/>
      </c>
      <c r="H90">
        <f>Base!$C$27*(1+$A90)^5</f>
        <v/>
      </c>
      <c r="I90">
        <f>Base!$C$27*(1+$A90)^6</f>
        <v/>
      </c>
      <c r="J90">
        <f>Base!$C$27*(1+$A90)^7</f>
        <v/>
      </c>
      <c r="K90">
        <f>Base!$C$27*(1+$A90)^8</f>
        <v/>
      </c>
      <c r="L90">
        <f>Base!$C$27*(1+$A90)^9</f>
        <v/>
      </c>
    </row>
    <row r="91">
      <c r="A91" t="n">
        <v>0.37</v>
      </c>
      <c r="B91">
        <f>(SUMPRODUCT(C91:L91,Base!$C$30:$L$30,Base!$C$31:$L$31)+L91*(1+g_base)/(wacc_base-g_base)*(1+wacc_base)^(-(fraccion+10-1))+ajuste_puente)/acciones_valor_base</f>
        <v/>
      </c>
      <c r="C91">
        <f>Base!$C$27*(1+$A91)^0</f>
        <v/>
      </c>
      <c r="D91">
        <f>Base!$C$27*(1+$A91)^1</f>
        <v/>
      </c>
      <c r="E91">
        <f>Base!$C$27*(1+$A91)^2</f>
        <v/>
      </c>
      <c r="F91">
        <f>Base!$C$27*(1+$A91)^3</f>
        <v/>
      </c>
      <c r="G91">
        <f>Base!$C$27*(1+$A91)^4</f>
        <v/>
      </c>
      <c r="H91">
        <f>Base!$C$27*(1+$A91)^5</f>
        <v/>
      </c>
      <c r="I91">
        <f>Base!$C$27*(1+$A91)^6</f>
        <v/>
      </c>
      <c r="J91">
        <f>Base!$C$27*(1+$A91)^7</f>
        <v/>
      </c>
      <c r="K91">
        <f>Base!$C$27*(1+$A91)^8</f>
        <v/>
      </c>
      <c r="L91">
        <f>Base!$C$27*(1+$A91)^9</f>
        <v/>
      </c>
    </row>
    <row r="92">
      <c r="A92" t="n">
        <v>0.38</v>
      </c>
      <c r="B92">
        <f>(SUMPRODUCT(C92:L92,Base!$C$30:$L$30,Base!$C$31:$L$31)+L92*(1+g_base)/(wacc_base-g_base)*(1+wacc_base)^(-(fraccion+10-1))+ajuste_puente)/acciones_valor_base</f>
        <v/>
      </c>
      <c r="C92">
        <f>Base!$C$27*(1+$A92)^0</f>
        <v/>
      </c>
      <c r="D92">
        <f>Base!$C$27*(1+$A92)^1</f>
        <v/>
      </c>
      <c r="E92">
        <f>Base!$C$27*(1+$A92)^2</f>
        <v/>
      </c>
      <c r="F92">
        <f>Base!$C$27*(1+$A92)^3</f>
        <v/>
      </c>
      <c r="G92">
        <f>Base!$C$27*(1+$A92)^4</f>
        <v/>
      </c>
      <c r="H92">
        <f>Base!$C$27*(1+$A92)^5</f>
        <v/>
      </c>
      <c r="I92">
        <f>Base!$C$27*(1+$A92)^6</f>
        <v/>
      </c>
      <c r="J92">
        <f>Base!$C$27*(1+$A92)^7</f>
        <v/>
      </c>
      <c r="K92">
        <f>Base!$C$27*(1+$A92)^8</f>
        <v/>
      </c>
      <c r="L92">
        <f>Base!$C$27*(1+$A92)^9</f>
        <v/>
      </c>
    </row>
    <row r="93">
      <c r="A93" t="n">
        <v>0.39</v>
      </c>
      <c r="B93">
        <f>(SUMPRODUCT(C93:L93,Base!$C$30:$L$30,Base!$C$31:$L$31)+L93*(1+g_base)/(wacc_base-g_base)*(1+wacc_base)^(-(fraccion+10-1))+ajuste_puente)/acciones_valor_base</f>
        <v/>
      </c>
      <c r="C93">
        <f>Base!$C$27*(1+$A93)^0</f>
        <v/>
      </c>
      <c r="D93">
        <f>Base!$C$27*(1+$A93)^1</f>
        <v/>
      </c>
      <c r="E93">
        <f>Base!$C$27*(1+$A93)^2</f>
        <v/>
      </c>
      <c r="F93">
        <f>Base!$C$27*(1+$A93)^3</f>
        <v/>
      </c>
      <c r="G93">
        <f>Base!$C$27*(1+$A93)^4</f>
        <v/>
      </c>
      <c r="H93">
        <f>Base!$C$27*(1+$A93)^5</f>
        <v/>
      </c>
      <c r="I93">
        <f>Base!$C$27*(1+$A93)^6</f>
        <v/>
      </c>
      <c r="J93">
        <f>Base!$C$27*(1+$A93)^7</f>
        <v/>
      </c>
      <c r="K93">
        <f>Base!$C$27*(1+$A93)^8</f>
        <v/>
      </c>
      <c r="L93">
        <f>Base!$C$27*(1+$A93)^9</f>
        <v/>
      </c>
    </row>
    <row r="94">
      <c r="A94" t="n">
        <v>0.4</v>
      </c>
      <c r="B94">
        <f>(SUMPRODUCT(C94:L94,Base!$C$30:$L$30,Base!$C$31:$L$31)+L94*(1+g_base)/(wacc_base-g_base)*(1+wacc_base)^(-(fraccion+10-1))+ajuste_puente)/acciones_valor_base</f>
        <v/>
      </c>
      <c r="C94">
        <f>Base!$C$27*(1+$A94)^0</f>
        <v/>
      </c>
      <c r="D94">
        <f>Base!$C$27*(1+$A94)^1</f>
        <v/>
      </c>
      <c r="E94">
        <f>Base!$C$27*(1+$A94)^2</f>
        <v/>
      </c>
      <c r="F94">
        <f>Base!$C$27*(1+$A94)^3</f>
        <v/>
      </c>
      <c r="G94">
        <f>Base!$C$27*(1+$A94)^4</f>
        <v/>
      </c>
      <c r="H94">
        <f>Base!$C$27*(1+$A94)^5</f>
        <v/>
      </c>
      <c r="I94">
        <f>Base!$C$27*(1+$A94)^6</f>
        <v/>
      </c>
      <c r="J94">
        <f>Base!$C$27*(1+$A94)^7</f>
        <v/>
      </c>
      <c r="K94">
        <f>Base!$C$27*(1+$A94)^8</f>
        <v/>
      </c>
      <c r="L94">
        <f>Base!$C$27*(1+$A94)^9</f>
        <v/>
      </c>
    </row>
    <row r="95">
      <c r="A95" t="n">
        <v>0.41</v>
      </c>
      <c r="B95">
        <f>(SUMPRODUCT(C95:L95,Base!$C$30:$L$30,Base!$C$31:$L$31)+L95*(1+g_base)/(wacc_base-g_base)*(1+wacc_base)^(-(fraccion+10-1))+ajuste_puente)/acciones_valor_base</f>
        <v/>
      </c>
      <c r="C95">
        <f>Base!$C$27*(1+$A95)^0</f>
        <v/>
      </c>
      <c r="D95">
        <f>Base!$C$27*(1+$A95)^1</f>
        <v/>
      </c>
      <c r="E95">
        <f>Base!$C$27*(1+$A95)^2</f>
        <v/>
      </c>
      <c r="F95">
        <f>Base!$C$27*(1+$A95)^3</f>
        <v/>
      </c>
      <c r="G95">
        <f>Base!$C$27*(1+$A95)^4</f>
        <v/>
      </c>
      <c r="H95">
        <f>Base!$C$27*(1+$A95)^5</f>
        <v/>
      </c>
      <c r="I95">
        <f>Base!$C$27*(1+$A95)^6</f>
        <v/>
      </c>
      <c r="J95">
        <f>Base!$C$27*(1+$A95)^7</f>
        <v/>
      </c>
      <c r="K95">
        <f>Base!$C$27*(1+$A95)^8</f>
        <v/>
      </c>
      <c r="L95">
        <f>Base!$C$27*(1+$A95)^9</f>
        <v/>
      </c>
    </row>
    <row r="96">
      <c r="A96" t="n">
        <v>0.42</v>
      </c>
      <c r="B96">
        <f>(SUMPRODUCT(C96:L96,Base!$C$30:$L$30,Base!$C$31:$L$31)+L96*(1+g_base)/(wacc_base-g_base)*(1+wacc_base)^(-(fraccion+10-1))+ajuste_puente)/acciones_valor_base</f>
        <v/>
      </c>
      <c r="C96">
        <f>Base!$C$27*(1+$A96)^0</f>
        <v/>
      </c>
      <c r="D96">
        <f>Base!$C$27*(1+$A96)^1</f>
        <v/>
      </c>
      <c r="E96">
        <f>Base!$C$27*(1+$A96)^2</f>
        <v/>
      </c>
      <c r="F96">
        <f>Base!$C$27*(1+$A96)^3</f>
        <v/>
      </c>
      <c r="G96">
        <f>Base!$C$27*(1+$A96)^4</f>
        <v/>
      </c>
      <c r="H96">
        <f>Base!$C$27*(1+$A96)^5</f>
        <v/>
      </c>
      <c r="I96">
        <f>Base!$C$27*(1+$A96)^6</f>
        <v/>
      </c>
      <c r="J96">
        <f>Base!$C$27*(1+$A96)^7</f>
        <v/>
      </c>
      <c r="K96">
        <f>Base!$C$27*(1+$A96)^8</f>
        <v/>
      </c>
      <c r="L96">
        <f>Base!$C$27*(1+$A96)^9</f>
        <v/>
      </c>
    </row>
    <row r="97">
      <c r="A97" t="n">
        <v>0.43</v>
      </c>
      <c r="B97">
        <f>(SUMPRODUCT(C97:L97,Base!$C$30:$L$30,Base!$C$31:$L$31)+L97*(1+g_base)/(wacc_base-g_base)*(1+wacc_base)^(-(fraccion+10-1))+ajuste_puente)/acciones_valor_base</f>
        <v/>
      </c>
      <c r="C97">
        <f>Base!$C$27*(1+$A97)^0</f>
        <v/>
      </c>
      <c r="D97">
        <f>Base!$C$27*(1+$A97)^1</f>
        <v/>
      </c>
      <c r="E97">
        <f>Base!$C$27*(1+$A97)^2</f>
        <v/>
      </c>
      <c r="F97">
        <f>Base!$C$27*(1+$A97)^3</f>
        <v/>
      </c>
      <c r="G97">
        <f>Base!$C$27*(1+$A97)^4</f>
        <v/>
      </c>
      <c r="H97">
        <f>Base!$C$27*(1+$A97)^5</f>
        <v/>
      </c>
      <c r="I97">
        <f>Base!$C$27*(1+$A97)^6</f>
        <v/>
      </c>
      <c r="J97">
        <f>Base!$C$27*(1+$A97)^7</f>
        <v/>
      </c>
      <c r="K97">
        <f>Base!$C$27*(1+$A97)^8</f>
        <v/>
      </c>
      <c r="L97">
        <f>Base!$C$27*(1+$A97)^9</f>
        <v/>
      </c>
    </row>
    <row r="98">
      <c r="A98" t="n">
        <v>0.4399999999999999</v>
      </c>
      <c r="B98">
        <f>(SUMPRODUCT(C98:L98,Base!$C$30:$L$30,Base!$C$31:$L$31)+L98*(1+g_base)/(wacc_base-g_base)*(1+wacc_base)^(-(fraccion+10-1))+ajuste_puente)/acciones_valor_base</f>
        <v/>
      </c>
      <c r="C98">
        <f>Base!$C$27*(1+$A98)^0</f>
        <v/>
      </c>
      <c r="D98">
        <f>Base!$C$27*(1+$A98)^1</f>
        <v/>
      </c>
      <c r="E98">
        <f>Base!$C$27*(1+$A98)^2</f>
        <v/>
      </c>
      <c r="F98">
        <f>Base!$C$27*(1+$A98)^3</f>
        <v/>
      </c>
      <c r="G98">
        <f>Base!$C$27*(1+$A98)^4</f>
        <v/>
      </c>
      <c r="H98">
        <f>Base!$C$27*(1+$A98)^5</f>
        <v/>
      </c>
      <c r="I98">
        <f>Base!$C$27*(1+$A98)^6</f>
        <v/>
      </c>
      <c r="J98">
        <f>Base!$C$27*(1+$A98)^7</f>
        <v/>
      </c>
      <c r="K98">
        <f>Base!$C$27*(1+$A98)^8</f>
        <v/>
      </c>
      <c r="L98">
        <f>Base!$C$27*(1+$A98)^9</f>
        <v/>
      </c>
    </row>
    <row r="99">
      <c r="A99" t="n">
        <v>0.45</v>
      </c>
      <c r="B99">
        <f>(SUMPRODUCT(C99:L99,Base!$C$30:$L$30,Base!$C$31:$L$31)+L99*(1+g_base)/(wacc_base-g_base)*(1+wacc_base)^(-(fraccion+10-1))+ajuste_puente)/acciones_valor_base</f>
        <v/>
      </c>
      <c r="C99">
        <f>Base!$C$27*(1+$A99)^0</f>
        <v/>
      </c>
      <c r="D99">
        <f>Base!$C$27*(1+$A99)^1</f>
        <v/>
      </c>
      <c r="E99">
        <f>Base!$C$27*(1+$A99)^2</f>
        <v/>
      </c>
      <c r="F99">
        <f>Base!$C$27*(1+$A99)^3</f>
        <v/>
      </c>
      <c r="G99">
        <f>Base!$C$27*(1+$A99)^4</f>
        <v/>
      </c>
      <c r="H99">
        <f>Base!$C$27*(1+$A99)^5</f>
        <v/>
      </c>
      <c r="I99">
        <f>Base!$C$27*(1+$A99)^6</f>
        <v/>
      </c>
      <c r="J99">
        <f>Base!$C$27*(1+$A99)^7</f>
        <v/>
      </c>
      <c r="K99">
        <f>Base!$C$27*(1+$A99)^8</f>
        <v/>
      </c>
      <c r="L99">
        <f>Base!$C$27*(1+$A99)^9</f>
        <v/>
      </c>
    </row>
    <row r="100">
      <c r="A100" t="n">
        <v>0.46</v>
      </c>
      <c r="B100">
        <f>(SUMPRODUCT(C100:L100,Base!$C$30:$L$30,Base!$C$31:$L$31)+L100*(1+g_base)/(wacc_base-g_base)*(1+wacc_base)^(-(fraccion+10-1))+ajuste_puente)/acciones_valor_base</f>
        <v/>
      </c>
      <c r="C100">
        <f>Base!$C$27*(1+$A100)^0</f>
        <v/>
      </c>
      <c r="D100">
        <f>Base!$C$27*(1+$A100)^1</f>
        <v/>
      </c>
      <c r="E100">
        <f>Base!$C$27*(1+$A100)^2</f>
        <v/>
      </c>
      <c r="F100">
        <f>Base!$C$27*(1+$A100)^3</f>
        <v/>
      </c>
      <c r="G100">
        <f>Base!$C$27*(1+$A100)^4</f>
        <v/>
      </c>
      <c r="H100">
        <f>Base!$C$27*(1+$A100)^5</f>
        <v/>
      </c>
      <c r="I100">
        <f>Base!$C$27*(1+$A100)^6</f>
        <v/>
      </c>
      <c r="J100">
        <f>Base!$C$27*(1+$A100)^7</f>
        <v/>
      </c>
      <c r="K100">
        <f>Base!$C$27*(1+$A100)^8</f>
        <v/>
      </c>
      <c r="L100">
        <f>Base!$C$27*(1+$A100)^9</f>
        <v/>
      </c>
    </row>
    <row r="101">
      <c r="A101" t="n">
        <v>0.47</v>
      </c>
      <c r="B101">
        <f>(SUMPRODUCT(C101:L101,Base!$C$30:$L$30,Base!$C$31:$L$31)+L101*(1+g_base)/(wacc_base-g_base)*(1+wacc_base)^(-(fraccion+10-1))+ajuste_puente)/acciones_valor_base</f>
        <v/>
      </c>
      <c r="C101">
        <f>Base!$C$27*(1+$A101)^0</f>
        <v/>
      </c>
      <c r="D101">
        <f>Base!$C$27*(1+$A101)^1</f>
        <v/>
      </c>
      <c r="E101">
        <f>Base!$C$27*(1+$A101)^2</f>
        <v/>
      </c>
      <c r="F101">
        <f>Base!$C$27*(1+$A101)^3</f>
        <v/>
      </c>
      <c r="G101">
        <f>Base!$C$27*(1+$A101)^4</f>
        <v/>
      </c>
      <c r="H101">
        <f>Base!$C$27*(1+$A101)^5</f>
        <v/>
      </c>
      <c r="I101">
        <f>Base!$C$27*(1+$A101)^6</f>
        <v/>
      </c>
      <c r="J101">
        <f>Base!$C$27*(1+$A101)^7</f>
        <v/>
      </c>
      <c r="K101">
        <f>Base!$C$27*(1+$A101)^8</f>
        <v/>
      </c>
      <c r="L101">
        <f>Base!$C$27*(1+$A101)^9</f>
        <v/>
      </c>
    </row>
    <row r="102">
      <c r="A102" t="n">
        <v>0.48</v>
      </c>
      <c r="B102">
        <f>(SUMPRODUCT(C102:L102,Base!$C$30:$L$30,Base!$C$31:$L$31)+L102*(1+g_base)/(wacc_base-g_base)*(1+wacc_base)^(-(fraccion+10-1))+ajuste_puente)/acciones_valor_base</f>
        <v/>
      </c>
      <c r="C102">
        <f>Base!$C$27*(1+$A102)^0</f>
        <v/>
      </c>
      <c r="D102">
        <f>Base!$C$27*(1+$A102)^1</f>
        <v/>
      </c>
      <c r="E102">
        <f>Base!$C$27*(1+$A102)^2</f>
        <v/>
      </c>
      <c r="F102">
        <f>Base!$C$27*(1+$A102)^3</f>
        <v/>
      </c>
      <c r="G102">
        <f>Base!$C$27*(1+$A102)^4</f>
        <v/>
      </c>
      <c r="H102">
        <f>Base!$C$27*(1+$A102)^5</f>
        <v/>
      </c>
      <c r="I102">
        <f>Base!$C$27*(1+$A102)^6</f>
        <v/>
      </c>
      <c r="J102">
        <f>Base!$C$27*(1+$A102)^7</f>
        <v/>
      </c>
      <c r="K102">
        <f>Base!$C$27*(1+$A102)^8</f>
        <v/>
      </c>
      <c r="L102">
        <f>Base!$C$27*(1+$A102)^9</f>
        <v/>
      </c>
    </row>
    <row r="103">
      <c r="A103" t="n">
        <v>0.49</v>
      </c>
      <c r="B103">
        <f>(SUMPRODUCT(C103:L103,Base!$C$30:$L$30,Base!$C$31:$L$31)+L103*(1+g_base)/(wacc_base-g_base)*(1+wacc_base)^(-(fraccion+10-1))+ajuste_puente)/acciones_valor_base</f>
        <v/>
      </c>
      <c r="C103">
        <f>Base!$C$27*(1+$A103)^0</f>
        <v/>
      </c>
      <c r="D103">
        <f>Base!$C$27*(1+$A103)^1</f>
        <v/>
      </c>
      <c r="E103">
        <f>Base!$C$27*(1+$A103)^2</f>
        <v/>
      </c>
      <c r="F103">
        <f>Base!$C$27*(1+$A103)^3</f>
        <v/>
      </c>
      <c r="G103">
        <f>Base!$C$27*(1+$A103)^4</f>
        <v/>
      </c>
      <c r="H103">
        <f>Base!$C$27*(1+$A103)^5</f>
        <v/>
      </c>
      <c r="I103">
        <f>Base!$C$27*(1+$A103)^6</f>
        <v/>
      </c>
      <c r="J103">
        <f>Base!$C$27*(1+$A103)^7</f>
        <v/>
      </c>
      <c r="K103">
        <f>Base!$C$27*(1+$A103)^8</f>
        <v/>
      </c>
      <c r="L103">
        <f>Base!$C$27*(1+$A103)^9</f>
        <v/>
      </c>
    </row>
    <row r="104">
      <c r="A104" t="n">
        <v>0.5</v>
      </c>
      <c r="B104">
        <f>(SUMPRODUCT(C104:L104,Base!$C$30:$L$30,Base!$C$31:$L$31)+L104*(1+g_base)/(wacc_base-g_base)*(1+wacc_base)^(-(fraccion+10-1))+ajuste_puente)/acciones_valor_base</f>
        <v/>
      </c>
      <c r="C104">
        <f>Base!$C$27*(1+$A104)^0</f>
        <v/>
      </c>
      <c r="D104">
        <f>Base!$C$27*(1+$A104)^1</f>
        <v/>
      </c>
      <c r="E104">
        <f>Base!$C$27*(1+$A104)^2</f>
        <v/>
      </c>
      <c r="F104">
        <f>Base!$C$27*(1+$A104)^3</f>
        <v/>
      </c>
      <c r="G104">
        <f>Base!$C$27*(1+$A104)^4</f>
        <v/>
      </c>
      <c r="H104">
        <f>Base!$C$27*(1+$A104)^5</f>
        <v/>
      </c>
      <c r="I104">
        <f>Base!$C$27*(1+$A104)^6</f>
        <v/>
      </c>
      <c r="J104">
        <f>Base!$C$27*(1+$A104)^7</f>
        <v/>
      </c>
      <c r="K104">
        <f>Base!$C$27*(1+$A104)^8</f>
        <v/>
      </c>
      <c r="L104">
        <f>Base!$C$27*(1+$A104)^9</f>
        <v/>
      </c>
    </row>
    <row r="105">
      <c r="A105" t="n">
        <v>0.51</v>
      </c>
      <c r="B105">
        <f>(SUMPRODUCT(C105:L105,Base!$C$30:$L$30,Base!$C$31:$L$31)+L105*(1+g_base)/(wacc_base-g_base)*(1+wacc_base)^(-(fraccion+10-1))+ajuste_puente)/acciones_valor_base</f>
        <v/>
      </c>
      <c r="C105">
        <f>Base!$C$27*(1+$A105)^0</f>
        <v/>
      </c>
      <c r="D105">
        <f>Base!$C$27*(1+$A105)^1</f>
        <v/>
      </c>
      <c r="E105">
        <f>Base!$C$27*(1+$A105)^2</f>
        <v/>
      </c>
      <c r="F105">
        <f>Base!$C$27*(1+$A105)^3</f>
        <v/>
      </c>
      <c r="G105">
        <f>Base!$C$27*(1+$A105)^4</f>
        <v/>
      </c>
      <c r="H105">
        <f>Base!$C$27*(1+$A105)^5</f>
        <v/>
      </c>
      <c r="I105">
        <f>Base!$C$27*(1+$A105)^6</f>
        <v/>
      </c>
      <c r="J105">
        <f>Base!$C$27*(1+$A105)^7</f>
        <v/>
      </c>
      <c r="K105">
        <f>Base!$C$27*(1+$A105)^8</f>
        <v/>
      </c>
      <c r="L105">
        <f>Base!$C$27*(1+$A105)^9</f>
        <v/>
      </c>
    </row>
    <row r="106">
      <c r="A106" t="n">
        <v>0.52</v>
      </c>
      <c r="B106">
        <f>(SUMPRODUCT(C106:L106,Base!$C$30:$L$30,Base!$C$31:$L$31)+L106*(1+g_base)/(wacc_base-g_base)*(1+wacc_base)^(-(fraccion+10-1))+ajuste_puente)/acciones_valor_base</f>
        <v/>
      </c>
      <c r="C106">
        <f>Base!$C$27*(1+$A106)^0</f>
        <v/>
      </c>
      <c r="D106">
        <f>Base!$C$27*(1+$A106)^1</f>
        <v/>
      </c>
      <c r="E106">
        <f>Base!$C$27*(1+$A106)^2</f>
        <v/>
      </c>
      <c r="F106">
        <f>Base!$C$27*(1+$A106)^3</f>
        <v/>
      </c>
      <c r="G106">
        <f>Base!$C$27*(1+$A106)^4</f>
        <v/>
      </c>
      <c r="H106">
        <f>Base!$C$27*(1+$A106)^5</f>
        <v/>
      </c>
      <c r="I106">
        <f>Base!$C$27*(1+$A106)^6</f>
        <v/>
      </c>
      <c r="J106">
        <f>Base!$C$27*(1+$A106)^7</f>
        <v/>
      </c>
      <c r="K106">
        <f>Base!$C$27*(1+$A106)^8</f>
        <v/>
      </c>
      <c r="L106">
        <f>Base!$C$27*(1+$A106)^9</f>
        <v/>
      </c>
    </row>
    <row r="107">
      <c r="A107" t="n">
        <v>0.53</v>
      </c>
      <c r="B107">
        <f>(SUMPRODUCT(C107:L107,Base!$C$30:$L$30,Base!$C$31:$L$31)+L107*(1+g_base)/(wacc_base-g_base)*(1+wacc_base)^(-(fraccion+10-1))+ajuste_puente)/acciones_valor_base</f>
        <v/>
      </c>
      <c r="C107">
        <f>Base!$C$27*(1+$A107)^0</f>
        <v/>
      </c>
      <c r="D107">
        <f>Base!$C$27*(1+$A107)^1</f>
        <v/>
      </c>
      <c r="E107">
        <f>Base!$C$27*(1+$A107)^2</f>
        <v/>
      </c>
      <c r="F107">
        <f>Base!$C$27*(1+$A107)^3</f>
        <v/>
      </c>
      <c r="G107">
        <f>Base!$C$27*(1+$A107)^4</f>
        <v/>
      </c>
      <c r="H107">
        <f>Base!$C$27*(1+$A107)^5</f>
        <v/>
      </c>
      <c r="I107">
        <f>Base!$C$27*(1+$A107)^6</f>
        <v/>
      </c>
      <c r="J107">
        <f>Base!$C$27*(1+$A107)^7</f>
        <v/>
      </c>
      <c r="K107">
        <f>Base!$C$27*(1+$A107)^8</f>
        <v/>
      </c>
      <c r="L107">
        <f>Base!$C$27*(1+$A107)^9</f>
        <v/>
      </c>
    </row>
    <row r="108">
      <c r="A108" t="n">
        <v>0.54</v>
      </c>
      <c r="B108">
        <f>(SUMPRODUCT(C108:L108,Base!$C$30:$L$30,Base!$C$31:$L$31)+L108*(1+g_base)/(wacc_base-g_base)*(1+wacc_base)^(-(fraccion+10-1))+ajuste_puente)/acciones_valor_base</f>
        <v/>
      </c>
      <c r="C108">
        <f>Base!$C$27*(1+$A108)^0</f>
        <v/>
      </c>
      <c r="D108">
        <f>Base!$C$27*(1+$A108)^1</f>
        <v/>
      </c>
      <c r="E108">
        <f>Base!$C$27*(1+$A108)^2</f>
        <v/>
      </c>
      <c r="F108">
        <f>Base!$C$27*(1+$A108)^3</f>
        <v/>
      </c>
      <c r="G108">
        <f>Base!$C$27*(1+$A108)^4</f>
        <v/>
      </c>
      <c r="H108">
        <f>Base!$C$27*(1+$A108)^5</f>
        <v/>
      </c>
      <c r="I108">
        <f>Base!$C$27*(1+$A108)^6</f>
        <v/>
      </c>
      <c r="J108">
        <f>Base!$C$27*(1+$A108)^7</f>
        <v/>
      </c>
      <c r="K108">
        <f>Base!$C$27*(1+$A108)^8</f>
        <v/>
      </c>
      <c r="L108">
        <f>Base!$C$27*(1+$A108)^9</f>
        <v/>
      </c>
    </row>
    <row r="109">
      <c r="A109" t="n">
        <v>0.55</v>
      </c>
      <c r="B109">
        <f>(SUMPRODUCT(C109:L109,Base!$C$30:$L$30,Base!$C$31:$L$31)+L109*(1+g_base)/(wacc_base-g_base)*(1+wacc_base)^(-(fraccion+10-1))+ajuste_puente)/acciones_valor_base</f>
        <v/>
      </c>
      <c r="C109">
        <f>Base!$C$27*(1+$A109)^0</f>
        <v/>
      </c>
      <c r="D109">
        <f>Base!$C$27*(1+$A109)^1</f>
        <v/>
      </c>
      <c r="E109">
        <f>Base!$C$27*(1+$A109)^2</f>
        <v/>
      </c>
      <c r="F109">
        <f>Base!$C$27*(1+$A109)^3</f>
        <v/>
      </c>
      <c r="G109">
        <f>Base!$C$27*(1+$A109)^4</f>
        <v/>
      </c>
      <c r="H109">
        <f>Base!$C$27*(1+$A109)^5</f>
        <v/>
      </c>
      <c r="I109">
        <f>Base!$C$27*(1+$A109)^6</f>
        <v/>
      </c>
      <c r="J109">
        <f>Base!$C$27*(1+$A109)^7</f>
        <v/>
      </c>
      <c r="K109">
        <f>Base!$C$27*(1+$A109)^8</f>
        <v/>
      </c>
      <c r="L109">
        <f>Base!$C$27*(1+$A109)^9</f>
        <v/>
      </c>
    </row>
    <row r="110">
      <c r="A110" t="n">
        <v>0.5600000000000001</v>
      </c>
      <c r="B110">
        <f>(SUMPRODUCT(C110:L110,Base!$C$30:$L$30,Base!$C$31:$L$31)+L110*(1+g_base)/(wacc_base-g_base)*(1+wacc_base)^(-(fraccion+10-1))+ajuste_puente)/acciones_valor_base</f>
        <v/>
      </c>
      <c r="C110">
        <f>Base!$C$27*(1+$A110)^0</f>
        <v/>
      </c>
      <c r="D110">
        <f>Base!$C$27*(1+$A110)^1</f>
        <v/>
      </c>
      <c r="E110">
        <f>Base!$C$27*(1+$A110)^2</f>
        <v/>
      </c>
      <c r="F110">
        <f>Base!$C$27*(1+$A110)^3</f>
        <v/>
      </c>
      <c r="G110">
        <f>Base!$C$27*(1+$A110)^4</f>
        <v/>
      </c>
      <c r="H110">
        <f>Base!$C$27*(1+$A110)^5</f>
        <v/>
      </c>
      <c r="I110">
        <f>Base!$C$27*(1+$A110)^6</f>
        <v/>
      </c>
      <c r="J110">
        <f>Base!$C$27*(1+$A110)^7</f>
        <v/>
      </c>
      <c r="K110">
        <f>Base!$C$27*(1+$A110)^8</f>
        <v/>
      </c>
      <c r="L110">
        <f>Base!$C$27*(1+$A110)^9</f>
        <v/>
      </c>
    </row>
    <row r="111">
      <c r="A111" t="n">
        <v>0.5700000000000001</v>
      </c>
      <c r="B111">
        <f>(SUMPRODUCT(C111:L111,Base!$C$30:$L$30,Base!$C$31:$L$31)+L111*(1+g_base)/(wacc_base-g_base)*(1+wacc_base)^(-(fraccion+10-1))+ajuste_puente)/acciones_valor_base</f>
        <v/>
      </c>
      <c r="C111">
        <f>Base!$C$27*(1+$A111)^0</f>
        <v/>
      </c>
      <c r="D111">
        <f>Base!$C$27*(1+$A111)^1</f>
        <v/>
      </c>
      <c r="E111">
        <f>Base!$C$27*(1+$A111)^2</f>
        <v/>
      </c>
      <c r="F111">
        <f>Base!$C$27*(1+$A111)^3</f>
        <v/>
      </c>
      <c r="G111">
        <f>Base!$C$27*(1+$A111)^4</f>
        <v/>
      </c>
      <c r="H111">
        <f>Base!$C$27*(1+$A111)^5</f>
        <v/>
      </c>
      <c r="I111">
        <f>Base!$C$27*(1+$A111)^6</f>
        <v/>
      </c>
      <c r="J111">
        <f>Base!$C$27*(1+$A111)^7</f>
        <v/>
      </c>
      <c r="K111">
        <f>Base!$C$27*(1+$A111)^8</f>
        <v/>
      </c>
      <c r="L111">
        <f>Base!$C$27*(1+$A111)^9</f>
        <v/>
      </c>
    </row>
    <row r="112">
      <c r="A112" t="n">
        <v>0.5800000000000001</v>
      </c>
      <c r="B112">
        <f>(SUMPRODUCT(C112:L112,Base!$C$30:$L$30,Base!$C$31:$L$31)+L112*(1+g_base)/(wacc_base-g_base)*(1+wacc_base)^(-(fraccion+10-1))+ajuste_puente)/acciones_valor_base</f>
        <v/>
      </c>
      <c r="C112">
        <f>Base!$C$27*(1+$A112)^0</f>
        <v/>
      </c>
      <c r="D112">
        <f>Base!$C$27*(1+$A112)^1</f>
        <v/>
      </c>
      <c r="E112">
        <f>Base!$C$27*(1+$A112)^2</f>
        <v/>
      </c>
      <c r="F112">
        <f>Base!$C$27*(1+$A112)^3</f>
        <v/>
      </c>
      <c r="G112">
        <f>Base!$C$27*(1+$A112)^4</f>
        <v/>
      </c>
      <c r="H112">
        <f>Base!$C$27*(1+$A112)^5</f>
        <v/>
      </c>
      <c r="I112">
        <f>Base!$C$27*(1+$A112)^6</f>
        <v/>
      </c>
      <c r="J112">
        <f>Base!$C$27*(1+$A112)^7</f>
        <v/>
      </c>
      <c r="K112">
        <f>Base!$C$27*(1+$A112)^8</f>
        <v/>
      </c>
      <c r="L112">
        <f>Base!$C$27*(1+$A112)^9</f>
        <v/>
      </c>
    </row>
    <row r="113">
      <c r="A113" t="n">
        <v>0.5900000000000001</v>
      </c>
      <c r="B113">
        <f>(SUMPRODUCT(C113:L113,Base!$C$30:$L$30,Base!$C$31:$L$31)+L113*(1+g_base)/(wacc_base-g_base)*(1+wacc_base)^(-(fraccion+10-1))+ajuste_puente)/acciones_valor_base</f>
        <v/>
      </c>
      <c r="C113">
        <f>Base!$C$27*(1+$A113)^0</f>
        <v/>
      </c>
      <c r="D113">
        <f>Base!$C$27*(1+$A113)^1</f>
        <v/>
      </c>
      <c r="E113">
        <f>Base!$C$27*(1+$A113)^2</f>
        <v/>
      </c>
      <c r="F113">
        <f>Base!$C$27*(1+$A113)^3</f>
        <v/>
      </c>
      <c r="G113">
        <f>Base!$C$27*(1+$A113)^4</f>
        <v/>
      </c>
      <c r="H113">
        <f>Base!$C$27*(1+$A113)^5</f>
        <v/>
      </c>
      <c r="I113">
        <f>Base!$C$27*(1+$A113)^6</f>
        <v/>
      </c>
      <c r="J113">
        <f>Base!$C$27*(1+$A113)^7</f>
        <v/>
      </c>
      <c r="K113">
        <f>Base!$C$27*(1+$A113)^8</f>
        <v/>
      </c>
      <c r="L113">
        <f>Base!$C$27*(1+$A113)^9</f>
        <v/>
      </c>
    </row>
    <row r="114">
      <c r="A114" t="n">
        <v>0.6000000000000001</v>
      </c>
      <c r="B114">
        <f>(SUMPRODUCT(C114:L114,Base!$C$30:$L$30,Base!$C$31:$L$31)+L114*(1+g_base)/(wacc_base-g_base)*(1+wacc_base)^(-(fraccion+10-1))+ajuste_puente)/acciones_valor_base</f>
        <v/>
      </c>
      <c r="C114">
        <f>Base!$C$27*(1+$A114)^0</f>
        <v/>
      </c>
      <c r="D114">
        <f>Base!$C$27*(1+$A114)^1</f>
        <v/>
      </c>
      <c r="E114">
        <f>Base!$C$27*(1+$A114)^2</f>
        <v/>
      </c>
      <c r="F114">
        <f>Base!$C$27*(1+$A114)^3</f>
        <v/>
      </c>
      <c r="G114">
        <f>Base!$C$27*(1+$A114)^4</f>
        <v/>
      </c>
      <c r="H114">
        <f>Base!$C$27*(1+$A114)^5</f>
        <v/>
      </c>
      <c r="I114">
        <f>Base!$C$27*(1+$A114)^6</f>
        <v/>
      </c>
      <c r="J114">
        <f>Base!$C$27*(1+$A114)^7</f>
        <v/>
      </c>
      <c r="K114">
        <f>Base!$C$27*(1+$A114)^8</f>
        <v/>
      </c>
      <c r="L114">
        <f>Base!$C$27*(1+$A114)^9</f>
        <v/>
      </c>
    </row>
    <row r="115">
      <c r="A115" t="n">
        <v>0.6100000000000001</v>
      </c>
      <c r="B115">
        <f>(SUMPRODUCT(C115:L115,Base!$C$30:$L$30,Base!$C$31:$L$31)+L115*(1+g_base)/(wacc_base-g_base)*(1+wacc_base)^(-(fraccion+10-1))+ajuste_puente)/acciones_valor_base</f>
        <v/>
      </c>
      <c r="C115">
        <f>Base!$C$27*(1+$A115)^0</f>
        <v/>
      </c>
      <c r="D115">
        <f>Base!$C$27*(1+$A115)^1</f>
        <v/>
      </c>
      <c r="E115">
        <f>Base!$C$27*(1+$A115)^2</f>
        <v/>
      </c>
      <c r="F115">
        <f>Base!$C$27*(1+$A115)^3</f>
        <v/>
      </c>
      <c r="G115">
        <f>Base!$C$27*(1+$A115)^4</f>
        <v/>
      </c>
      <c r="H115">
        <f>Base!$C$27*(1+$A115)^5</f>
        <v/>
      </c>
      <c r="I115">
        <f>Base!$C$27*(1+$A115)^6</f>
        <v/>
      </c>
      <c r="J115">
        <f>Base!$C$27*(1+$A115)^7</f>
        <v/>
      </c>
      <c r="K115">
        <f>Base!$C$27*(1+$A115)^8</f>
        <v/>
      </c>
      <c r="L115">
        <f>Base!$C$27*(1+$A115)^9</f>
        <v/>
      </c>
    </row>
    <row r="116">
      <c r="A116" t="n">
        <v>0.6200000000000001</v>
      </c>
      <c r="B116">
        <f>(SUMPRODUCT(C116:L116,Base!$C$30:$L$30,Base!$C$31:$L$31)+L116*(1+g_base)/(wacc_base-g_base)*(1+wacc_base)^(-(fraccion+10-1))+ajuste_puente)/acciones_valor_base</f>
        <v/>
      </c>
      <c r="C116">
        <f>Base!$C$27*(1+$A116)^0</f>
        <v/>
      </c>
      <c r="D116">
        <f>Base!$C$27*(1+$A116)^1</f>
        <v/>
      </c>
      <c r="E116">
        <f>Base!$C$27*(1+$A116)^2</f>
        <v/>
      </c>
      <c r="F116">
        <f>Base!$C$27*(1+$A116)^3</f>
        <v/>
      </c>
      <c r="G116">
        <f>Base!$C$27*(1+$A116)^4</f>
        <v/>
      </c>
      <c r="H116">
        <f>Base!$C$27*(1+$A116)^5</f>
        <v/>
      </c>
      <c r="I116">
        <f>Base!$C$27*(1+$A116)^6</f>
        <v/>
      </c>
      <c r="J116">
        <f>Base!$C$27*(1+$A116)^7</f>
        <v/>
      </c>
      <c r="K116">
        <f>Base!$C$27*(1+$A116)^8</f>
        <v/>
      </c>
      <c r="L116">
        <f>Base!$C$27*(1+$A116)^9</f>
        <v/>
      </c>
    </row>
    <row r="117">
      <c r="A117" t="n">
        <v>0.6299999999999999</v>
      </c>
      <c r="B117">
        <f>(SUMPRODUCT(C117:L117,Base!$C$30:$L$30,Base!$C$31:$L$31)+L117*(1+g_base)/(wacc_base-g_base)*(1+wacc_base)^(-(fraccion+10-1))+ajuste_puente)/acciones_valor_base</f>
        <v/>
      </c>
      <c r="C117">
        <f>Base!$C$27*(1+$A117)^0</f>
        <v/>
      </c>
      <c r="D117">
        <f>Base!$C$27*(1+$A117)^1</f>
        <v/>
      </c>
      <c r="E117">
        <f>Base!$C$27*(1+$A117)^2</f>
        <v/>
      </c>
      <c r="F117">
        <f>Base!$C$27*(1+$A117)^3</f>
        <v/>
      </c>
      <c r="G117">
        <f>Base!$C$27*(1+$A117)^4</f>
        <v/>
      </c>
      <c r="H117">
        <f>Base!$C$27*(1+$A117)^5</f>
        <v/>
      </c>
      <c r="I117">
        <f>Base!$C$27*(1+$A117)^6</f>
        <v/>
      </c>
      <c r="J117">
        <f>Base!$C$27*(1+$A117)^7</f>
        <v/>
      </c>
      <c r="K117">
        <f>Base!$C$27*(1+$A117)^8</f>
        <v/>
      </c>
      <c r="L117">
        <f>Base!$C$27*(1+$A117)^9</f>
        <v/>
      </c>
    </row>
    <row r="118">
      <c r="A118" t="n">
        <v>0.6399999999999999</v>
      </c>
      <c r="B118">
        <f>(SUMPRODUCT(C118:L118,Base!$C$30:$L$30,Base!$C$31:$L$31)+L118*(1+g_base)/(wacc_base-g_base)*(1+wacc_base)^(-(fraccion+10-1))+ajuste_puente)/acciones_valor_base</f>
        <v/>
      </c>
      <c r="C118">
        <f>Base!$C$27*(1+$A118)^0</f>
        <v/>
      </c>
      <c r="D118">
        <f>Base!$C$27*(1+$A118)^1</f>
        <v/>
      </c>
      <c r="E118">
        <f>Base!$C$27*(1+$A118)^2</f>
        <v/>
      </c>
      <c r="F118">
        <f>Base!$C$27*(1+$A118)^3</f>
        <v/>
      </c>
      <c r="G118">
        <f>Base!$C$27*(1+$A118)^4</f>
        <v/>
      </c>
      <c r="H118">
        <f>Base!$C$27*(1+$A118)^5</f>
        <v/>
      </c>
      <c r="I118">
        <f>Base!$C$27*(1+$A118)^6</f>
        <v/>
      </c>
      <c r="J118">
        <f>Base!$C$27*(1+$A118)^7</f>
        <v/>
      </c>
      <c r="K118">
        <f>Base!$C$27*(1+$A118)^8</f>
        <v/>
      </c>
      <c r="L118">
        <f>Base!$C$27*(1+$A118)^9</f>
        <v/>
      </c>
    </row>
    <row r="119">
      <c r="A119" t="n">
        <v>0.6499999999999999</v>
      </c>
      <c r="B119">
        <f>(SUMPRODUCT(C119:L119,Base!$C$30:$L$30,Base!$C$31:$L$31)+L119*(1+g_base)/(wacc_base-g_base)*(1+wacc_base)^(-(fraccion+10-1))+ajuste_puente)/acciones_valor_base</f>
        <v/>
      </c>
      <c r="C119">
        <f>Base!$C$27*(1+$A119)^0</f>
        <v/>
      </c>
      <c r="D119">
        <f>Base!$C$27*(1+$A119)^1</f>
        <v/>
      </c>
      <c r="E119">
        <f>Base!$C$27*(1+$A119)^2</f>
        <v/>
      </c>
      <c r="F119">
        <f>Base!$C$27*(1+$A119)^3</f>
        <v/>
      </c>
      <c r="G119">
        <f>Base!$C$27*(1+$A119)^4</f>
        <v/>
      </c>
      <c r="H119">
        <f>Base!$C$27*(1+$A119)^5</f>
        <v/>
      </c>
      <c r="I119">
        <f>Base!$C$27*(1+$A119)^6</f>
        <v/>
      </c>
      <c r="J119">
        <f>Base!$C$27*(1+$A119)^7</f>
        <v/>
      </c>
      <c r="K119">
        <f>Base!$C$27*(1+$A119)^8</f>
        <v/>
      </c>
      <c r="L119">
        <f>Base!$C$27*(1+$A119)^9</f>
        <v/>
      </c>
    </row>
    <row r="120">
      <c r="A120" t="n">
        <v>0.6599999999999999</v>
      </c>
      <c r="B120">
        <f>(SUMPRODUCT(C120:L120,Base!$C$30:$L$30,Base!$C$31:$L$31)+L120*(1+g_base)/(wacc_base-g_base)*(1+wacc_base)^(-(fraccion+10-1))+ajuste_puente)/acciones_valor_base</f>
        <v/>
      </c>
      <c r="C120">
        <f>Base!$C$27*(1+$A120)^0</f>
        <v/>
      </c>
      <c r="D120">
        <f>Base!$C$27*(1+$A120)^1</f>
        <v/>
      </c>
      <c r="E120">
        <f>Base!$C$27*(1+$A120)^2</f>
        <v/>
      </c>
      <c r="F120">
        <f>Base!$C$27*(1+$A120)^3</f>
        <v/>
      </c>
      <c r="G120">
        <f>Base!$C$27*(1+$A120)^4</f>
        <v/>
      </c>
      <c r="H120">
        <f>Base!$C$27*(1+$A120)^5</f>
        <v/>
      </c>
      <c r="I120">
        <f>Base!$C$27*(1+$A120)^6</f>
        <v/>
      </c>
      <c r="J120">
        <f>Base!$C$27*(1+$A120)^7</f>
        <v/>
      </c>
      <c r="K120">
        <f>Base!$C$27*(1+$A120)^8</f>
        <v/>
      </c>
      <c r="L120">
        <f>Base!$C$27*(1+$A120)^9</f>
        <v/>
      </c>
    </row>
    <row r="121">
      <c r="A121" t="n">
        <v>0.6699999999999999</v>
      </c>
      <c r="B121">
        <f>(SUMPRODUCT(C121:L121,Base!$C$30:$L$30,Base!$C$31:$L$31)+L121*(1+g_base)/(wacc_base-g_base)*(1+wacc_base)^(-(fraccion+10-1))+ajuste_puente)/acciones_valor_base</f>
        <v/>
      </c>
      <c r="C121">
        <f>Base!$C$27*(1+$A121)^0</f>
        <v/>
      </c>
      <c r="D121">
        <f>Base!$C$27*(1+$A121)^1</f>
        <v/>
      </c>
      <c r="E121">
        <f>Base!$C$27*(1+$A121)^2</f>
        <v/>
      </c>
      <c r="F121">
        <f>Base!$C$27*(1+$A121)^3</f>
        <v/>
      </c>
      <c r="G121">
        <f>Base!$C$27*(1+$A121)^4</f>
        <v/>
      </c>
      <c r="H121">
        <f>Base!$C$27*(1+$A121)^5</f>
        <v/>
      </c>
      <c r="I121">
        <f>Base!$C$27*(1+$A121)^6</f>
        <v/>
      </c>
      <c r="J121">
        <f>Base!$C$27*(1+$A121)^7</f>
        <v/>
      </c>
      <c r="K121">
        <f>Base!$C$27*(1+$A121)^8</f>
        <v/>
      </c>
      <c r="L121">
        <f>Base!$C$27*(1+$A121)^9</f>
        <v/>
      </c>
    </row>
    <row r="122">
      <c r="A122" t="n">
        <v>0.6799999999999999</v>
      </c>
      <c r="B122">
        <f>(SUMPRODUCT(C122:L122,Base!$C$30:$L$30,Base!$C$31:$L$31)+L122*(1+g_base)/(wacc_base-g_base)*(1+wacc_base)^(-(fraccion+10-1))+ajuste_puente)/acciones_valor_base</f>
        <v/>
      </c>
      <c r="C122">
        <f>Base!$C$27*(1+$A122)^0</f>
        <v/>
      </c>
      <c r="D122">
        <f>Base!$C$27*(1+$A122)^1</f>
        <v/>
      </c>
      <c r="E122">
        <f>Base!$C$27*(1+$A122)^2</f>
        <v/>
      </c>
      <c r="F122">
        <f>Base!$C$27*(1+$A122)^3</f>
        <v/>
      </c>
      <c r="G122">
        <f>Base!$C$27*(1+$A122)^4</f>
        <v/>
      </c>
      <c r="H122">
        <f>Base!$C$27*(1+$A122)^5</f>
        <v/>
      </c>
      <c r="I122">
        <f>Base!$C$27*(1+$A122)^6</f>
        <v/>
      </c>
      <c r="J122">
        <f>Base!$C$27*(1+$A122)^7</f>
        <v/>
      </c>
      <c r="K122">
        <f>Base!$C$27*(1+$A122)^8</f>
        <v/>
      </c>
      <c r="L122">
        <f>Base!$C$27*(1+$A122)^9</f>
        <v/>
      </c>
    </row>
    <row r="123">
      <c r="A123" t="n">
        <v>0.6899999999999999</v>
      </c>
      <c r="B123">
        <f>(SUMPRODUCT(C123:L123,Base!$C$30:$L$30,Base!$C$31:$L$31)+L123*(1+g_base)/(wacc_base-g_base)*(1+wacc_base)^(-(fraccion+10-1))+ajuste_puente)/acciones_valor_base</f>
        <v/>
      </c>
      <c r="C123">
        <f>Base!$C$27*(1+$A123)^0</f>
        <v/>
      </c>
      <c r="D123">
        <f>Base!$C$27*(1+$A123)^1</f>
        <v/>
      </c>
      <c r="E123">
        <f>Base!$C$27*(1+$A123)^2</f>
        <v/>
      </c>
      <c r="F123">
        <f>Base!$C$27*(1+$A123)^3</f>
        <v/>
      </c>
      <c r="G123">
        <f>Base!$C$27*(1+$A123)^4</f>
        <v/>
      </c>
      <c r="H123">
        <f>Base!$C$27*(1+$A123)^5</f>
        <v/>
      </c>
      <c r="I123">
        <f>Base!$C$27*(1+$A123)^6</f>
        <v/>
      </c>
      <c r="J123">
        <f>Base!$C$27*(1+$A123)^7</f>
        <v/>
      </c>
      <c r="K123">
        <f>Base!$C$27*(1+$A123)^8</f>
        <v/>
      </c>
      <c r="L123">
        <f>Base!$C$27*(1+$A123)^9</f>
        <v/>
      </c>
    </row>
    <row r="124">
      <c r="A124" t="n">
        <v>0.7</v>
      </c>
      <c r="B124">
        <f>(SUMPRODUCT(C124:L124,Base!$C$30:$L$30,Base!$C$31:$L$31)+L124*(1+g_base)/(wacc_base-g_base)*(1+wacc_base)^(-(fraccion+10-1))+ajuste_puente)/acciones_valor_base</f>
        <v/>
      </c>
      <c r="C124">
        <f>Base!$C$27*(1+$A124)^0</f>
        <v/>
      </c>
      <c r="D124">
        <f>Base!$C$27*(1+$A124)^1</f>
        <v/>
      </c>
      <c r="E124">
        <f>Base!$C$27*(1+$A124)^2</f>
        <v/>
      </c>
      <c r="F124">
        <f>Base!$C$27*(1+$A124)^3</f>
        <v/>
      </c>
      <c r="G124">
        <f>Base!$C$27*(1+$A124)^4</f>
        <v/>
      </c>
      <c r="H124">
        <f>Base!$C$27*(1+$A124)^5</f>
        <v/>
      </c>
      <c r="I124">
        <f>Base!$C$27*(1+$A124)^6</f>
        <v/>
      </c>
      <c r="J124">
        <f>Base!$C$27*(1+$A124)^7</f>
        <v/>
      </c>
      <c r="K124">
        <f>Base!$C$27*(1+$A124)^8</f>
        <v/>
      </c>
      <c r="L124">
        <f>Base!$C$27*(1+$A124)^9</f>
        <v/>
      </c>
    </row>
    <row r="125">
      <c r="A125" t="n">
        <v>0.71</v>
      </c>
      <c r="B125">
        <f>(SUMPRODUCT(C125:L125,Base!$C$30:$L$30,Base!$C$31:$L$31)+L125*(1+g_base)/(wacc_base-g_base)*(1+wacc_base)^(-(fraccion+10-1))+ajuste_puente)/acciones_valor_base</f>
        <v/>
      </c>
      <c r="C125">
        <f>Base!$C$27*(1+$A125)^0</f>
        <v/>
      </c>
      <c r="D125">
        <f>Base!$C$27*(1+$A125)^1</f>
        <v/>
      </c>
      <c r="E125">
        <f>Base!$C$27*(1+$A125)^2</f>
        <v/>
      </c>
      <c r="F125">
        <f>Base!$C$27*(1+$A125)^3</f>
        <v/>
      </c>
      <c r="G125">
        <f>Base!$C$27*(1+$A125)^4</f>
        <v/>
      </c>
      <c r="H125">
        <f>Base!$C$27*(1+$A125)^5</f>
        <v/>
      </c>
      <c r="I125">
        <f>Base!$C$27*(1+$A125)^6</f>
        <v/>
      </c>
      <c r="J125">
        <f>Base!$C$27*(1+$A125)^7</f>
        <v/>
      </c>
      <c r="K125">
        <f>Base!$C$27*(1+$A125)^8</f>
        <v/>
      </c>
      <c r="L125">
        <f>Base!$C$27*(1+$A125)^9</f>
        <v/>
      </c>
    </row>
    <row r="126">
      <c r="A126" t="n">
        <v>0.72</v>
      </c>
      <c r="B126">
        <f>(SUMPRODUCT(C126:L126,Base!$C$30:$L$30,Base!$C$31:$L$31)+L126*(1+g_base)/(wacc_base-g_base)*(1+wacc_base)^(-(fraccion+10-1))+ajuste_puente)/acciones_valor_base</f>
        <v/>
      </c>
      <c r="C126">
        <f>Base!$C$27*(1+$A126)^0</f>
        <v/>
      </c>
      <c r="D126">
        <f>Base!$C$27*(1+$A126)^1</f>
        <v/>
      </c>
      <c r="E126">
        <f>Base!$C$27*(1+$A126)^2</f>
        <v/>
      </c>
      <c r="F126">
        <f>Base!$C$27*(1+$A126)^3</f>
        <v/>
      </c>
      <c r="G126">
        <f>Base!$C$27*(1+$A126)^4</f>
        <v/>
      </c>
      <c r="H126">
        <f>Base!$C$27*(1+$A126)^5</f>
        <v/>
      </c>
      <c r="I126">
        <f>Base!$C$27*(1+$A126)^6</f>
        <v/>
      </c>
      <c r="J126">
        <f>Base!$C$27*(1+$A126)^7</f>
        <v/>
      </c>
      <c r="K126">
        <f>Base!$C$27*(1+$A126)^8</f>
        <v/>
      </c>
      <c r="L126">
        <f>Base!$C$27*(1+$A126)^9</f>
        <v/>
      </c>
    </row>
    <row r="127">
      <c r="A127" t="n">
        <v>0.73</v>
      </c>
      <c r="B127">
        <f>(SUMPRODUCT(C127:L127,Base!$C$30:$L$30,Base!$C$31:$L$31)+L127*(1+g_base)/(wacc_base-g_base)*(1+wacc_base)^(-(fraccion+10-1))+ajuste_puente)/acciones_valor_base</f>
        <v/>
      </c>
      <c r="C127">
        <f>Base!$C$27*(1+$A127)^0</f>
        <v/>
      </c>
      <c r="D127">
        <f>Base!$C$27*(1+$A127)^1</f>
        <v/>
      </c>
      <c r="E127">
        <f>Base!$C$27*(1+$A127)^2</f>
        <v/>
      </c>
      <c r="F127">
        <f>Base!$C$27*(1+$A127)^3</f>
        <v/>
      </c>
      <c r="G127">
        <f>Base!$C$27*(1+$A127)^4</f>
        <v/>
      </c>
      <c r="H127">
        <f>Base!$C$27*(1+$A127)^5</f>
        <v/>
      </c>
      <c r="I127">
        <f>Base!$C$27*(1+$A127)^6</f>
        <v/>
      </c>
      <c r="J127">
        <f>Base!$C$27*(1+$A127)^7</f>
        <v/>
      </c>
      <c r="K127">
        <f>Base!$C$27*(1+$A127)^8</f>
        <v/>
      </c>
      <c r="L127">
        <f>Base!$C$27*(1+$A127)^9</f>
        <v/>
      </c>
    </row>
    <row r="128">
      <c r="A128" t="n">
        <v>0.74</v>
      </c>
      <c r="B128">
        <f>(SUMPRODUCT(C128:L128,Base!$C$30:$L$30,Base!$C$31:$L$31)+L128*(1+g_base)/(wacc_base-g_base)*(1+wacc_base)^(-(fraccion+10-1))+ajuste_puente)/acciones_valor_base</f>
        <v/>
      </c>
      <c r="C128">
        <f>Base!$C$27*(1+$A128)^0</f>
        <v/>
      </c>
      <c r="D128">
        <f>Base!$C$27*(1+$A128)^1</f>
        <v/>
      </c>
      <c r="E128">
        <f>Base!$C$27*(1+$A128)^2</f>
        <v/>
      </c>
      <c r="F128">
        <f>Base!$C$27*(1+$A128)^3</f>
        <v/>
      </c>
      <c r="G128">
        <f>Base!$C$27*(1+$A128)^4</f>
        <v/>
      </c>
      <c r="H128">
        <f>Base!$C$27*(1+$A128)^5</f>
        <v/>
      </c>
      <c r="I128">
        <f>Base!$C$27*(1+$A128)^6</f>
        <v/>
      </c>
      <c r="J128">
        <f>Base!$C$27*(1+$A128)^7</f>
        <v/>
      </c>
      <c r="K128">
        <f>Base!$C$27*(1+$A128)^8</f>
        <v/>
      </c>
      <c r="L128">
        <f>Base!$C$27*(1+$A128)^9</f>
        <v/>
      </c>
    </row>
    <row r="129">
      <c r="A129" t="n">
        <v>0.75</v>
      </c>
      <c r="B129">
        <f>(SUMPRODUCT(C129:L129,Base!$C$30:$L$30,Base!$C$31:$L$31)+L129*(1+g_base)/(wacc_base-g_base)*(1+wacc_base)^(-(fraccion+10-1))+ajuste_puente)/acciones_valor_base</f>
        <v/>
      </c>
      <c r="C129">
        <f>Base!$C$27*(1+$A129)^0</f>
        <v/>
      </c>
      <c r="D129">
        <f>Base!$C$27*(1+$A129)^1</f>
        <v/>
      </c>
      <c r="E129">
        <f>Base!$C$27*(1+$A129)^2</f>
        <v/>
      </c>
      <c r="F129">
        <f>Base!$C$27*(1+$A129)^3</f>
        <v/>
      </c>
      <c r="G129">
        <f>Base!$C$27*(1+$A129)^4</f>
        <v/>
      </c>
      <c r="H129">
        <f>Base!$C$27*(1+$A129)^5</f>
        <v/>
      </c>
      <c r="I129">
        <f>Base!$C$27*(1+$A129)^6</f>
        <v/>
      </c>
      <c r="J129">
        <f>Base!$C$27*(1+$A129)^7</f>
        <v/>
      </c>
      <c r="K129">
        <f>Base!$C$27*(1+$A129)^8</f>
        <v/>
      </c>
      <c r="L129">
        <f>Base!$C$27*(1+$A129)^9</f>
        <v/>
      </c>
    </row>
    <row r="130">
      <c r="A130" t="n">
        <v>0.76</v>
      </c>
      <c r="B130">
        <f>(SUMPRODUCT(C130:L130,Base!$C$30:$L$30,Base!$C$31:$L$31)+L130*(1+g_base)/(wacc_base-g_base)*(1+wacc_base)^(-(fraccion+10-1))+ajuste_puente)/acciones_valor_base</f>
        <v/>
      </c>
      <c r="C130">
        <f>Base!$C$27*(1+$A130)^0</f>
        <v/>
      </c>
      <c r="D130">
        <f>Base!$C$27*(1+$A130)^1</f>
        <v/>
      </c>
      <c r="E130">
        <f>Base!$C$27*(1+$A130)^2</f>
        <v/>
      </c>
      <c r="F130">
        <f>Base!$C$27*(1+$A130)^3</f>
        <v/>
      </c>
      <c r="G130">
        <f>Base!$C$27*(1+$A130)^4</f>
        <v/>
      </c>
      <c r="H130">
        <f>Base!$C$27*(1+$A130)^5</f>
        <v/>
      </c>
      <c r="I130">
        <f>Base!$C$27*(1+$A130)^6</f>
        <v/>
      </c>
      <c r="J130">
        <f>Base!$C$27*(1+$A130)^7</f>
        <v/>
      </c>
      <c r="K130">
        <f>Base!$C$27*(1+$A130)^8</f>
        <v/>
      </c>
      <c r="L130">
        <f>Base!$C$27*(1+$A130)^9</f>
        <v/>
      </c>
    </row>
    <row r="131">
      <c r="A131" t="n">
        <v>0.77</v>
      </c>
      <c r="B131">
        <f>(SUMPRODUCT(C131:L131,Base!$C$30:$L$30,Base!$C$31:$L$31)+L131*(1+g_base)/(wacc_base-g_base)*(1+wacc_base)^(-(fraccion+10-1))+ajuste_puente)/acciones_valor_base</f>
        <v/>
      </c>
      <c r="C131">
        <f>Base!$C$27*(1+$A131)^0</f>
        <v/>
      </c>
      <c r="D131">
        <f>Base!$C$27*(1+$A131)^1</f>
        <v/>
      </c>
      <c r="E131">
        <f>Base!$C$27*(1+$A131)^2</f>
        <v/>
      </c>
      <c r="F131">
        <f>Base!$C$27*(1+$A131)^3</f>
        <v/>
      </c>
      <c r="G131">
        <f>Base!$C$27*(1+$A131)^4</f>
        <v/>
      </c>
      <c r="H131">
        <f>Base!$C$27*(1+$A131)^5</f>
        <v/>
      </c>
      <c r="I131">
        <f>Base!$C$27*(1+$A131)^6</f>
        <v/>
      </c>
      <c r="J131">
        <f>Base!$C$27*(1+$A131)^7</f>
        <v/>
      </c>
      <c r="K131">
        <f>Base!$C$27*(1+$A131)^8</f>
        <v/>
      </c>
      <c r="L131">
        <f>Base!$C$27*(1+$A131)^9</f>
        <v/>
      </c>
    </row>
    <row r="132">
      <c r="A132" t="n">
        <v>0.78</v>
      </c>
      <c r="B132">
        <f>(SUMPRODUCT(C132:L132,Base!$C$30:$L$30,Base!$C$31:$L$31)+L132*(1+g_base)/(wacc_base-g_base)*(1+wacc_base)^(-(fraccion+10-1))+ajuste_puente)/acciones_valor_base</f>
        <v/>
      </c>
      <c r="C132">
        <f>Base!$C$27*(1+$A132)^0</f>
        <v/>
      </c>
      <c r="D132">
        <f>Base!$C$27*(1+$A132)^1</f>
        <v/>
      </c>
      <c r="E132">
        <f>Base!$C$27*(1+$A132)^2</f>
        <v/>
      </c>
      <c r="F132">
        <f>Base!$C$27*(1+$A132)^3</f>
        <v/>
      </c>
      <c r="G132">
        <f>Base!$C$27*(1+$A132)^4</f>
        <v/>
      </c>
      <c r="H132">
        <f>Base!$C$27*(1+$A132)^5</f>
        <v/>
      </c>
      <c r="I132">
        <f>Base!$C$27*(1+$A132)^6</f>
        <v/>
      </c>
      <c r="J132">
        <f>Base!$C$27*(1+$A132)^7</f>
        <v/>
      </c>
      <c r="K132">
        <f>Base!$C$27*(1+$A132)^8</f>
        <v/>
      </c>
      <c r="L132">
        <f>Base!$C$27*(1+$A132)^9</f>
        <v/>
      </c>
    </row>
    <row r="133">
      <c r="A133" t="n">
        <v>0.79</v>
      </c>
      <c r="B133">
        <f>(SUMPRODUCT(C133:L133,Base!$C$30:$L$30,Base!$C$31:$L$31)+L133*(1+g_base)/(wacc_base-g_base)*(1+wacc_base)^(-(fraccion+10-1))+ajuste_puente)/acciones_valor_base</f>
        <v/>
      </c>
      <c r="C133">
        <f>Base!$C$27*(1+$A133)^0</f>
        <v/>
      </c>
      <c r="D133">
        <f>Base!$C$27*(1+$A133)^1</f>
        <v/>
      </c>
      <c r="E133">
        <f>Base!$C$27*(1+$A133)^2</f>
        <v/>
      </c>
      <c r="F133">
        <f>Base!$C$27*(1+$A133)^3</f>
        <v/>
      </c>
      <c r="G133">
        <f>Base!$C$27*(1+$A133)^4</f>
        <v/>
      </c>
      <c r="H133">
        <f>Base!$C$27*(1+$A133)^5</f>
        <v/>
      </c>
      <c r="I133">
        <f>Base!$C$27*(1+$A133)^6</f>
        <v/>
      </c>
      <c r="J133">
        <f>Base!$C$27*(1+$A133)^7</f>
        <v/>
      </c>
      <c r="K133">
        <f>Base!$C$27*(1+$A133)^8</f>
        <v/>
      </c>
      <c r="L133">
        <f>Base!$C$27*(1+$A133)^9</f>
        <v/>
      </c>
    </row>
    <row r="134">
      <c r="A134" t="n">
        <v>0.8</v>
      </c>
      <c r="B134">
        <f>(SUMPRODUCT(C134:L134,Base!$C$30:$L$30,Base!$C$31:$L$31)+L134*(1+g_base)/(wacc_base-g_base)*(1+wacc_base)^(-(fraccion+10-1))+ajuste_puente)/acciones_valor_base</f>
        <v/>
      </c>
      <c r="C134">
        <f>Base!$C$27*(1+$A134)^0</f>
        <v/>
      </c>
      <c r="D134">
        <f>Base!$C$27*(1+$A134)^1</f>
        <v/>
      </c>
      <c r="E134">
        <f>Base!$C$27*(1+$A134)^2</f>
        <v/>
      </c>
      <c r="F134">
        <f>Base!$C$27*(1+$A134)^3</f>
        <v/>
      </c>
      <c r="G134">
        <f>Base!$C$27*(1+$A134)^4</f>
        <v/>
      </c>
      <c r="H134">
        <f>Base!$C$27*(1+$A134)^5</f>
        <v/>
      </c>
      <c r="I134">
        <f>Base!$C$27*(1+$A134)^6</f>
        <v/>
      </c>
      <c r="J134">
        <f>Base!$C$27*(1+$A134)^7</f>
        <v/>
      </c>
      <c r="K134">
        <f>Base!$C$27*(1+$A134)^8</f>
        <v/>
      </c>
      <c r="L134">
        <f>Base!$C$27*(1+$A134)^9</f>
        <v/>
      </c>
    </row>
    <row r="135">
      <c r="A135" t="n">
        <v>0.8100000000000001</v>
      </c>
      <c r="B135">
        <f>(SUMPRODUCT(C135:L135,Base!$C$30:$L$30,Base!$C$31:$L$31)+L135*(1+g_base)/(wacc_base-g_base)*(1+wacc_base)^(-(fraccion+10-1))+ajuste_puente)/acciones_valor_base</f>
        <v/>
      </c>
      <c r="C135">
        <f>Base!$C$27*(1+$A135)^0</f>
        <v/>
      </c>
      <c r="D135">
        <f>Base!$C$27*(1+$A135)^1</f>
        <v/>
      </c>
      <c r="E135">
        <f>Base!$C$27*(1+$A135)^2</f>
        <v/>
      </c>
      <c r="F135">
        <f>Base!$C$27*(1+$A135)^3</f>
        <v/>
      </c>
      <c r="G135">
        <f>Base!$C$27*(1+$A135)^4</f>
        <v/>
      </c>
      <c r="H135">
        <f>Base!$C$27*(1+$A135)^5</f>
        <v/>
      </c>
      <c r="I135">
        <f>Base!$C$27*(1+$A135)^6</f>
        <v/>
      </c>
      <c r="J135">
        <f>Base!$C$27*(1+$A135)^7</f>
        <v/>
      </c>
      <c r="K135">
        <f>Base!$C$27*(1+$A135)^8</f>
        <v/>
      </c>
      <c r="L135">
        <f>Base!$C$27*(1+$A135)^9</f>
        <v/>
      </c>
    </row>
    <row r="136">
      <c r="A136" t="n">
        <v>0.8200000000000001</v>
      </c>
      <c r="B136">
        <f>(SUMPRODUCT(C136:L136,Base!$C$30:$L$30,Base!$C$31:$L$31)+L136*(1+g_base)/(wacc_base-g_base)*(1+wacc_base)^(-(fraccion+10-1))+ajuste_puente)/acciones_valor_base</f>
        <v/>
      </c>
      <c r="C136">
        <f>Base!$C$27*(1+$A136)^0</f>
        <v/>
      </c>
      <c r="D136">
        <f>Base!$C$27*(1+$A136)^1</f>
        <v/>
      </c>
      <c r="E136">
        <f>Base!$C$27*(1+$A136)^2</f>
        <v/>
      </c>
      <c r="F136">
        <f>Base!$C$27*(1+$A136)^3</f>
        <v/>
      </c>
      <c r="G136">
        <f>Base!$C$27*(1+$A136)^4</f>
        <v/>
      </c>
      <c r="H136">
        <f>Base!$C$27*(1+$A136)^5</f>
        <v/>
      </c>
      <c r="I136">
        <f>Base!$C$27*(1+$A136)^6</f>
        <v/>
      </c>
      <c r="J136">
        <f>Base!$C$27*(1+$A136)^7</f>
        <v/>
      </c>
      <c r="K136">
        <f>Base!$C$27*(1+$A136)^8</f>
        <v/>
      </c>
      <c r="L136">
        <f>Base!$C$27*(1+$A136)^9</f>
        <v/>
      </c>
    </row>
    <row r="137">
      <c r="A137" t="n">
        <v>0.8300000000000001</v>
      </c>
      <c r="B137">
        <f>(SUMPRODUCT(C137:L137,Base!$C$30:$L$30,Base!$C$31:$L$31)+L137*(1+g_base)/(wacc_base-g_base)*(1+wacc_base)^(-(fraccion+10-1))+ajuste_puente)/acciones_valor_base</f>
        <v/>
      </c>
      <c r="C137">
        <f>Base!$C$27*(1+$A137)^0</f>
        <v/>
      </c>
      <c r="D137">
        <f>Base!$C$27*(1+$A137)^1</f>
        <v/>
      </c>
      <c r="E137">
        <f>Base!$C$27*(1+$A137)^2</f>
        <v/>
      </c>
      <c r="F137">
        <f>Base!$C$27*(1+$A137)^3</f>
        <v/>
      </c>
      <c r="G137">
        <f>Base!$C$27*(1+$A137)^4</f>
        <v/>
      </c>
      <c r="H137">
        <f>Base!$C$27*(1+$A137)^5</f>
        <v/>
      </c>
      <c r="I137">
        <f>Base!$C$27*(1+$A137)^6</f>
        <v/>
      </c>
      <c r="J137">
        <f>Base!$C$27*(1+$A137)^7</f>
        <v/>
      </c>
      <c r="K137">
        <f>Base!$C$27*(1+$A137)^8</f>
        <v/>
      </c>
      <c r="L137">
        <f>Base!$C$27*(1+$A137)^9</f>
        <v/>
      </c>
    </row>
    <row r="138">
      <c r="A138" t="n">
        <v>0.8400000000000001</v>
      </c>
      <c r="B138">
        <f>(SUMPRODUCT(C138:L138,Base!$C$30:$L$30,Base!$C$31:$L$31)+L138*(1+g_base)/(wacc_base-g_base)*(1+wacc_base)^(-(fraccion+10-1))+ajuste_puente)/acciones_valor_base</f>
        <v/>
      </c>
      <c r="C138">
        <f>Base!$C$27*(1+$A138)^0</f>
        <v/>
      </c>
      <c r="D138">
        <f>Base!$C$27*(1+$A138)^1</f>
        <v/>
      </c>
      <c r="E138">
        <f>Base!$C$27*(1+$A138)^2</f>
        <v/>
      </c>
      <c r="F138">
        <f>Base!$C$27*(1+$A138)^3</f>
        <v/>
      </c>
      <c r="G138">
        <f>Base!$C$27*(1+$A138)^4</f>
        <v/>
      </c>
      <c r="H138">
        <f>Base!$C$27*(1+$A138)^5</f>
        <v/>
      </c>
      <c r="I138">
        <f>Base!$C$27*(1+$A138)^6</f>
        <v/>
      </c>
      <c r="J138">
        <f>Base!$C$27*(1+$A138)^7</f>
        <v/>
      </c>
      <c r="K138">
        <f>Base!$C$27*(1+$A138)^8</f>
        <v/>
      </c>
      <c r="L138">
        <f>Base!$C$27*(1+$A138)^9</f>
        <v/>
      </c>
    </row>
    <row r="139">
      <c r="A139" t="n">
        <v>0.8500000000000001</v>
      </c>
      <c r="B139">
        <f>(SUMPRODUCT(C139:L139,Base!$C$30:$L$30,Base!$C$31:$L$31)+L139*(1+g_base)/(wacc_base-g_base)*(1+wacc_base)^(-(fraccion+10-1))+ajuste_puente)/acciones_valor_base</f>
        <v/>
      </c>
      <c r="C139">
        <f>Base!$C$27*(1+$A139)^0</f>
        <v/>
      </c>
      <c r="D139">
        <f>Base!$C$27*(1+$A139)^1</f>
        <v/>
      </c>
      <c r="E139">
        <f>Base!$C$27*(1+$A139)^2</f>
        <v/>
      </c>
      <c r="F139">
        <f>Base!$C$27*(1+$A139)^3</f>
        <v/>
      </c>
      <c r="G139">
        <f>Base!$C$27*(1+$A139)^4</f>
        <v/>
      </c>
      <c r="H139">
        <f>Base!$C$27*(1+$A139)^5</f>
        <v/>
      </c>
      <c r="I139">
        <f>Base!$C$27*(1+$A139)^6</f>
        <v/>
      </c>
      <c r="J139">
        <f>Base!$C$27*(1+$A139)^7</f>
        <v/>
      </c>
      <c r="K139">
        <f>Base!$C$27*(1+$A139)^8</f>
        <v/>
      </c>
      <c r="L139">
        <f>Base!$C$27*(1+$A139)^9</f>
        <v/>
      </c>
    </row>
    <row r="140">
      <c r="A140" t="n">
        <v>0.8600000000000001</v>
      </c>
      <c r="B140">
        <f>(SUMPRODUCT(C140:L140,Base!$C$30:$L$30,Base!$C$31:$L$31)+L140*(1+g_base)/(wacc_base-g_base)*(1+wacc_base)^(-(fraccion+10-1))+ajuste_puente)/acciones_valor_base</f>
        <v/>
      </c>
      <c r="C140">
        <f>Base!$C$27*(1+$A140)^0</f>
        <v/>
      </c>
      <c r="D140">
        <f>Base!$C$27*(1+$A140)^1</f>
        <v/>
      </c>
      <c r="E140">
        <f>Base!$C$27*(1+$A140)^2</f>
        <v/>
      </c>
      <c r="F140">
        <f>Base!$C$27*(1+$A140)^3</f>
        <v/>
      </c>
      <c r="G140">
        <f>Base!$C$27*(1+$A140)^4</f>
        <v/>
      </c>
      <c r="H140">
        <f>Base!$C$27*(1+$A140)^5</f>
        <v/>
      </c>
      <c r="I140">
        <f>Base!$C$27*(1+$A140)^6</f>
        <v/>
      </c>
      <c r="J140">
        <f>Base!$C$27*(1+$A140)^7</f>
        <v/>
      </c>
      <c r="K140">
        <f>Base!$C$27*(1+$A140)^8</f>
        <v/>
      </c>
      <c r="L140">
        <f>Base!$C$27*(1+$A140)^9</f>
        <v/>
      </c>
    </row>
    <row r="141">
      <c r="A141" t="n">
        <v>0.8700000000000001</v>
      </c>
      <c r="B141">
        <f>(SUMPRODUCT(C141:L141,Base!$C$30:$L$30,Base!$C$31:$L$31)+L141*(1+g_base)/(wacc_base-g_base)*(1+wacc_base)^(-(fraccion+10-1))+ajuste_puente)/acciones_valor_base</f>
        <v/>
      </c>
      <c r="C141">
        <f>Base!$C$27*(1+$A141)^0</f>
        <v/>
      </c>
      <c r="D141">
        <f>Base!$C$27*(1+$A141)^1</f>
        <v/>
      </c>
      <c r="E141">
        <f>Base!$C$27*(1+$A141)^2</f>
        <v/>
      </c>
      <c r="F141">
        <f>Base!$C$27*(1+$A141)^3</f>
        <v/>
      </c>
      <c r="G141">
        <f>Base!$C$27*(1+$A141)^4</f>
        <v/>
      </c>
      <c r="H141">
        <f>Base!$C$27*(1+$A141)^5</f>
        <v/>
      </c>
      <c r="I141">
        <f>Base!$C$27*(1+$A141)^6</f>
        <v/>
      </c>
      <c r="J141">
        <f>Base!$C$27*(1+$A141)^7</f>
        <v/>
      </c>
      <c r="K141">
        <f>Base!$C$27*(1+$A141)^8</f>
        <v/>
      </c>
      <c r="L141">
        <f>Base!$C$27*(1+$A141)^9</f>
        <v/>
      </c>
    </row>
    <row r="142">
      <c r="A142" t="n">
        <v>0.8799999999999999</v>
      </c>
      <c r="B142">
        <f>(SUMPRODUCT(C142:L142,Base!$C$30:$L$30,Base!$C$31:$L$31)+L142*(1+g_base)/(wacc_base-g_base)*(1+wacc_base)^(-(fraccion+10-1))+ajuste_puente)/acciones_valor_base</f>
        <v/>
      </c>
      <c r="C142">
        <f>Base!$C$27*(1+$A142)^0</f>
        <v/>
      </c>
      <c r="D142">
        <f>Base!$C$27*(1+$A142)^1</f>
        <v/>
      </c>
      <c r="E142">
        <f>Base!$C$27*(1+$A142)^2</f>
        <v/>
      </c>
      <c r="F142">
        <f>Base!$C$27*(1+$A142)^3</f>
        <v/>
      </c>
      <c r="G142">
        <f>Base!$C$27*(1+$A142)^4</f>
        <v/>
      </c>
      <c r="H142">
        <f>Base!$C$27*(1+$A142)^5</f>
        <v/>
      </c>
      <c r="I142">
        <f>Base!$C$27*(1+$A142)^6</f>
        <v/>
      </c>
      <c r="J142">
        <f>Base!$C$27*(1+$A142)^7</f>
        <v/>
      </c>
      <c r="K142">
        <f>Base!$C$27*(1+$A142)^8</f>
        <v/>
      </c>
      <c r="L142">
        <f>Base!$C$27*(1+$A142)^9</f>
        <v/>
      </c>
    </row>
    <row r="143">
      <c r="A143" t="n">
        <v>0.8899999999999999</v>
      </c>
      <c r="B143">
        <f>(SUMPRODUCT(C143:L143,Base!$C$30:$L$30,Base!$C$31:$L$31)+L143*(1+g_base)/(wacc_base-g_base)*(1+wacc_base)^(-(fraccion+10-1))+ajuste_puente)/acciones_valor_base</f>
        <v/>
      </c>
      <c r="C143">
        <f>Base!$C$27*(1+$A143)^0</f>
        <v/>
      </c>
      <c r="D143">
        <f>Base!$C$27*(1+$A143)^1</f>
        <v/>
      </c>
      <c r="E143">
        <f>Base!$C$27*(1+$A143)^2</f>
        <v/>
      </c>
      <c r="F143">
        <f>Base!$C$27*(1+$A143)^3</f>
        <v/>
      </c>
      <c r="G143">
        <f>Base!$C$27*(1+$A143)^4</f>
        <v/>
      </c>
      <c r="H143">
        <f>Base!$C$27*(1+$A143)^5</f>
        <v/>
      </c>
      <c r="I143">
        <f>Base!$C$27*(1+$A143)^6</f>
        <v/>
      </c>
      <c r="J143">
        <f>Base!$C$27*(1+$A143)^7</f>
        <v/>
      </c>
      <c r="K143">
        <f>Base!$C$27*(1+$A143)^8</f>
        <v/>
      </c>
      <c r="L143">
        <f>Base!$C$27*(1+$A143)^9</f>
        <v/>
      </c>
    </row>
    <row r="144">
      <c r="A144" t="n">
        <v>0.8999999999999999</v>
      </c>
      <c r="B144">
        <f>(SUMPRODUCT(C144:L144,Base!$C$30:$L$30,Base!$C$31:$L$31)+L144*(1+g_base)/(wacc_base-g_base)*(1+wacc_base)^(-(fraccion+10-1))+ajuste_puente)/acciones_valor_base</f>
        <v/>
      </c>
      <c r="C144">
        <f>Base!$C$27*(1+$A144)^0</f>
        <v/>
      </c>
      <c r="D144">
        <f>Base!$C$27*(1+$A144)^1</f>
        <v/>
      </c>
      <c r="E144">
        <f>Base!$C$27*(1+$A144)^2</f>
        <v/>
      </c>
      <c r="F144">
        <f>Base!$C$27*(1+$A144)^3</f>
        <v/>
      </c>
      <c r="G144">
        <f>Base!$C$27*(1+$A144)^4</f>
        <v/>
      </c>
      <c r="H144">
        <f>Base!$C$27*(1+$A144)^5</f>
        <v/>
      </c>
      <c r="I144">
        <f>Base!$C$27*(1+$A144)^6</f>
        <v/>
      </c>
      <c r="J144">
        <f>Base!$C$27*(1+$A144)^7</f>
        <v/>
      </c>
      <c r="K144">
        <f>Base!$C$27*(1+$A144)^8</f>
        <v/>
      </c>
      <c r="L144">
        <f>Base!$C$27*(1+$A144)^9</f>
        <v/>
      </c>
    </row>
    <row r="145">
      <c r="A145" t="n">
        <v>0.9099999999999999</v>
      </c>
      <c r="B145">
        <f>(SUMPRODUCT(C145:L145,Base!$C$30:$L$30,Base!$C$31:$L$31)+L145*(1+g_base)/(wacc_base-g_base)*(1+wacc_base)^(-(fraccion+10-1))+ajuste_puente)/acciones_valor_base</f>
        <v/>
      </c>
      <c r="C145">
        <f>Base!$C$27*(1+$A145)^0</f>
        <v/>
      </c>
      <c r="D145">
        <f>Base!$C$27*(1+$A145)^1</f>
        <v/>
      </c>
      <c r="E145">
        <f>Base!$C$27*(1+$A145)^2</f>
        <v/>
      </c>
      <c r="F145">
        <f>Base!$C$27*(1+$A145)^3</f>
        <v/>
      </c>
      <c r="G145">
        <f>Base!$C$27*(1+$A145)^4</f>
        <v/>
      </c>
      <c r="H145">
        <f>Base!$C$27*(1+$A145)^5</f>
        <v/>
      </c>
      <c r="I145">
        <f>Base!$C$27*(1+$A145)^6</f>
        <v/>
      </c>
      <c r="J145">
        <f>Base!$C$27*(1+$A145)^7</f>
        <v/>
      </c>
      <c r="K145">
        <f>Base!$C$27*(1+$A145)^8</f>
        <v/>
      </c>
      <c r="L145">
        <f>Base!$C$27*(1+$A145)^9</f>
        <v/>
      </c>
    </row>
    <row r="146">
      <c r="A146" t="n">
        <v>0.9199999999999999</v>
      </c>
      <c r="B146">
        <f>(SUMPRODUCT(C146:L146,Base!$C$30:$L$30,Base!$C$31:$L$31)+L146*(1+g_base)/(wacc_base-g_base)*(1+wacc_base)^(-(fraccion+10-1))+ajuste_puente)/acciones_valor_base</f>
        <v/>
      </c>
      <c r="C146">
        <f>Base!$C$27*(1+$A146)^0</f>
        <v/>
      </c>
      <c r="D146">
        <f>Base!$C$27*(1+$A146)^1</f>
        <v/>
      </c>
      <c r="E146">
        <f>Base!$C$27*(1+$A146)^2</f>
        <v/>
      </c>
      <c r="F146">
        <f>Base!$C$27*(1+$A146)^3</f>
        <v/>
      </c>
      <c r="G146">
        <f>Base!$C$27*(1+$A146)^4</f>
        <v/>
      </c>
      <c r="H146">
        <f>Base!$C$27*(1+$A146)^5</f>
        <v/>
      </c>
      <c r="I146">
        <f>Base!$C$27*(1+$A146)^6</f>
        <v/>
      </c>
      <c r="J146">
        <f>Base!$C$27*(1+$A146)^7</f>
        <v/>
      </c>
      <c r="K146">
        <f>Base!$C$27*(1+$A146)^8</f>
        <v/>
      </c>
      <c r="L146">
        <f>Base!$C$27*(1+$A146)^9</f>
        <v/>
      </c>
    </row>
    <row r="147">
      <c r="A147" t="n">
        <v>0.9299999999999999</v>
      </c>
      <c r="B147">
        <f>(SUMPRODUCT(C147:L147,Base!$C$30:$L$30,Base!$C$31:$L$31)+L147*(1+g_base)/(wacc_base-g_base)*(1+wacc_base)^(-(fraccion+10-1))+ajuste_puente)/acciones_valor_base</f>
        <v/>
      </c>
      <c r="C147">
        <f>Base!$C$27*(1+$A147)^0</f>
        <v/>
      </c>
      <c r="D147">
        <f>Base!$C$27*(1+$A147)^1</f>
        <v/>
      </c>
      <c r="E147">
        <f>Base!$C$27*(1+$A147)^2</f>
        <v/>
      </c>
      <c r="F147">
        <f>Base!$C$27*(1+$A147)^3</f>
        <v/>
      </c>
      <c r="G147">
        <f>Base!$C$27*(1+$A147)^4</f>
        <v/>
      </c>
      <c r="H147">
        <f>Base!$C$27*(1+$A147)^5</f>
        <v/>
      </c>
      <c r="I147">
        <f>Base!$C$27*(1+$A147)^6</f>
        <v/>
      </c>
      <c r="J147">
        <f>Base!$C$27*(1+$A147)^7</f>
        <v/>
      </c>
      <c r="K147">
        <f>Base!$C$27*(1+$A147)^8</f>
        <v/>
      </c>
      <c r="L147">
        <f>Base!$C$27*(1+$A147)^9</f>
        <v/>
      </c>
    </row>
    <row r="148">
      <c r="A148" t="n">
        <v>0.9399999999999999</v>
      </c>
      <c r="B148">
        <f>(SUMPRODUCT(C148:L148,Base!$C$30:$L$30,Base!$C$31:$L$31)+L148*(1+g_base)/(wacc_base-g_base)*(1+wacc_base)^(-(fraccion+10-1))+ajuste_puente)/acciones_valor_base</f>
        <v/>
      </c>
      <c r="C148">
        <f>Base!$C$27*(1+$A148)^0</f>
        <v/>
      </c>
      <c r="D148">
        <f>Base!$C$27*(1+$A148)^1</f>
        <v/>
      </c>
      <c r="E148">
        <f>Base!$C$27*(1+$A148)^2</f>
        <v/>
      </c>
      <c r="F148">
        <f>Base!$C$27*(1+$A148)^3</f>
        <v/>
      </c>
      <c r="G148">
        <f>Base!$C$27*(1+$A148)^4</f>
        <v/>
      </c>
      <c r="H148">
        <f>Base!$C$27*(1+$A148)^5</f>
        <v/>
      </c>
      <c r="I148">
        <f>Base!$C$27*(1+$A148)^6</f>
        <v/>
      </c>
      <c r="J148">
        <f>Base!$C$27*(1+$A148)^7</f>
        <v/>
      </c>
      <c r="K148">
        <f>Base!$C$27*(1+$A148)^8</f>
        <v/>
      </c>
      <c r="L148">
        <f>Base!$C$27*(1+$A148)^9</f>
        <v/>
      </c>
    </row>
    <row r="149">
      <c r="A149" t="n">
        <v>0.95</v>
      </c>
      <c r="B149">
        <f>(SUMPRODUCT(C149:L149,Base!$C$30:$L$30,Base!$C$31:$L$31)+L149*(1+g_base)/(wacc_base-g_base)*(1+wacc_base)^(-(fraccion+10-1))+ajuste_puente)/acciones_valor_base</f>
        <v/>
      </c>
      <c r="C149">
        <f>Base!$C$27*(1+$A149)^0</f>
        <v/>
      </c>
      <c r="D149">
        <f>Base!$C$27*(1+$A149)^1</f>
        <v/>
      </c>
      <c r="E149">
        <f>Base!$C$27*(1+$A149)^2</f>
        <v/>
      </c>
      <c r="F149">
        <f>Base!$C$27*(1+$A149)^3</f>
        <v/>
      </c>
      <c r="G149">
        <f>Base!$C$27*(1+$A149)^4</f>
        <v/>
      </c>
      <c r="H149">
        <f>Base!$C$27*(1+$A149)^5</f>
        <v/>
      </c>
      <c r="I149">
        <f>Base!$C$27*(1+$A149)^6</f>
        <v/>
      </c>
      <c r="J149">
        <f>Base!$C$27*(1+$A149)^7</f>
        <v/>
      </c>
      <c r="K149">
        <f>Base!$C$27*(1+$A149)^8</f>
        <v/>
      </c>
      <c r="L149">
        <f>Base!$C$27*(1+$A149)^9</f>
        <v/>
      </c>
    </row>
    <row r="150">
      <c r="A150" t="n">
        <v>0.96</v>
      </c>
      <c r="B150">
        <f>(SUMPRODUCT(C150:L150,Base!$C$30:$L$30,Base!$C$31:$L$31)+L150*(1+g_base)/(wacc_base-g_base)*(1+wacc_base)^(-(fraccion+10-1))+ajuste_puente)/acciones_valor_base</f>
        <v/>
      </c>
      <c r="C150">
        <f>Base!$C$27*(1+$A150)^0</f>
        <v/>
      </c>
      <c r="D150">
        <f>Base!$C$27*(1+$A150)^1</f>
        <v/>
      </c>
      <c r="E150">
        <f>Base!$C$27*(1+$A150)^2</f>
        <v/>
      </c>
      <c r="F150">
        <f>Base!$C$27*(1+$A150)^3</f>
        <v/>
      </c>
      <c r="G150">
        <f>Base!$C$27*(1+$A150)^4</f>
        <v/>
      </c>
      <c r="H150">
        <f>Base!$C$27*(1+$A150)^5</f>
        <v/>
      </c>
      <c r="I150">
        <f>Base!$C$27*(1+$A150)^6</f>
        <v/>
      </c>
      <c r="J150">
        <f>Base!$C$27*(1+$A150)^7</f>
        <v/>
      </c>
      <c r="K150">
        <f>Base!$C$27*(1+$A150)^8</f>
        <v/>
      </c>
      <c r="L150">
        <f>Base!$C$27*(1+$A150)^9</f>
        <v/>
      </c>
    </row>
    <row r="151">
      <c r="A151" t="n">
        <v>0.97</v>
      </c>
      <c r="B151">
        <f>(SUMPRODUCT(C151:L151,Base!$C$30:$L$30,Base!$C$31:$L$31)+L151*(1+g_base)/(wacc_base-g_base)*(1+wacc_base)^(-(fraccion+10-1))+ajuste_puente)/acciones_valor_base</f>
        <v/>
      </c>
      <c r="C151">
        <f>Base!$C$27*(1+$A151)^0</f>
        <v/>
      </c>
      <c r="D151">
        <f>Base!$C$27*(1+$A151)^1</f>
        <v/>
      </c>
      <c r="E151">
        <f>Base!$C$27*(1+$A151)^2</f>
        <v/>
      </c>
      <c r="F151">
        <f>Base!$C$27*(1+$A151)^3</f>
        <v/>
      </c>
      <c r="G151">
        <f>Base!$C$27*(1+$A151)^4</f>
        <v/>
      </c>
      <c r="H151">
        <f>Base!$C$27*(1+$A151)^5</f>
        <v/>
      </c>
      <c r="I151">
        <f>Base!$C$27*(1+$A151)^6</f>
        <v/>
      </c>
      <c r="J151">
        <f>Base!$C$27*(1+$A151)^7</f>
        <v/>
      </c>
      <c r="K151">
        <f>Base!$C$27*(1+$A151)^8</f>
        <v/>
      </c>
      <c r="L151">
        <f>Base!$C$27*(1+$A151)^9</f>
        <v/>
      </c>
    </row>
    <row r="152">
      <c r="A152" t="n">
        <v>0.98</v>
      </c>
      <c r="B152">
        <f>(SUMPRODUCT(C152:L152,Base!$C$30:$L$30,Base!$C$31:$L$31)+L152*(1+g_base)/(wacc_base-g_base)*(1+wacc_base)^(-(fraccion+10-1))+ajuste_puente)/acciones_valor_base</f>
        <v/>
      </c>
      <c r="C152">
        <f>Base!$C$27*(1+$A152)^0</f>
        <v/>
      </c>
      <c r="D152">
        <f>Base!$C$27*(1+$A152)^1</f>
        <v/>
      </c>
      <c r="E152">
        <f>Base!$C$27*(1+$A152)^2</f>
        <v/>
      </c>
      <c r="F152">
        <f>Base!$C$27*(1+$A152)^3</f>
        <v/>
      </c>
      <c r="G152">
        <f>Base!$C$27*(1+$A152)^4</f>
        <v/>
      </c>
      <c r="H152">
        <f>Base!$C$27*(1+$A152)^5</f>
        <v/>
      </c>
      <c r="I152">
        <f>Base!$C$27*(1+$A152)^6</f>
        <v/>
      </c>
      <c r="J152">
        <f>Base!$C$27*(1+$A152)^7</f>
        <v/>
      </c>
      <c r="K152">
        <f>Base!$C$27*(1+$A152)^8</f>
        <v/>
      </c>
      <c r="L152">
        <f>Base!$C$27*(1+$A152)^9</f>
        <v/>
      </c>
    </row>
    <row r="153">
      <c r="A153" t="n">
        <v>0.99</v>
      </c>
      <c r="B153">
        <f>(SUMPRODUCT(C153:L153,Base!$C$30:$L$30,Base!$C$31:$L$31)+L153*(1+g_base)/(wacc_base-g_base)*(1+wacc_base)^(-(fraccion+10-1))+ajuste_puente)/acciones_valor_base</f>
        <v/>
      </c>
      <c r="C153">
        <f>Base!$C$27*(1+$A153)^0</f>
        <v/>
      </c>
      <c r="D153">
        <f>Base!$C$27*(1+$A153)^1</f>
        <v/>
      </c>
      <c r="E153">
        <f>Base!$C$27*(1+$A153)^2</f>
        <v/>
      </c>
      <c r="F153">
        <f>Base!$C$27*(1+$A153)^3</f>
        <v/>
      </c>
      <c r="G153">
        <f>Base!$C$27*(1+$A153)^4</f>
        <v/>
      </c>
      <c r="H153">
        <f>Base!$C$27*(1+$A153)^5</f>
        <v/>
      </c>
      <c r="I153">
        <f>Base!$C$27*(1+$A153)^6</f>
        <v/>
      </c>
      <c r="J153">
        <f>Base!$C$27*(1+$A153)^7</f>
        <v/>
      </c>
      <c r="K153">
        <f>Base!$C$27*(1+$A153)^8</f>
        <v/>
      </c>
      <c r="L153">
        <f>Base!$C$27*(1+$A153)^9</f>
        <v/>
      </c>
    </row>
    <row r="154">
      <c r="A154" t="n">
        <v>1</v>
      </c>
      <c r="B154">
        <f>(SUMPRODUCT(C154:L154,Base!$C$30:$L$30,Base!$C$31:$L$31)+L154*(1+g_base)/(wacc_base-g_base)*(1+wacc_base)^(-(fraccion+10-1))+ajuste_puente)/acciones_valor_base</f>
        <v/>
      </c>
      <c r="C154">
        <f>Base!$C$27*(1+$A154)^0</f>
        <v/>
      </c>
      <c r="D154">
        <f>Base!$C$27*(1+$A154)^1</f>
        <v/>
      </c>
      <c r="E154">
        <f>Base!$C$27*(1+$A154)^2</f>
        <v/>
      </c>
      <c r="F154">
        <f>Base!$C$27*(1+$A154)^3</f>
        <v/>
      </c>
      <c r="G154">
        <f>Base!$C$27*(1+$A154)^4</f>
        <v/>
      </c>
      <c r="H154">
        <f>Base!$C$27*(1+$A154)^5</f>
        <v/>
      </c>
      <c r="I154">
        <f>Base!$C$27*(1+$A154)^6</f>
        <v/>
      </c>
      <c r="J154">
        <f>Base!$C$27*(1+$A154)^7</f>
        <v/>
      </c>
      <c r="K154">
        <f>Base!$C$27*(1+$A154)^8</f>
        <v/>
      </c>
      <c r="L154">
        <f>Base!$C$27*(1+$A154)^9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2026-10-03T08:49:09Z</dcterms:created>
  <dcterms:modified xsi:type="dcterms:W3CDTF">2026-10-03T08:49:09Z</dcterms:modified>
</cp:coreProperties>
</file>