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Pesimista" sheetId="3" state="visible" r:id="rId3"/>
    <sheet xmlns:r="http://schemas.openxmlformats.org/officeDocument/2006/relationships" name="Base" sheetId="4" state="visible" r:id="rId4"/>
    <sheet xmlns:r="http://schemas.openxmlformats.org/officeDocument/2006/relationships" name="Optimista" sheetId="5" state="visible" r:id="rId5"/>
    <sheet xmlns:r="http://schemas.openxmlformats.org/officeDocument/2006/relationships" name="Sensibilidad" sheetId="6" state="visible" r:id="rId6"/>
    <sheet xmlns:r="http://schemas.openxmlformats.org/officeDocument/2006/relationships" name="Reverse DCF" sheetId="7" state="visible" r:id="rId7"/>
  </sheets>
  <definedNames>
    <definedName name="precio">'Supuestos'!$C$2</definedName>
    <definedName name="acciones_diluidas">'Supuestos'!$C$3</definedName>
    <definedName name="ingresos_base">'Supuestos'!$C$4</definedName>
    <definedName name="fraccion">'Supuestos'!$C$5</definedName>
    <definedName name="mitad_de_anio">'Supuestos'!$C$6</definedName>
    <definedName name="bin_inicial">'Supuestos'!$C$7</definedName>
    <definedName name="ke">'Supuestos'!$C$8</definedName>
    <definedName name="horizonte_meses">'Supuestos'!$C$9</definedName>
    <definedName name="dpa_horizonte">'Supuestos'!$C$10</definedName>
    <definedName name="ajuste_puente">'Supuestos'!$C$11</definedName>
    <definedName name="deuda_neta">'Supuestos'!$C$12</definedName>
    <definedName name="wacc_calculado">'Supuestos'!$C$13</definedName>
    <definedName name="sbc_coste">'Supuestos'!$C$14</definedName>
    <definedName name="wacc_pes">'Pesimista'!$C$2</definedName>
    <definedName name="g_pes">'Pesimista'!$C$3</definedName>
    <definedName name="peso_pes">'Pesimista'!$C$4</definedName>
    <definedName name="ronic_pes">'Pesimista'!$C$5</definedName>
    <definedName name="multiplo_pes">'Pesimista'!$C$6</definedName>
    <definedName name="fm_pes">'Pesimista'!$C$7</definedName>
    <definedName name="suma_va_pes">'Pesimista'!$C$34</definedName>
    <definedName name="vt_pes">'Pesimista'!$C$35</definedName>
    <definedName name="va_vt_pes">'Pesimista'!$C$36</definedName>
    <definedName name="ev_pes">'Pesimista'!$C$37</definedName>
    <definedName name="fondos_propios_pes">'Pesimista'!$C$38</definedName>
    <definedName name="valor_accion_pes">'Pesimista'!$C$39</definedName>
    <definedName name="valor_h_pes">'Pesimista'!$C$40</definedName>
    <definedName name="wacc_base">'Base'!$C$2</definedName>
    <definedName name="g_base">'Base'!$C$3</definedName>
    <definedName name="peso_base">'Base'!$C$4</definedName>
    <definedName name="ronic_base">'Base'!$C$5</definedName>
    <definedName name="multiplo_base">'Base'!$C$6</definedName>
    <definedName name="fm_base">'Base'!$C$7</definedName>
    <definedName name="suma_va_base">'Base'!$C$34</definedName>
    <definedName name="vt_base">'Base'!$C$35</definedName>
    <definedName name="va_vt_base">'Base'!$C$36</definedName>
    <definedName name="ev_base">'Base'!$C$37</definedName>
    <definedName name="fondos_propios_base">'Base'!$C$38</definedName>
    <definedName name="valor_accion_base">'Base'!$C$39</definedName>
    <definedName name="valor_h_base">'Base'!$C$40</definedName>
    <definedName name="wacc_opt">'Optimista'!$C$2</definedName>
    <definedName name="g_opt">'Optimista'!$C$3</definedName>
    <definedName name="peso_opt">'Optimista'!$C$4</definedName>
    <definedName name="ronic_opt">'Optimista'!$C$5</definedName>
    <definedName name="multiplo_opt">'Optimista'!$C$6</definedName>
    <definedName name="fm_opt">'Optimista'!$C$7</definedName>
    <definedName name="suma_va_opt">'Optimista'!$C$34</definedName>
    <definedName name="vt_opt">'Optimista'!$C$35</definedName>
    <definedName name="va_vt_opt">'Optimista'!$C$36</definedName>
    <definedName name="ev_opt">'Optimista'!$C$37</definedName>
    <definedName name="fondos_propios_opt">'Optimista'!$C$38</definedName>
    <definedName name="valor_accion_opt">'Optimista'!$C$39</definedName>
    <definedName name="valor_h_opt">'Optimista'!$C$40</definedName>
    <definedName name="valor_razonable">'Resumen'!$C$7</definedName>
    <definedName name="po">'Resumen'!$C$8</definedName>
    <definedName name="potencial">'Resumen'!$C$9</definedName>
    <definedName name="margen_seguridad">'Resumen'!$C$10</definedName>
    <definedName name="downside">'Resumen'!$C$11</definedName>
    <definedName name="recorrido_riesgo">'Resumen'!$C$12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Supuesto</t>
        </is>
      </c>
      <c r="C1" t="inlineStr">
        <is>
          <t>Valor</t>
        </is>
      </c>
      <c r="D1" t="inlineStr">
        <is>
          <t>Origen / justificación</t>
        </is>
      </c>
    </row>
    <row r="2">
      <c r="A2" t="inlineStr">
        <is>
          <t>precio</t>
        </is>
      </c>
      <c r="B2" t="inlineStr">
        <is>
          <t>Precio: cierre oficial en la fecha de valoración (USD/acción)</t>
        </is>
      </c>
      <c r="C2" s="1" t="n">
        <v>137.1</v>
      </c>
      <c r="D2" t="inlineStr">
        <is>
          <t>Nasdaq</t>
        </is>
      </c>
    </row>
    <row r="3">
      <c r="A3" t="inlineStr">
        <is>
          <t>acciones_diluidas</t>
        </is>
      </c>
      <c r="B3" t="inlineStr">
        <is>
          <t>Acciones diluidas</t>
        </is>
      </c>
      <c r="C3" s="1" t="n">
        <v>3104736000</v>
      </c>
      <c r="D3" t="inlineStr">
        <is>
          <t>básicas de la portada + opciones por el método de autocartera (0,0 M) + RSU pendientes (81,0 M)</t>
        </is>
      </c>
    </row>
    <row r="4">
      <c r="A4" t="inlineStr">
        <is>
          <t>ingresos_base</t>
        </is>
      </c>
      <c r="B4" t="inlineStr">
        <is>
          <t>Ingresos del año base (USD)</t>
        </is>
      </c>
      <c r="C4" s="1" t="n">
        <v>67357000000</v>
      </c>
      <c r="D4" t="inlineStr">
        <is>
          <t>SEC (hechos verificados)</t>
        </is>
      </c>
    </row>
    <row r="5">
      <c r="A5" t="inlineStr">
        <is>
          <t>fraccion</t>
        </is>
      </c>
      <c r="B5" t="inlineStr">
        <is>
          <t>Fracción del ejercicio 1 que queda (f)</t>
        </is>
      </c>
      <c r="C5" s="1" t="n">
        <v>0.6794520547945205</v>
      </c>
      <c r="D5" t="inlineStr">
        <is>
          <t>días hasta el cierre / días del ejercicio</t>
        </is>
      </c>
    </row>
    <row r="6">
      <c r="A6" t="inlineStr">
        <is>
          <t>mitad_de_anio</t>
        </is>
      </c>
      <c r="B6" t="inlineStr">
        <is>
          <t>Convención de mitad de año (1 sí, 0 no)</t>
        </is>
      </c>
      <c r="C6" s="1" t="n">
        <v>1</v>
      </c>
      <c r="D6" t="inlineStr">
        <is>
          <t>entradas del analista</t>
        </is>
      </c>
    </row>
    <row r="7">
      <c r="A7" t="inlineStr">
        <is>
          <t>bin_inicial</t>
        </is>
      </c>
      <c r="B7" t="inlineStr">
        <is>
          <t>Bases imponibles negativas iniciales (USD)</t>
        </is>
      </c>
      <c r="C7" s="1" t="n">
        <v>0</v>
      </c>
      <c r="D7" t="inlineStr">
        <is>
          <t>entradas del analista</t>
        </is>
      </c>
    </row>
    <row r="8">
      <c r="A8" t="inlineStr">
        <is>
          <t>ke</t>
        </is>
      </c>
      <c r="B8" t="inlineStr">
        <is>
          <t>Coste de los fondos propios (Ke)</t>
        </is>
      </c>
      <c r="C8" s="1" t="n">
        <v>0.116380990628346</v>
      </c>
      <c r="D8" t="inlineStr">
        <is>
          <t>rf + β × ERP + prima</t>
        </is>
      </c>
    </row>
    <row r="9">
      <c r="A9" t="inlineStr">
        <is>
          <t>horizonte_meses</t>
        </is>
      </c>
      <c r="B9" t="inlineStr">
        <is>
          <t>Horizonte (meses)</t>
        </is>
      </c>
      <c r="C9" s="1" t="n">
        <v>12</v>
      </c>
      <c r="D9" t="inlineStr">
        <is>
          <t>entradas del analista</t>
        </is>
      </c>
    </row>
    <row r="10">
      <c r="A10" t="inlineStr">
        <is>
          <t>dpa_horizonte</t>
        </is>
      </c>
      <c r="B10" t="inlineStr">
        <is>
          <t>Dividendos por acción esperados en el horizonte (USD)</t>
        </is>
      </c>
      <c r="C10" s="1" t="n">
        <v>0</v>
      </c>
      <c r="D10" t="inlineStr">
        <is>
          <t>Nasdaq (últimos cuatro pagos)</t>
        </is>
      </c>
    </row>
    <row r="11">
      <c r="A11" t="inlineStr">
        <is>
          <t>ajuste_puente</t>
        </is>
      </c>
      <c r="B11" t="inlineStr">
        <is>
          <t>Ajuste del puente: − deuda + caja + inversiones ± ajustes (USD)</t>
        </is>
      </c>
      <c r="C11" s="1" t="n">
        <v>-93260000000</v>
      </c>
      <c r="D11" t="inlineStr">
        <is>
          <t>último balance publicado</t>
        </is>
      </c>
    </row>
    <row r="12">
      <c r="A12" t="inlineStr">
        <is>
          <t>deuda_neta</t>
        </is>
      </c>
      <c r="B12" t="inlineStr">
        <is>
          <t>Deuda neta (USD)</t>
        </is>
      </c>
      <c r="C12" s="1" t="n">
        <v>88260000000</v>
      </c>
      <c r="D12" t="inlineStr">
        <is>
          <t>último balance publicado</t>
        </is>
      </c>
    </row>
    <row r="13">
      <c r="A13" t="inlineStr">
        <is>
          <t>wacc_calculado</t>
        </is>
      </c>
      <c r="B13" t="inlineStr">
        <is>
          <t>WACC calculado (antes del ajuste por escenario)</t>
        </is>
      </c>
      <c r="C13" s="1" t="n">
        <v>0.0998166920814815</v>
      </c>
      <c r="D13" t="inlineStr">
        <is>
          <t>E/(D+E) × Ke + D/(D+E) × Kd × (1 − t)</t>
        </is>
      </c>
    </row>
    <row r="14">
      <c r="A14" t="inlineStr">
        <is>
          <t>sbc_coste</t>
        </is>
      </c>
      <c r="B14" t="inlineStr">
        <is>
          <t>SBC como coste de caja (1 sí, 0 no)</t>
        </is>
      </c>
      <c r="C14" s="1" t="n">
        <v>1</v>
      </c>
      <c r="D14" t="inlineStr">
        <is>
          <t>entradas del analista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</t>
        </is>
      </c>
      <c r="B1" t="inlineStr">
        <is>
          <t>Probabilidad</t>
        </is>
      </c>
      <c r="C1" t="inlineStr">
        <is>
          <t>V₀</t>
        </is>
      </c>
      <c r="D1" t="inlineStr">
        <is>
          <t>V_h</t>
        </is>
      </c>
      <c r="E1" t="inlineStr">
        <is>
          <t>WACC</t>
        </is>
      </c>
    </row>
    <row r="2">
      <c r="A2" t="inlineStr">
        <is>
          <t>pesimista</t>
        </is>
      </c>
      <c r="B2">
        <f>peso_pes</f>
        <v/>
      </c>
      <c r="C2">
        <f>valor_accion_pes</f>
        <v/>
      </c>
      <c r="D2">
        <f>valor_h_pes</f>
        <v/>
      </c>
      <c r="E2">
        <f>wacc_pes</f>
        <v/>
      </c>
    </row>
    <row r="3">
      <c r="A3" t="inlineStr">
        <is>
          <t>base</t>
        </is>
      </c>
      <c r="B3">
        <f>peso_base</f>
        <v/>
      </c>
      <c r="C3">
        <f>valor_accion_base</f>
        <v/>
      </c>
      <c r="D3">
        <f>valor_h_base</f>
        <v/>
      </c>
      <c r="E3">
        <f>wacc_base</f>
        <v/>
      </c>
    </row>
    <row r="4">
      <c r="A4" t="inlineStr">
        <is>
          <t>optimista</t>
        </is>
      </c>
      <c r="B4">
        <f>peso_opt</f>
        <v/>
      </c>
      <c r="C4">
        <f>valor_accion_opt</f>
        <v/>
      </c>
      <c r="D4">
        <f>valor_h_opt</f>
        <v/>
      </c>
      <c r="E4">
        <f>wacc_opt</f>
        <v/>
      </c>
    </row>
    <row r="7">
      <c r="A7" t="inlineStr">
        <is>
          <t>valor_razonable</t>
        </is>
      </c>
      <c r="B7" t="inlineStr">
        <is>
          <t>Valor razonable hoy (Σ p·V₀)</t>
        </is>
      </c>
      <c r="C7">
        <f>SUMPRODUCT(B2:B4,C2:C4)</f>
        <v/>
      </c>
    </row>
    <row r="8">
      <c r="A8" t="inlineStr">
        <is>
          <t>po</t>
        </is>
      </c>
      <c r="B8" t="inlineStr">
        <is>
          <t>Precio objetivo (Σ p·V_h)</t>
        </is>
      </c>
      <c r="C8">
        <f>SUMPRODUCT(B2:B4,D2:D4)</f>
        <v/>
      </c>
    </row>
    <row r="9">
      <c r="A9" t="inlineStr">
        <is>
          <t>potencial</t>
        </is>
      </c>
      <c r="B9" t="inlineStr">
        <is>
          <t>Potencial</t>
        </is>
      </c>
      <c r="C9">
        <f>po/precio-1</f>
        <v/>
      </c>
    </row>
    <row r="10">
      <c r="A10" t="inlineStr">
        <is>
          <t>margen_seguridad</t>
        </is>
      </c>
      <c r="B10" t="inlineStr">
        <is>
          <t>Margen de seguridad</t>
        </is>
      </c>
      <c r="C10">
        <f>1-precio/valor_razonable</f>
        <v/>
      </c>
    </row>
    <row r="11">
      <c r="A11" t="inlineStr">
        <is>
          <t>downside</t>
        </is>
      </c>
      <c r="B11" t="inlineStr">
        <is>
          <t>Downside pesimista</t>
        </is>
      </c>
      <c r="C11">
        <f>valor_h_pes/precio-1</f>
        <v/>
      </c>
    </row>
    <row r="12">
      <c r="A12" t="inlineStr">
        <is>
          <t>recorrido_riesgo</t>
        </is>
      </c>
      <c r="B12" t="inlineStr">
        <is>
          <t>Recorrido / riesgo</t>
        </is>
      </c>
      <c r="C12">
        <f>IF(valor_h_pes&gt;=precio,"sin pérdida",(po-precio)/(precio-valor_h_pes))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pesimista: fórmulas vivas del motor (05 §3–§7)</t>
        </is>
      </c>
    </row>
    <row r="2">
      <c r="A2" t="inlineStr">
        <is>
          <t>wacc_pes</t>
        </is>
      </c>
      <c r="B2" t="inlineStr">
        <is>
          <t>WACC del escenario</t>
        </is>
      </c>
      <c r="C2" s="1" t="n">
        <v>0.1098166920814815</v>
      </c>
    </row>
    <row r="3">
      <c r="A3" t="inlineStr">
        <is>
          <t>g_pes</t>
        </is>
      </c>
      <c r="B3" t="inlineStr">
        <is>
          <t>Crecimiento terminal (g)</t>
        </is>
      </c>
      <c r="C3" s="1" t="n">
        <v>0.02</v>
      </c>
    </row>
    <row r="4">
      <c r="A4" t="inlineStr">
        <is>
          <t>peso_pes</t>
        </is>
      </c>
      <c r="B4" t="inlineStr">
        <is>
          <t>Probabilidad</t>
        </is>
      </c>
      <c r="C4" s="1" t="n">
        <v>0.3</v>
      </c>
    </row>
    <row r="5">
      <c r="A5" t="inlineStr">
        <is>
          <t>ronic_pes</t>
        </is>
      </c>
      <c r="B5" t="inlineStr">
        <is>
          <t>RONIC</t>
        </is>
      </c>
      <c r="C5" s="1" t="n">
        <v>0.11</v>
      </c>
    </row>
    <row r="6">
      <c r="A6" t="inlineStr">
        <is>
          <t>multiplo_pes</t>
        </is>
      </c>
      <c r="B6" t="inlineStr">
        <is>
          <t>Múltiplo de salida</t>
        </is>
      </c>
      <c r="C6" s="1" t="n"/>
    </row>
    <row r="7">
      <c r="A7" t="inlineStr">
        <is>
          <t>fm_pes</t>
        </is>
      </c>
      <c r="B7" t="inlineStr">
        <is>
          <t>ΔFM / Δingresos</t>
        </is>
      </c>
      <c r="C7" s="1" t="n">
        <v>-0.05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0.32</v>
      </c>
      <c r="D10" s="1" t="n">
        <v>0.25</v>
      </c>
      <c r="E10" s="1" t="n">
        <v>0.12</v>
      </c>
      <c r="F10" s="1" t="n">
        <v>0.09</v>
      </c>
      <c r="G10" s="1" t="n">
        <v>0.06</v>
      </c>
      <c r="H10" s="1" t="n">
        <v>0.054</v>
      </c>
      <c r="I10" s="1" t="n">
        <v>0.048</v>
      </c>
      <c r="J10" s="1" t="n">
        <v>0.042</v>
      </c>
      <c r="K10" s="1" t="n">
        <v>0.036</v>
      </c>
      <c r="L10" s="1" t="n">
        <v>0.03</v>
      </c>
    </row>
    <row r="11">
      <c r="B11" t="inlineStr">
        <is>
          <t>margen</t>
        </is>
      </c>
      <c r="C11" s="1" t="n">
        <v>0.3</v>
      </c>
      <c r="D11" s="1" t="n">
        <v>0.265</v>
      </c>
      <c r="E11" s="1" t="n">
        <v>0.23</v>
      </c>
      <c r="F11" s="1" t="n">
        <v>0.225</v>
      </c>
      <c r="G11" s="1" t="n">
        <v>0.22</v>
      </c>
      <c r="H11" s="1" t="n">
        <v>0.224</v>
      </c>
      <c r="I11" s="1" t="n">
        <v>0.228</v>
      </c>
      <c r="J11" s="1" t="n">
        <v>0.232</v>
      </c>
      <c r="K11" s="1" t="n">
        <v>0.236</v>
      </c>
      <c r="L11" s="1" t="n">
        <v>0.24</v>
      </c>
    </row>
    <row r="12">
      <c r="B12" t="inlineStr">
        <is>
          <t>impuesto</t>
        </is>
      </c>
      <c r="C12" s="1" t="n">
        <v>0.17</v>
      </c>
      <c r="D12" s="1" t="n">
        <v>0.175</v>
      </c>
      <c r="E12" s="1" t="n">
        <v>0.18</v>
      </c>
      <c r="F12" s="1" t="n">
        <v>0.185</v>
      </c>
      <c r="G12" s="1" t="n">
        <v>0.19</v>
      </c>
      <c r="H12" s="1" t="n">
        <v>0.194</v>
      </c>
      <c r="I12" s="1" t="n">
        <v>0.198</v>
      </c>
      <c r="J12" s="1" t="n">
        <v>0.202</v>
      </c>
      <c r="K12" s="1" t="n">
        <v>0.206</v>
      </c>
      <c r="L12" s="1" t="n">
        <v>0.21</v>
      </c>
    </row>
    <row r="13">
      <c r="B13" t="inlineStr">
        <is>
          <t>da</t>
        </is>
      </c>
      <c r="C13" s="1" t="n">
        <v>0.18</v>
      </c>
      <c r="D13" s="1" t="n">
        <v>0.205</v>
      </c>
      <c r="E13" s="1" t="n">
        <v>0.23</v>
      </c>
      <c r="F13" s="1" t="n">
        <v>0.23</v>
      </c>
      <c r="G13" s="1" t="n">
        <v>0.23</v>
      </c>
      <c r="H13" s="1" t="n">
        <v>0.216</v>
      </c>
      <c r="I13" s="1" t="n">
        <v>0.202</v>
      </c>
      <c r="J13" s="1" t="n">
        <v>0.188</v>
      </c>
      <c r="K13" s="1" t="n">
        <v>0.174</v>
      </c>
      <c r="L13" s="1" t="n">
        <v>0.16</v>
      </c>
    </row>
    <row r="14">
      <c r="B14" t="inlineStr">
        <is>
          <t>capex</t>
        </is>
      </c>
      <c r="C14" s="1" t="n">
        <v>1.15</v>
      </c>
      <c r="D14" s="1" t="n">
        <v>0.5</v>
      </c>
      <c r="E14" s="1" t="n">
        <v>0.28</v>
      </c>
      <c r="F14" s="1" t="n">
        <v>0.24</v>
      </c>
      <c r="G14" s="1" t="n">
        <v>0.2</v>
      </c>
      <c r="H14" s="1" t="n">
        <v>0.192</v>
      </c>
      <c r="I14" s="1" t="n">
        <v>0.184</v>
      </c>
      <c r="J14" s="1" t="n">
        <v>0.176</v>
      </c>
      <c r="K14" s="1" t="n">
        <v>0.168</v>
      </c>
      <c r="L14" s="1" t="n">
        <v>0.16</v>
      </c>
    </row>
    <row r="15">
      <c r="B15" t="inlineStr">
        <is>
          <t>sbc</t>
        </is>
      </c>
      <c r="C15" s="1" t="n">
        <v>0.06</v>
      </c>
      <c r="D15" s="1" t="n">
        <v>0.0575</v>
      </c>
      <c r="E15" s="1" t="n">
        <v>0.055</v>
      </c>
      <c r="F15" s="1" t="n">
        <v>0.0525</v>
      </c>
      <c r="G15" s="1" t="n">
        <v>0.05</v>
      </c>
      <c r="H15" s="1" t="n">
        <v>0.049</v>
      </c>
      <c r="I15" s="1" t="n">
        <v>0.048</v>
      </c>
      <c r="J15" s="1" t="n">
        <v>0.047</v>
      </c>
      <c r="K15" s="1" t="n">
        <v>0.046</v>
      </c>
      <c r="L15" s="1" t="n">
        <v>0.045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(C17-ingresos_base)*fm_pes</f>
        <v/>
      </c>
      <c r="D24">
        <f>(D17-C17)*fm_pes</f>
        <v/>
      </c>
      <c r="E24">
        <f>(E17-D17)*fm_pes</f>
        <v/>
      </c>
      <c r="F24">
        <f>(F17-E17)*fm_pes</f>
        <v/>
      </c>
      <c r="G24">
        <f>(G17-F17)*fm_pes</f>
        <v/>
      </c>
      <c r="H24">
        <f>(H17-G17)*fm_pes</f>
        <v/>
      </c>
      <c r="I24">
        <f>(I17-H17)*fm_pes</f>
        <v/>
      </c>
      <c r="J24">
        <f>(J17-I17)*fm_pes</f>
        <v/>
      </c>
      <c r="K24">
        <f>(K17-J17)*fm_pes</f>
        <v/>
      </c>
      <c r="L24">
        <f>(L17-K17)*fm_pes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(1+wacc_pes)^(-C29)</f>
        <v/>
      </c>
      <c r="D30">
        <f>(1+wacc_pes)^(-D29)</f>
        <v/>
      </c>
      <c r="E30">
        <f>(1+wacc_pes)^(-E29)</f>
        <v/>
      </c>
      <c r="F30">
        <f>(1+wacc_pes)^(-F29)</f>
        <v/>
      </c>
      <c r="G30">
        <f>(1+wacc_pes)^(-G29)</f>
        <v/>
      </c>
      <c r="H30">
        <f>(1+wacc_pes)^(-H29)</f>
        <v/>
      </c>
      <c r="I30">
        <f>(1+wacc_pes)^(-I29)</f>
        <v/>
      </c>
      <c r="J30">
        <f>(1+wacc_pes)^(-J29)</f>
        <v/>
      </c>
      <c r="K30">
        <f>(1+wacc_pes)^(-K29)</f>
        <v/>
      </c>
      <c r="L30">
        <f>(1+wacc_pes)^(-L29)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suma_va_pes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vt_pes</t>
        </is>
      </c>
      <c r="B35" s="2" t="inlineStr">
        <is>
          <t>Valor terminal (value_driver)</t>
        </is>
      </c>
      <c r="C35">
        <f>L21*(1+g_pes)*(1-g_pes/ronic_pes)/(wacc_pes-g_pes)</f>
        <v/>
      </c>
    </row>
    <row r="36">
      <c r="A36" t="inlineStr">
        <is>
          <t>va_vt_pes</t>
        </is>
      </c>
      <c r="B36" s="2" t="inlineStr">
        <is>
          <t>Valor actual del valor terminal</t>
        </is>
      </c>
      <c r="C36">
        <f>C35*(1+wacc_pes)^(-(fraccion+10-1))</f>
        <v/>
      </c>
    </row>
    <row r="37">
      <c r="A37" t="inlineStr">
        <is>
          <t>ev_pes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fondos_propios_pes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valor_accion_pes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valor_h_pes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base: fórmulas vivas del motor (05 §3–§7)</t>
        </is>
      </c>
    </row>
    <row r="2">
      <c r="A2" t="inlineStr">
        <is>
          <t>wacc_base</t>
        </is>
      </c>
      <c r="B2" t="inlineStr">
        <is>
          <t>WACC del escenario</t>
        </is>
      </c>
      <c r="C2" s="1" t="n">
        <v>0.0998166920814815</v>
      </c>
    </row>
    <row r="3">
      <c r="A3" t="inlineStr">
        <is>
          <t>g_base</t>
        </is>
      </c>
      <c r="B3" t="inlineStr">
        <is>
          <t>Crecimiento terminal (g)</t>
        </is>
      </c>
      <c r="C3" s="1" t="n">
        <v>0.025</v>
      </c>
    </row>
    <row r="4">
      <c r="A4" t="inlineStr">
        <is>
          <t>peso_base</t>
        </is>
      </c>
      <c r="B4" t="inlineStr">
        <is>
          <t>Probabilidad</t>
        </is>
      </c>
      <c r="C4" s="1" t="n">
        <v>0.45</v>
      </c>
    </row>
    <row r="5">
      <c r="A5" t="inlineStr">
        <is>
          <t>ronic_base</t>
        </is>
      </c>
      <c r="B5" t="inlineStr">
        <is>
          <t>RONIC</t>
        </is>
      </c>
      <c r="C5" s="1" t="n">
        <v>0.12</v>
      </c>
    </row>
    <row r="6">
      <c r="A6" t="inlineStr">
        <is>
          <t>multiplo_base</t>
        </is>
      </c>
      <c r="B6" t="inlineStr">
        <is>
          <t>Múltiplo de salida</t>
        </is>
      </c>
      <c r="C6" s="1" t="n"/>
    </row>
    <row r="7">
      <c r="A7" t="inlineStr">
        <is>
          <t>fm_base</t>
        </is>
      </c>
      <c r="B7" t="inlineStr">
        <is>
          <t>ΔFM / Δingresos</t>
        </is>
      </c>
      <c r="C7" s="1" t="n">
        <v>-0.15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0.34</v>
      </c>
      <c r="D10" s="1" t="n">
        <v>0.4</v>
      </c>
      <c r="E10" s="1" t="n">
        <v>0.22</v>
      </c>
      <c r="F10" s="1" t="n">
        <v>0.165</v>
      </c>
      <c r="G10" s="1" t="n">
        <v>0.11</v>
      </c>
      <c r="H10" s="1" t="n">
        <v>0.096</v>
      </c>
      <c r="I10" s="1" t="n">
        <v>0.08199999999999999</v>
      </c>
      <c r="J10" s="1" t="n">
        <v>0.068</v>
      </c>
      <c r="K10" s="1" t="n">
        <v>0.05399999999999999</v>
      </c>
      <c r="L10" s="1" t="n">
        <v>0.04</v>
      </c>
    </row>
    <row r="11">
      <c r="B11" t="inlineStr">
        <is>
          <t>margen</t>
        </is>
      </c>
      <c r="C11" s="1" t="n">
        <v>0.33</v>
      </c>
      <c r="D11" s="1" t="n">
        <v>0.315</v>
      </c>
      <c r="E11" s="1" t="n">
        <v>0.3</v>
      </c>
      <c r="F11" s="1" t="n">
        <v>0.3</v>
      </c>
      <c r="G11" s="1" t="n">
        <v>0.3</v>
      </c>
      <c r="H11" s="1" t="n">
        <v>0.302</v>
      </c>
      <c r="I11" s="1" t="n">
        <v>0.304</v>
      </c>
      <c r="J11" s="1" t="n">
        <v>0.306</v>
      </c>
      <c r="K11" s="1" t="n">
        <v>0.308</v>
      </c>
      <c r="L11" s="1" t="n">
        <v>0.31</v>
      </c>
    </row>
    <row r="12">
      <c r="B12" t="inlineStr">
        <is>
          <t>impuesto</t>
        </is>
      </c>
      <c r="C12" s="1" t="n">
        <v>0.17</v>
      </c>
      <c r="D12" s="1" t="n">
        <v>0.175</v>
      </c>
      <c r="E12" s="1" t="n">
        <v>0.18</v>
      </c>
      <c r="F12" s="1" t="n">
        <v>0.185</v>
      </c>
      <c r="G12" s="1" t="n">
        <v>0.19</v>
      </c>
      <c r="H12" s="1" t="n">
        <v>0.194</v>
      </c>
      <c r="I12" s="1" t="n">
        <v>0.198</v>
      </c>
      <c r="J12" s="1" t="n">
        <v>0.202</v>
      </c>
      <c r="K12" s="1" t="n">
        <v>0.206</v>
      </c>
      <c r="L12" s="1" t="n">
        <v>0.21</v>
      </c>
    </row>
    <row r="13">
      <c r="B13" t="inlineStr">
        <is>
          <t>da</t>
        </is>
      </c>
      <c r="C13" s="1" t="n">
        <v>0.18</v>
      </c>
      <c r="D13" s="1" t="n">
        <v>0.2</v>
      </c>
      <c r="E13" s="1" t="n">
        <v>0.22</v>
      </c>
      <c r="F13" s="1" t="n">
        <v>0.22</v>
      </c>
      <c r="G13" s="1" t="n">
        <v>0.22</v>
      </c>
      <c r="H13" s="1" t="n">
        <v>0.21</v>
      </c>
      <c r="I13" s="1" t="n">
        <v>0.2</v>
      </c>
      <c r="J13" s="1" t="n">
        <v>0.19</v>
      </c>
      <c r="K13" s="1" t="n">
        <v>0.18</v>
      </c>
      <c r="L13" s="1" t="n">
        <v>0.17</v>
      </c>
    </row>
    <row r="14">
      <c r="B14" t="inlineStr">
        <is>
          <t>capex</t>
        </is>
      </c>
      <c r="C14" s="1" t="n">
        <v>1.2</v>
      </c>
      <c r="D14" s="1" t="n">
        <v>0.7000000000000001</v>
      </c>
      <c r="E14" s="1" t="n">
        <v>0.4</v>
      </c>
      <c r="F14" s="1" t="n">
        <v>0.325</v>
      </c>
      <c r="G14" s="1" t="n">
        <v>0.25</v>
      </c>
      <c r="H14" s="1" t="n">
        <v>0.238</v>
      </c>
      <c r="I14" s="1" t="n">
        <v>0.226</v>
      </c>
      <c r="J14" s="1" t="n">
        <v>0.214</v>
      </c>
      <c r="K14" s="1" t="n">
        <v>0.202</v>
      </c>
      <c r="L14" s="1" t="n">
        <v>0.19</v>
      </c>
    </row>
    <row r="15">
      <c r="B15" t="inlineStr">
        <is>
          <t>sbc</t>
        </is>
      </c>
      <c r="C15" s="1" t="n">
        <v>0.06</v>
      </c>
      <c r="D15" s="1" t="n">
        <v>0.05624999999999999</v>
      </c>
      <c r="E15" s="1" t="n">
        <v>0.0525</v>
      </c>
      <c r="F15" s="1" t="n">
        <v>0.04875</v>
      </c>
      <c r="G15" s="1" t="n">
        <v>0.045</v>
      </c>
      <c r="H15" s="1" t="n">
        <v>0.044</v>
      </c>
      <c r="I15" s="1" t="n">
        <v>0.043</v>
      </c>
      <c r="J15" s="1" t="n">
        <v>0.042</v>
      </c>
      <c r="K15" s="1" t="n">
        <v>0.041</v>
      </c>
      <c r="L15" s="1" t="n">
        <v>0.04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(C17-ingresos_base)*fm_base</f>
        <v/>
      </c>
      <c r="D24">
        <f>(D17-C17)*fm_base</f>
        <v/>
      </c>
      <c r="E24">
        <f>(E17-D17)*fm_base</f>
        <v/>
      </c>
      <c r="F24">
        <f>(F17-E17)*fm_base</f>
        <v/>
      </c>
      <c r="G24">
        <f>(G17-F17)*fm_base</f>
        <v/>
      </c>
      <c r="H24">
        <f>(H17-G17)*fm_base</f>
        <v/>
      </c>
      <c r="I24">
        <f>(I17-H17)*fm_base</f>
        <v/>
      </c>
      <c r="J24">
        <f>(J17-I17)*fm_base</f>
        <v/>
      </c>
      <c r="K24">
        <f>(K17-J17)*fm_base</f>
        <v/>
      </c>
      <c r="L24">
        <f>(L17-K17)*fm_base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(1+wacc_base)^(-C29)</f>
        <v/>
      </c>
      <c r="D30">
        <f>(1+wacc_base)^(-D29)</f>
        <v/>
      </c>
      <c r="E30">
        <f>(1+wacc_base)^(-E29)</f>
        <v/>
      </c>
      <c r="F30">
        <f>(1+wacc_base)^(-F29)</f>
        <v/>
      </c>
      <c r="G30">
        <f>(1+wacc_base)^(-G29)</f>
        <v/>
      </c>
      <c r="H30">
        <f>(1+wacc_base)^(-H29)</f>
        <v/>
      </c>
      <c r="I30">
        <f>(1+wacc_base)^(-I29)</f>
        <v/>
      </c>
      <c r="J30">
        <f>(1+wacc_base)^(-J29)</f>
        <v/>
      </c>
      <c r="K30">
        <f>(1+wacc_base)^(-K29)</f>
        <v/>
      </c>
      <c r="L30">
        <f>(1+wacc_base)^(-L29)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suma_va_base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vt_base</t>
        </is>
      </c>
      <c r="B35" s="2" t="inlineStr">
        <is>
          <t>Valor terminal (value_driver)</t>
        </is>
      </c>
      <c r="C35">
        <f>L21*(1+g_base)*(1-g_base/ronic_base)/(wacc_base-g_base)</f>
        <v/>
      </c>
    </row>
    <row r="36">
      <c r="A36" t="inlineStr">
        <is>
          <t>va_vt_base</t>
        </is>
      </c>
      <c r="B36" s="2" t="inlineStr">
        <is>
          <t>Valor actual del valor terminal</t>
        </is>
      </c>
      <c r="C36">
        <f>C35*(1+wacc_base)^(-(fraccion+10-1))</f>
        <v/>
      </c>
    </row>
    <row r="37">
      <c r="A37" t="inlineStr">
        <is>
          <t>ev_base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fondos_propios_base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valor_accion_base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valor_h_base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Escenario optimista: fórmulas vivas del motor (05 §3–§7)</t>
        </is>
      </c>
    </row>
    <row r="2">
      <c r="A2" t="inlineStr">
        <is>
          <t>wacc_opt</t>
        </is>
      </c>
      <c r="B2" t="inlineStr">
        <is>
          <t>WACC del escenario</t>
        </is>
      </c>
      <c r="C2" s="1" t="n">
        <v>0.0998166920814815</v>
      </c>
    </row>
    <row r="3">
      <c r="A3" t="inlineStr">
        <is>
          <t>g_opt</t>
        </is>
      </c>
      <c r="B3" t="inlineStr">
        <is>
          <t>Crecimiento terminal (g)</t>
        </is>
      </c>
      <c r="C3" s="1" t="n">
        <v>0.03</v>
      </c>
    </row>
    <row r="4">
      <c r="A4" t="inlineStr">
        <is>
          <t>peso_opt</t>
        </is>
      </c>
      <c r="B4" t="inlineStr">
        <is>
          <t>Probabilidad</t>
        </is>
      </c>
      <c r="C4" s="1" t="n">
        <v>0.25</v>
      </c>
    </row>
    <row r="5">
      <c r="A5" t="inlineStr">
        <is>
          <t>ronic_opt</t>
        </is>
      </c>
      <c r="B5" t="inlineStr">
        <is>
          <t>RONIC</t>
        </is>
      </c>
      <c r="C5" s="1" t="n">
        <v>0.15</v>
      </c>
    </row>
    <row r="6">
      <c r="A6" t="inlineStr">
        <is>
          <t>multiplo_opt</t>
        </is>
      </c>
      <c r="B6" t="inlineStr">
        <is>
          <t>Múltiplo de salida</t>
        </is>
      </c>
      <c r="C6" s="1" t="n"/>
    </row>
    <row r="7">
      <c r="A7" t="inlineStr">
        <is>
          <t>fm_opt</t>
        </is>
      </c>
      <c r="B7" t="inlineStr">
        <is>
          <t>ΔFM / Δingresos</t>
        </is>
      </c>
      <c r="C7" s="1" t="n">
        <v>-0.2</v>
      </c>
    </row>
    <row r="9">
      <c r="B9" t="inlineStr">
        <is>
          <t>Año</t>
        </is>
      </c>
      <c r="C9" t="inlineStr">
        <is>
          <t>Año 1</t>
        </is>
      </c>
      <c r="D9" t="inlineStr">
        <is>
          <t>Año 2</t>
        </is>
      </c>
      <c r="E9" t="inlineStr">
        <is>
          <t>Año 3</t>
        </is>
      </c>
      <c r="F9" t="inlineStr">
        <is>
          <t>Año 4</t>
        </is>
      </c>
      <c r="G9" t="inlineStr">
        <is>
          <t>Año 5</t>
        </is>
      </c>
      <c r="H9" t="inlineStr">
        <is>
          <t>Año 6</t>
        </is>
      </c>
      <c r="I9" t="inlineStr">
        <is>
          <t>Año 7</t>
        </is>
      </c>
      <c r="J9" t="inlineStr">
        <is>
          <t>Año 8</t>
        </is>
      </c>
      <c r="K9" t="inlineStr">
        <is>
          <t>Año 9</t>
        </is>
      </c>
      <c r="L9" t="inlineStr">
        <is>
          <t>Año 10</t>
        </is>
      </c>
    </row>
    <row r="10">
      <c r="B10" t="inlineStr">
        <is>
          <t>crecimiento</t>
        </is>
      </c>
      <c r="C10" s="1" t="n">
        <v>0.36</v>
      </c>
      <c r="D10" s="1" t="n">
        <v>0.48</v>
      </c>
      <c r="E10" s="1" t="n">
        <v>0.28</v>
      </c>
      <c r="F10" s="1" t="n">
        <v>0.21</v>
      </c>
      <c r="G10" s="1" t="n">
        <v>0.14</v>
      </c>
      <c r="H10" s="1" t="n">
        <v>0.121</v>
      </c>
      <c r="I10" s="1" t="n">
        <v>0.102</v>
      </c>
      <c r="J10" s="1" t="n">
        <v>0.083</v>
      </c>
      <c r="K10" s="1" t="n">
        <v>0.064</v>
      </c>
      <c r="L10" s="1" t="n">
        <v>0.045</v>
      </c>
    </row>
    <row r="11">
      <c r="B11" t="inlineStr">
        <is>
          <t>margen</t>
        </is>
      </c>
      <c r="C11" s="1" t="n">
        <v>0.34</v>
      </c>
      <c r="D11" s="1" t="n">
        <v>0.335</v>
      </c>
      <c r="E11" s="1" t="n">
        <v>0.33</v>
      </c>
      <c r="F11" s="1" t="n">
        <v>0.34</v>
      </c>
      <c r="G11" s="1" t="n">
        <v>0.35</v>
      </c>
      <c r="H11" s="1" t="n">
        <v>0.352</v>
      </c>
      <c r="I11" s="1" t="n">
        <v>0.354</v>
      </c>
      <c r="J11" s="1" t="n">
        <v>0.356</v>
      </c>
      <c r="K11" s="1" t="n">
        <v>0.358</v>
      </c>
      <c r="L11" s="1" t="n">
        <v>0.36</v>
      </c>
    </row>
    <row r="12">
      <c r="B12" t="inlineStr">
        <is>
          <t>impuesto</t>
        </is>
      </c>
      <c r="C12" s="1" t="n">
        <v>0.17</v>
      </c>
      <c r="D12" s="1" t="n">
        <v>0.175</v>
      </c>
      <c r="E12" s="1" t="n">
        <v>0.18</v>
      </c>
      <c r="F12" s="1" t="n">
        <v>0.185</v>
      </c>
      <c r="G12" s="1" t="n">
        <v>0.19</v>
      </c>
      <c r="H12" s="1" t="n">
        <v>0.194</v>
      </c>
      <c r="I12" s="1" t="n">
        <v>0.198</v>
      </c>
      <c r="J12" s="1" t="n">
        <v>0.202</v>
      </c>
      <c r="K12" s="1" t="n">
        <v>0.206</v>
      </c>
      <c r="L12" s="1" t="n">
        <v>0.21</v>
      </c>
    </row>
    <row r="13">
      <c r="B13" t="inlineStr">
        <is>
          <t>da</t>
        </is>
      </c>
      <c r="C13" s="1" t="n">
        <v>0.18</v>
      </c>
      <c r="D13" s="1" t="n">
        <v>0.2</v>
      </c>
      <c r="E13" s="1" t="n">
        <v>0.22</v>
      </c>
      <c r="F13" s="1" t="n">
        <v>0.22</v>
      </c>
      <c r="G13" s="1" t="n">
        <v>0.22</v>
      </c>
      <c r="H13" s="1" t="n">
        <v>0.21</v>
      </c>
      <c r="I13" s="1" t="n">
        <v>0.2</v>
      </c>
      <c r="J13" s="1" t="n">
        <v>0.19</v>
      </c>
      <c r="K13" s="1" t="n">
        <v>0.18</v>
      </c>
      <c r="L13" s="1" t="n">
        <v>0.17</v>
      </c>
    </row>
    <row r="14">
      <c r="B14" t="inlineStr">
        <is>
          <t>capex</t>
        </is>
      </c>
      <c r="C14" s="1" t="n">
        <v>1.2</v>
      </c>
      <c r="D14" s="1" t="n">
        <v>0.72</v>
      </c>
      <c r="E14" s="1" t="n">
        <v>0.42</v>
      </c>
      <c r="F14" s="1" t="n">
        <v>0.34</v>
      </c>
      <c r="G14" s="1" t="n">
        <v>0.26</v>
      </c>
      <c r="H14" s="1" t="n">
        <v>0.246</v>
      </c>
      <c r="I14" s="1" t="n">
        <v>0.232</v>
      </c>
      <c r="J14" s="1" t="n">
        <v>0.218</v>
      </c>
      <c r="K14" s="1" t="n">
        <v>0.204</v>
      </c>
      <c r="L14" s="1" t="n">
        <v>0.19</v>
      </c>
    </row>
    <row r="15">
      <c r="B15" t="inlineStr">
        <is>
          <t>sbc</t>
        </is>
      </c>
      <c r="C15" s="1" t="n">
        <v>0.06</v>
      </c>
      <c r="D15" s="1" t="n">
        <v>0.05624999999999999</v>
      </c>
      <c r="E15" s="1" t="n">
        <v>0.0525</v>
      </c>
      <c r="F15" s="1" t="n">
        <v>0.04875</v>
      </c>
      <c r="G15" s="1" t="n">
        <v>0.045</v>
      </c>
      <c r="H15" s="1" t="n">
        <v>0.044</v>
      </c>
      <c r="I15" s="1" t="n">
        <v>0.043</v>
      </c>
      <c r="J15" s="1" t="n">
        <v>0.042</v>
      </c>
      <c r="K15" s="1" t="n">
        <v>0.041</v>
      </c>
      <c r="L15" s="1" t="n">
        <v>0.04</v>
      </c>
    </row>
    <row r="17">
      <c r="B17" t="inlineStr">
        <is>
          <t>Ingresos</t>
        </is>
      </c>
      <c r="C17">
        <f>ingresos_base*(1+C10)</f>
        <v/>
      </c>
      <c r="D17">
        <f>C17*(1+D10)</f>
        <v/>
      </c>
      <c r="E17">
        <f>D17*(1+E10)</f>
        <v/>
      </c>
      <c r="F17">
        <f>E17*(1+F10)</f>
        <v/>
      </c>
      <c r="G17">
        <f>F17*(1+G10)</f>
        <v/>
      </c>
      <c r="H17">
        <f>G17*(1+H10)</f>
        <v/>
      </c>
      <c r="I17">
        <f>H17*(1+I10)</f>
        <v/>
      </c>
      <c r="J17">
        <f>I17*(1+J10)</f>
        <v/>
      </c>
      <c r="K17">
        <f>J17*(1+K10)</f>
        <v/>
      </c>
      <c r="L17">
        <f>K17*(1+L10)</f>
        <v/>
      </c>
    </row>
    <row r="18">
      <c r="B18" t="inlineStr">
        <is>
          <t>EBIT</t>
        </is>
      </c>
      <c r="C18">
        <f>C17*C11</f>
        <v/>
      </c>
      <c r="D18">
        <f>D17*D11</f>
        <v/>
      </c>
      <c r="E18">
        <f>E17*E11</f>
        <v/>
      </c>
      <c r="F18">
        <f>F17*F11</f>
        <v/>
      </c>
      <c r="G18">
        <f>G17*G11</f>
        <v/>
      </c>
      <c r="H18">
        <f>H17*H11</f>
        <v/>
      </c>
      <c r="I18">
        <f>I17*I11</f>
        <v/>
      </c>
      <c r="J18">
        <f>J17*J11</f>
        <v/>
      </c>
      <c r="K18">
        <f>K17*K11</f>
        <v/>
      </c>
      <c r="L18">
        <f>L17*L11</f>
        <v/>
      </c>
    </row>
    <row r="19">
      <c r="B19" t="inlineStr">
        <is>
          <t>Bases imponibles negativas al inicio</t>
        </is>
      </c>
      <c r="C19">
        <f>bin_inicial</f>
        <v/>
      </c>
      <c r="D19">
        <f>MAX(0,C19-MAX(C18,0))+MAX(-C18,0)</f>
        <v/>
      </c>
      <c r="E19">
        <f>MAX(0,D19-MAX(D18,0))+MAX(-D18,0)</f>
        <v/>
      </c>
      <c r="F19">
        <f>MAX(0,E19-MAX(E18,0))+MAX(-E18,0)</f>
        <v/>
      </c>
      <c r="G19">
        <f>MAX(0,F19-MAX(F18,0))+MAX(-F18,0)</f>
        <v/>
      </c>
      <c r="H19">
        <f>MAX(0,G19-MAX(G18,0))+MAX(-G18,0)</f>
        <v/>
      </c>
      <c r="I19">
        <f>MAX(0,H19-MAX(H18,0))+MAX(-H18,0)</f>
        <v/>
      </c>
      <c r="J19">
        <f>MAX(0,I19-MAX(I18,0))+MAX(-I18,0)</f>
        <v/>
      </c>
      <c r="K19">
        <f>MAX(0,J19-MAX(J18,0))+MAX(-J18,0)</f>
        <v/>
      </c>
      <c r="L19">
        <f>MAX(0,K19-MAX(K18,0))+MAX(-K18,0)</f>
        <v/>
      </c>
    </row>
    <row r="20">
      <c r="B20" t="inlineStr">
        <is>
          <t>Impuestos en caja</t>
        </is>
      </c>
      <c r="C20">
        <f>MAX(0,C18-C19)*C12</f>
        <v/>
      </c>
      <c r="D20">
        <f>MAX(0,D18-D19)*D12</f>
        <v/>
      </c>
      <c r="E20">
        <f>MAX(0,E18-E19)*E12</f>
        <v/>
      </c>
      <c r="F20">
        <f>MAX(0,F18-F19)*F12</f>
        <v/>
      </c>
      <c r="G20">
        <f>MAX(0,G18-G19)*G12</f>
        <v/>
      </c>
      <c r="H20">
        <f>MAX(0,H18-H19)*H12</f>
        <v/>
      </c>
      <c r="I20">
        <f>MAX(0,I18-I19)*I12</f>
        <v/>
      </c>
      <c r="J20">
        <f>MAX(0,J18-J19)*J12</f>
        <v/>
      </c>
      <c r="K20">
        <f>MAX(0,K18-K19)*K12</f>
        <v/>
      </c>
      <c r="L20">
        <f>MAX(0,L18-L19)*L12</f>
        <v/>
      </c>
    </row>
    <row r="21">
      <c r="B21" t="inlineStr">
        <is>
          <t>NOPAT</t>
        </is>
      </c>
      <c r="C21">
        <f>C18-C20</f>
        <v/>
      </c>
      <c r="D21">
        <f>D18-D20</f>
        <v/>
      </c>
      <c r="E21">
        <f>E18-E20</f>
        <v/>
      </c>
      <c r="F21">
        <f>F18-F20</f>
        <v/>
      </c>
      <c r="G21">
        <f>G18-G20</f>
        <v/>
      </c>
      <c r="H21">
        <f>H18-H20</f>
        <v/>
      </c>
      <c r="I21">
        <f>I18-I20</f>
        <v/>
      </c>
      <c r="J21">
        <f>J18-J20</f>
        <v/>
      </c>
      <c r="K21">
        <f>K18-K20</f>
        <v/>
      </c>
      <c r="L21">
        <f>L18-L20</f>
        <v/>
      </c>
    </row>
    <row r="22">
      <c r="B22" t="inlineStr">
        <is>
          <t>D&amp;A</t>
        </is>
      </c>
      <c r="C22">
        <f>C17*C13</f>
        <v/>
      </c>
      <c r="D22">
        <f>D17*D13</f>
        <v/>
      </c>
      <c r="E22">
        <f>E17*E13</f>
        <v/>
      </c>
      <c r="F22">
        <f>F17*F13</f>
        <v/>
      </c>
      <c r="G22">
        <f>G17*G13</f>
        <v/>
      </c>
      <c r="H22">
        <f>H17*H13</f>
        <v/>
      </c>
      <c r="I22">
        <f>I17*I13</f>
        <v/>
      </c>
      <c r="J22">
        <f>J17*J13</f>
        <v/>
      </c>
      <c r="K22">
        <f>K17*K13</f>
        <v/>
      </c>
      <c r="L22">
        <f>L17*L13</f>
        <v/>
      </c>
    </row>
    <row r="23">
      <c r="B23" t="inlineStr">
        <is>
          <t>Capex</t>
        </is>
      </c>
      <c r="C23">
        <f>C17*C14</f>
        <v/>
      </c>
      <c r="D23">
        <f>D17*D14</f>
        <v/>
      </c>
      <c r="E23">
        <f>E17*E14</f>
        <v/>
      </c>
      <c r="F23">
        <f>F17*F14</f>
        <v/>
      </c>
      <c r="G23">
        <f>G17*G14</f>
        <v/>
      </c>
      <c r="H23">
        <f>H17*H14</f>
        <v/>
      </c>
      <c r="I23">
        <f>I17*I14</f>
        <v/>
      </c>
      <c r="J23">
        <f>J17*J14</f>
        <v/>
      </c>
      <c r="K23">
        <f>K17*K14</f>
        <v/>
      </c>
      <c r="L23">
        <f>L17*L14</f>
        <v/>
      </c>
    </row>
    <row r="24">
      <c r="B24" t="inlineStr">
        <is>
          <t>ΔFM</t>
        </is>
      </c>
      <c r="C24">
        <f>(C17-ingresos_base)*fm_opt</f>
        <v/>
      </c>
      <c r="D24">
        <f>(D17-C17)*fm_opt</f>
        <v/>
      </c>
      <c r="E24">
        <f>(E17-D17)*fm_opt</f>
        <v/>
      </c>
      <c r="F24">
        <f>(F17-E17)*fm_opt</f>
        <v/>
      </c>
      <c r="G24">
        <f>(G17-F17)*fm_opt</f>
        <v/>
      </c>
      <c r="H24">
        <f>(H17-G17)*fm_opt</f>
        <v/>
      </c>
      <c r="I24">
        <f>(I17-H17)*fm_opt</f>
        <v/>
      </c>
      <c r="J24">
        <f>(J17-I17)*fm_opt</f>
        <v/>
      </c>
      <c r="K24">
        <f>(K17-J17)*fm_opt</f>
        <v/>
      </c>
      <c r="L24">
        <f>(L17-K17)*fm_opt</f>
        <v/>
      </c>
    </row>
    <row r="25">
      <c r="B25" t="inlineStr">
        <is>
          <t>SBC</t>
        </is>
      </c>
      <c r="C25">
        <f>C17*C15*sbc_coste</f>
        <v/>
      </c>
      <c r="D25">
        <f>D17*D15*sbc_coste</f>
        <v/>
      </c>
      <c r="E25">
        <f>E17*E15*sbc_coste</f>
        <v/>
      </c>
      <c r="F25">
        <f>F17*F15*sbc_coste</f>
        <v/>
      </c>
      <c r="G25">
        <f>G17*G15*sbc_coste</f>
        <v/>
      </c>
      <c r="H25">
        <f>H17*H15*sbc_coste</f>
        <v/>
      </c>
      <c r="I25">
        <f>I17*I15*sbc_coste</f>
        <v/>
      </c>
      <c r="J25">
        <f>J17*J15*sbc_coste</f>
        <v/>
      </c>
      <c r="K25">
        <f>K17*K15*sbc_coste</f>
        <v/>
      </c>
      <c r="L25">
        <f>L17*L15*sbc_coste</f>
        <v/>
      </c>
    </row>
    <row r="26">
      <c r="B26" t="inlineStr">
        <is>
          <t>Partidas del paquete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B27" t="inlineStr">
        <is>
          <t>FCFF</t>
        </is>
      </c>
      <c r="C27">
        <f>C21+C22-C23-C24-C25-C26</f>
        <v/>
      </c>
      <c r="D27">
        <f>D21+D22-D23-D24-D25-D26</f>
        <v/>
      </c>
      <c r="E27">
        <f>E21+E22-E23-E24-E25-E26</f>
        <v/>
      </c>
      <c r="F27">
        <f>F21+F22-F23-F24-F25-F26</f>
        <v/>
      </c>
      <c r="G27">
        <f>G21+G22-G23-G24-G25-G26</f>
        <v/>
      </c>
      <c r="H27">
        <f>H21+H22-H23-H24-H25-H26</f>
        <v/>
      </c>
      <c r="I27">
        <f>I21+I22-I23-I24-I25-I26</f>
        <v/>
      </c>
      <c r="J27">
        <f>J21+J22-J23-J24-J25-J26</f>
        <v/>
      </c>
      <c r="K27">
        <f>K21+K22-K23-K24-K25-K26</f>
        <v/>
      </c>
      <c r="L27">
        <f>L21+L22-L23-L24-L25-L26</f>
        <v/>
      </c>
    </row>
    <row r="28">
      <c r="B28" t="inlineStr">
        <is>
          <t>EBITDA</t>
        </is>
      </c>
      <c r="C28">
        <f>C18+C22</f>
        <v/>
      </c>
      <c r="D28">
        <f>D18+D22</f>
        <v/>
      </c>
      <c r="E28">
        <f>E18+E22</f>
        <v/>
      </c>
      <c r="F28">
        <f>F18+F22</f>
        <v/>
      </c>
      <c r="G28">
        <f>G18+G22</f>
        <v/>
      </c>
      <c r="H28">
        <f>H18+H22</f>
        <v/>
      </c>
      <c r="I28">
        <f>I18+I22</f>
        <v/>
      </c>
      <c r="J28">
        <f>J18+J22</f>
        <v/>
      </c>
      <c r="K28">
        <f>K18+K22</f>
        <v/>
      </c>
      <c r="L28">
        <f>L18+L22</f>
        <v/>
      </c>
    </row>
    <row r="29">
      <c r="B29" t="inlineStr">
        <is>
          <t>Momento de descuento (años)</t>
        </is>
      </c>
      <c r="C29">
        <f>IF(mitad_de_anio=1,fraccion/2,fraccion)</f>
        <v/>
      </c>
      <c r="D29">
        <f>fraccion+1-IF(mitad_de_anio=1,0.5,0)</f>
        <v/>
      </c>
      <c r="E29">
        <f>fraccion+2-IF(mitad_de_anio=1,0.5,0)</f>
        <v/>
      </c>
      <c r="F29">
        <f>fraccion+3-IF(mitad_de_anio=1,0.5,0)</f>
        <v/>
      </c>
      <c r="G29">
        <f>fraccion+4-IF(mitad_de_anio=1,0.5,0)</f>
        <v/>
      </c>
      <c r="H29">
        <f>fraccion+5-IF(mitad_de_anio=1,0.5,0)</f>
        <v/>
      </c>
      <c r="I29">
        <f>fraccion+6-IF(mitad_de_anio=1,0.5,0)</f>
        <v/>
      </c>
      <c r="J29">
        <f>fraccion+7-IF(mitad_de_anio=1,0.5,0)</f>
        <v/>
      </c>
      <c r="K29">
        <f>fraccion+8-IF(mitad_de_anio=1,0.5,0)</f>
        <v/>
      </c>
      <c r="L29">
        <f>fraccion+9-IF(mitad_de_anio=1,0.5,0)</f>
        <v/>
      </c>
    </row>
    <row r="30">
      <c r="B30" t="inlineStr">
        <is>
          <t>Factor de descuento</t>
        </is>
      </c>
      <c r="C30">
        <f>(1+wacc_opt)^(-C29)</f>
        <v/>
      </c>
      <c r="D30">
        <f>(1+wacc_opt)^(-D29)</f>
        <v/>
      </c>
      <c r="E30">
        <f>(1+wacc_opt)^(-E29)</f>
        <v/>
      </c>
      <c r="F30">
        <f>(1+wacc_opt)^(-F29)</f>
        <v/>
      </c>
      <c r="G30">
        <f>(1+wacc_opt)^(-G29)</f>
        <v/>
      </c>
      <c r="H30">
        <f>(1+wacc_opt)^(-H29)</f>
        <v/>
      </c>
      <c r="I30">
        <f>(1+wacc_opt)^(-I29)</f>
        <v/>
      </c>
      <c r="J30">
        <f>(1+wacc_opt)^(-J29)</f>
        <v/>
      </c>
      <c r="K30">
        <f>(1+wacc_opt)^(-K29)</f>
        <v/>
      </c>
      <c r="L30">
        <f>(1+wacc_opt)^(-L29)</f>
        <v/>
      </c>
    </row>
    <row r="31">
      <c r="B31" t="inlineStr">
        <is>
          <t>Parte del año que cuenta</t>
        </is>
      </c>
      <c r="C31">
        <f>fraccion</f>
        <v/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B32" t="inlineStr">
        <is>
          <t>Valor actual del FCFF</t>
        </is>
      </c>
      <c r="C32">
        <f>C27*C30*C31</f>
        <v/>
      </c>
      <c r="D32">
        <f>D27*D30*D31</f>
        <v/>
      </c>
      <c r="E32">
        <f>E27*E30*E31</f>
        <v/>
      </c>
      <c r="F32">
        <f>F27*F30*F31</f>
        <v/>
      </c>
      <c r="G32">
        <f>G27*G30*G31</f>
        <v/>
      </c>
      <c r="H32">
        <f>H27*H30*H31</f>
        <v/>
      </c>
      <c r="I32">
        <f>I27*I30*I31</f>
        <v/>
      </c>
      <c r="J32">
        <f>J27*J30*J31</f>
        <v/>
      </c>
      <c r="K32">
        <f>K27*K30*K31</f>
        <v/>
      </c>
      <c r="L32">
        <f>L27*L30*L31</f>
        <v/>
      </c>
    </row>
    <row r="34">
      <c r="A34" t="inlineStr">
        <is>
          <t>suma_va_opt</t>
        </is>
      </c>
      <c r="B34" s="2" t="inlineStr">
        <is>
          <t>Suma del valor actual de los FCFF</t>
        </is>
      </c>
      <c r="C34">
        <f>SUM(C32:L32)</f>
        <v/>
      </c>
    </row>
    <row r="35">
      <c r="A35" t="inlineStr">
        <is>
          <t>vt_opt</t>
        </is>
      </c>
      <c r="B35" s="2" t="inlineStr">
        <is>
          <t>Valor terminal (value_driver)</t>
        </is>
      </c>
      <c r="C35">
        <f>L21*(1+g_opt)*(1-g_opt/ronic_opt)/(wacc_opt-g_opt)</f>
        <v/>
      </c>
    </row>
    <row r="36">
      <c r="A36" t="inlineStr">
        <is>
          <t>va_vt_opt</t>
        </is>
      </c>
      <c r="B36" s="2" t="inlineStr">
        <is>
          <t>Valor actual del valor terminal</t>
        </is>
      </c>
      <c r="C36">
        <f>C35*(1+wacc_opt)^(-(fraccion+10-1))</f>
        <v/>
      </c>
    </row>
    <row r="37">
      <c r="A37" t="inlineStr">
        <is>
          <t>ev_opt</t>
        </is>
      </c>
      <c r="B37" s="2" t="inlineStr">
        <is>
          <t>Valor de empresa</t>
        </is>
      </c>
      <c r="C37">
        <f>C34+C36</f>
        <v/>
      </c>
    </row>
    <row r="38">
      <c r="A38" t="inlineStr">
        <is>
          <t>fondos_propios_opt</t>
        </is>
      </c>
      <c r="B38" s="2" t="inlineStr">
        <is>
          <t>Fondos propios</t>
        </is>
      </c>
      <c r="C38">
        <f>C37+ajuste_puente</f>
        <v/>
      </c>
    </row>
    <row r="39">
      <c r="A39" t="inlineStr">
        <is>
          <t>valor_accion_opt</t>
        </is>
      </c>
      <c r="B39" s="2" t="inlineStr">
        <is>
          <t>Valor por acción hoy (V₀)</t>
        </is>
      </c>
      <c r="C39">
        <f>C38/acciones_diluidas</f>
        <v/>
      </c>
    </row>
    <row r="40">
      <c r="A40" t="inlineStr">
        <is>
          <t>valor_h_opt</t>
        </is>
      </c>
      <c r="B40" s="2" t="inlineStr">
        <is>
          <t>Valor por acción en el horizonte (V_h)</t>
        </is>
      </c>
      <c r="C40">
        <f>C39*(1+ke)^(horizonte_meses/12)-dpa_horizonte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V₀ del escenario base: WACC (filas) × g (columnas)</t>
        </is>
      </c>
    </row>
    <row r="2">
      <c r="B2" t="n">
        <v>0.02</v>
      </c>
      <c r="C2" t="n">
        <v>0.0225</v>
      </c>
      <c r="D2" t="n">
        <v>0.025</v>
      </c>
      <c r="E2" t="n">
        <v>0.0275</v>
      </c>
      <c r="F2" t="n">
        <v>0.03</v>
      </c>
    </row>
    <row r="3">
      <c r="A3" t="n">
        <v>0.08981669208148151</v>
      </c>
      <c r="B3">
        <f>IF($A3-B$2&lt;=0,"",(SUMPRODUCT(Base!$C$27:$L$27,Base!$C$31:$L$31,(1+$A3)^(-Base!$C$29:$L$29))+Base!$L$21*(1+B$2)*(1-B$2/0.12)/($A3-B$2)*(1+$A3)^(-(fraccion+10-1))+ajuste_puente)/acciones_diluidas)</f>
        <v/>
      </c>
      <c r="C3">
        <f>IF($A3-C$2&lt;=0,"",(SUMPRODUCT(Base!$C$27:$L$27,Base!$C$31:$L$31,(1+$A3)^(-Base!$C$29:$L$29))+Base!$L$21*(1+C$2)*(1-C$2/0.12)/($A3-C$2)*(1+$A3)^(-(fraccion+10-1))+ajuste_puente)/acciones_diluidas)</f>
        <v/>
      </c>
      <c r="D3">
        <f>IF($A3-D$2&lt;=0,"",(SUMPRODUCT(Base!$C$27:$L$27,Base!$C$31:$L$31,(1+$A3)^(-Base!$C$29:$L$29))+Base!$L$21*(1+D$2)*(1-D$2/0.12)/($A3-D$2)*(1+$A3)^(-(fraccion+10-1))+ajuste_puente)/acciones_diluidas)</f>
        <v/>
      </c>
      <c r="E3">
        <f>IF($A3-E$2&lt;=0,"",(SUMPRODUCT(Base!$C$27:$L$27,Base!$C$31:$L$31,(1+$A3)^(-Base!$C$29:$L$29))+Base!$L$21*(1+E$2)*(1-E$2/0.12)/($A3-E$2)*(1+$A3)^(-(fraccion+10-1))+ajuste_puente)/acciones_diluidas)</f>
        <v/>
      </c>
      <c r="F3">
        <f>IF($A3-F$2&lt;=0,"",(SUMPRODUCT(Base!$C$27:$L$27,Base!$C$31:$L$31,(1+$A3)^(-Base!$C$29:$L$29))+Base!$L$21*(1+F$2)*(1-F$2/0.12)/($A3-F$2)*(1+$A3)^(-(fraccion+10-1))+ajuste_puente)/acciones_diluidas)</f>
        <v/>
      </c>
    </row>
    <row r="4">
      <c r="A4" t="n">
        <v>0.0948166920814815</v>
      </c>
      <c r="B4">
        <f>IF($A4-B$2&lt;=0,"",(SUMPRODUCT(Base!$C$27:$L$27,Base!$C$31:$L$31,(1+$A4)^(-Base!$C$29:$L$29))+Base!$L$21*(1+B$2)*(1-B$2/0.12)/($A4-B$2)*(1+$A4)^(-(fraccion+10-1))+ajuste_puente)/acciones_diluidas)</f>
        <v/>
      </c>
      <c r="C4">
        <f>IF($A4-C$2&lt;=0,"",(SUMPRODUCT(Base!$C$27:$L$27,Base!$C$31:$L$31,(1+$A4)^(-Base!$C$29:$L$29))+Base!$L$21*(1+C$2)*(1-C$2/0.12)/($A4-C$2)*(1+$A4)^(-(fraccion+10-1))+ajuste_puente)/acciones_diluidas)</f>
        <v/>
      </c>
      <c r="D4">
        <f>IF($A4-D$2&lt;=0,"",(SUMPRODUCT(Base!$C$27:$L$27,Base!$C$31:$L$31,(1+$A4)^(-Base!$C$29:$L$29))+Base!$L$21*(1+D$2)*(1-D$2/0.12)/($A4-D$2)*(1+$A4)^(-(fraccion+10-1))+ajuste_puente)/acciones_diluidas)</f>
        <v/>
      </c>
      <c r="E4">
        <f>IF($A4-E$2&lt;=0,"",(SUMPRODUCT(Base!$C$27:$L$27,Base!$C$31:$L$31,(1+$A4)^(-Base!$C$29:$L$29))+Base!$L$21*(1+E$2)*(1-E$2/0.12)/($A4-E$2)*(1+$A4)^(-(fraccion+10-1))+ajuste_puente)/acciones_diluidas)</f>
        <v/>
      </c>
      <c r="F4">
        <f>IF($A4-F$2&lt;=0,"",(SUMPRODUCT(Base!$C$27:$L$27,Base!$C$31:$L$31,(1+$A4)^(-Base!$C$29:$L$29))+Base!$L$21*(1+F$2)*(1-F$2/0.12)/($A4-F$2)*(1+$A4)^(-(fraccion+10-1))+ajuste_puente)/acciones_diluidas)</f>
        <v/>
      </c>
    </row>
    <row r="5">
      <c r="A5" t="n">
        <v>0.0998166920814815</v>
      </c>
      <c r="B5">
        <f>IF($A5-B$2&lt;=0,"",(SUMPRODUCT(Base!$C$27:$L$27,Base!$C$31:$L$31,(1+$A5)^(-Base!$C$29:$L$29))+Base!$L$21*(1+B$2)*(1-B$2/0.12)/($A5-B$2)*(1+$A5)^(-(fraccion+10-1))+ajuste_puente)/acciones_diluidas)</f>
        <v/>
      </c>
      <c r="C5">
        <f>IF($A5-C$2&lt;=0,"",(SUMPRODUCT(Base!$C$27:$L$27,Base!$C$31:$L$31,(1+$A5)^(-Base!$C$29:$L$29))+Base!$L$21*(1+C$2)*(1-C$2/0.12)/($A5-C$2)*(1+$A5)^(-(fraccion+10-1))+ajuste_puente)/acciones_diluidas)</f>
        <v/>
      </c>
      <c r="D5">
        <f>IF($A5-D$2&lt;=0,"",(SUMPRODUCT(Base!$C$27:$L$27,Base!$C$31:$L$31,(1+$A5)^(-Base!$C$29:$L$29))+Base!$L$21*(1+D$2)*(1-D$2/0.12)/($A5-D$2)*(1+$A5)^(-(fraccion+10-1))+ajuste_puente)/acciones_diluidas)</f>
        <v/>
      </c>
      <c r="E5">
        <f>IF($A5-E$2&lt;=0,"",(SUMPRODUCT(Base!$C$27:$L$27,Base!$C$31:$L$31,(1+$A5)^(-Base!$C$29:$L$29))+Base!$L$21*(1+E$2)*(1-E$2/0.12)/($A5-E$2)*(1+$A5)^(-(fraccion+10-1))+ajuste_puente)/acciones_diluidas)</f>
        <v/>
      </c>
      <c r="F5">
        <f>IF($A5-F$2&lt;=0,"",(SUMPRODUCT(Base!$C$27:$L$27,Base!$C$31:$L$31,(1+$A5)^(-Base!$C$29:$L$29))+Base!$L$21*(1+F$2)*(1-F$2/0.12)/($A5-F$2)*(1+$A5)^(-(fraccion+10-1))+ajuste_puente)/acciones_diluidas)</f>
        <v/>
      </c>
    </row>
    <row r="6">
      <c r="A6" t="n">
        <v>0.1048166920814815</v>
      </c>
      <c r="B6">
        <f>IF($A6-B$2&lt;=0,"",(SUMPRODUCT(Base!$C$27:$L$27,Base!$C$31:$L$31,(1+$A6)^(-Base!$C$29:$L$29))+Base!$L$21*(1+B$2)*(1-B$2/0.12)/($A6-B$2)*(1+$A6)^(-(fraccion+10-1))+ajuste_puente)/acciones_diluidas)</f>
        <v/>
      </c>
      <c r="C6">
        <f>IF($A6-C$2&lt;=0,"",(SUMPRODUCT(Base!$C$27:$L$27,Base!$C$31:$L$31,(1+$A6)^(-Base!$C$29:$L$29))+Base!$L$21*(1+C$2)*(1-C$2/0.12)/($A6-C$2)*(1+$A6)^(-(fraccion+10-1))+ajuste_puente)/acciones_diluidas)</f>
        <v/>
      </c>
      <c r="D6">
        <f>IF($A6-D$2&lt;=0,"",(SUMPRODUCT(Base!$C$27:$L$27,Base!$C$31:$L$31,(1+$A6)^(-Base!$C$29:$L$29))+Base!$L$21*(1+D$2)*(1-D$2/0.12)/($A6-D$2)*(1+$A6)^(-(fraccion+10-1))+ajuste_puente)/acciones_diluidas)</f>
        <v/>
      </c>
      <c r="E6">
        <f>IF($A6-E$2&lt;=0,"",(SUMPRODUCT(Base!$C$27:$L$27,Base!$C$31:$L$31,(1+$A6)^(-Base!$C$29:$L$29))+Base!$L$21*(1+E$2)*(1-E$2/0.12)/($A6-E$2)*(1+$A6)^(-(fraccion+10-1))+ajuste_puente)/acciones_diluidas)</f>
        <v/>
      </c>
      <c r="F6">
        <f>IF($A6-F$2&lt;=0,"",(SUMPRODUCT(Base!$C$27:$L$27,Base!$C$31:$L$31,(1+$A6)^(-Base!$C$29:$L$29))+Base!$L$21*(1+F$2)*(1-F$2/0.12)/($A6-F$2)*(1+$A6)^(-(fraccion+10-1))+ajuste_puente)/acciones_diluidas)</f>
        <v/>
      </c>
    </row>
    <row r="7">
      <c r="A7" t="n">
        <v>0.1098166920814815</v>
      </c>
      <c r="B7">
        <f>IF($A7-B$2&lt;=0,"",(SUMPRODUCT(Base!$C$27:$L$27,Base!$C$31:$L$31,(1+$A7)^(-Base!$C$29:$L$29))+Base!$L$21*(1+B$2)*(1-B$2/0.12)/($A7-B$2)*(1+$A7)^(-(fraccion+10-1))+ajuste_puente)/acciones_diluidas)</f>
        <v/>
      </c>
      <c r="C7">
        <f>IF($A7-C$2&lt;=0,"",(SUMPRODUCT(Base!$C$27:$L$27,Base!$C$31:$L$31,(1+$A7)^(-Base!$C$29:$L$29))+Base!$L$21*(1+C$2)*(1-C$2/0.12)/($A7-C$2)*(1+$A7)^(-(fraccion+10-1))+ajuste_puente)/acciones_diluidas)</f>
        <v/>
      </c>
      <c r="D7">
        <f>IF($A7-D$2&lt;=0,"",(SUMPRODUCT(Base!$C$27:$L$27,Base!$C$31:$L$31,(1+$A7)^(-Base!$C$29:$L$29))+Base!$L$21*(1+D$2)*(1-D$2/0.12)/($A7-D$2)*(1+$A7)^(-(fraccion+10-1))+ajuste_puente)/acciones_diluidas)</f>
        <v/>
      </c>
      <c r="E7">
        <f>IF($A7-E$2&lt;=0,"",(SUMPRODUCT(Base!$C$27:$L$27,Base!$C$31:$L$31,(1+$A7)^(-Base!$C$29:$L$29))+Base!$L$21*(1+E$2)*(1-E$2/0.12)/($A7-E$2)*(1+$A7)^(-(fraccion+10-1))+ajuste_puente)/acciones_diluidas)</f>
        <v/>
      </c>
      <c r="F7">
        <f>IF($A7-F$2&lt;=0,"",(SUMPRODUCT(Base!$C$27:$L$27,Base!$C$31:$L$31,(1+$A7)^(-Base!$C$29:$L$29))+Base!$L$21*(1+F$2)*(1-F$2/0.12)/($A7-F$2)*(1+$A7)^(-(fraccion+10-1))+ajuste_puente)/acciones_diluidas)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DCF inverso (motor): qué hay que creer para que V₀ del base sea el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2026-09-27T17:36:01Z</dcterms:created>
  <dcterms:modified xmlns:dcterms="http://purl.org/dc/terms/" xmlns:xsi="http://www.w3.org/2001/XMLSchema-instance" xsi:type="dcterms:W3CDTF">2026-09-27T17:36:01Z</dcterms:modified>
</cp:coreProperties>
</file>